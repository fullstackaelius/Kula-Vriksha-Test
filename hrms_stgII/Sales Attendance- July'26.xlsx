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360co\Downloads\"/>
    </mc:Choice>
  </mc:AlternateContent>
  <xr:revisionPtr revIDLastSave="0" documentId="13_ncr:1_{7959C3AD-8BD8-494C-9F86-DD46547C938B}" xr6:coauthVersionLast="47" xr6:coauthVersionMax="47" xr10:uidLastSave="{00000000-0000-0000-0000-000000000000}"/>
  <bookViews>
    <workbookView xWindow="-98" yWindow="-98" windowWidth="19396" windowHeight="11475" firstSheet="15" activeTab="17" xr2:uid="{00000000-000D-0000-FFFF-FFFF00000000}"/>
  </bookViews>
  <sheets>
    <sheet name="FEB" sheetId="1" r:id="rId1"/>
    <sheet name="MAR" sheetId="2" r:id="rId2"/>
    <sheet name="APR" sheetId="3" r:id="rId3"/>
    <sheet name="MAY" sheetId="4" r:id="rId4"/>
    <sheet name="JUN" sheetId="5" r:id="rId5"/>
    <sheet name="JULY" sheetId="7" r:id="rId6"/>
    <sheet name="AUG" sheetId="8" r:id="rId7"/>
    <sheet name="SEP" sheetId="9" r:id="rId8"/>
    <sheet name="OCT" sheetId="10" r:id="rId9"/>
    <sheet name="NOV" sheetId="11" r:id="rId10"/>
    <sheet name="DEC" sheetId="12" r:id="rId11"/>
    <sheet name="JAN-26" sheetId="13" r:id="rId12"/>
    <sheet name="FEB- 26" sheetId="14" r:id="rId13"/>
    <sheet name="Mar-26" sheetId="15" r:id="rId14"/>
    <sheet name="Apr-26" sheetId="16" r:id="rId15"/>
    <sheet name="May-26" sheetId="17" r:id="rId16"/>
    <sheet name="Jun-26" sheetId="18" r:id="rId17"/>
    <sheet name="Jul-26" sheetId="19" r:id="rId18"/>
    <sheet name="Aug-26" sheetId="20" r:id="rId19"/>
  </sheets>
  <definedNames>
    <definedName name="_xlnm._FilterDatabase" localSheetId="2" hidden="1">APR!$A$1:$AI$66</definedName>
    <definedName name="_xlnm._FilterDatabase" localSheetId="14" hidden="1">'Apr-26'!$A$1:$AP$1</definedName>
    <definedName name="_xlnm._FilterDatabase" localSheetId="6" hidden="1">AUG!$E$1:$E$82</definedName>
    <definedName name="_xlnm._FilterDatabase" localSheetId="11" hidden="1">'JAN-26'!$A$1:$AJ$92</definedName>
    <definedName name="_xlnm._FilterDatabase" localSheetId="17" hidden="1">'Jul-26'!$A$1:$AP$74</definedName>
    <definedName name="_xlnm._FilterDatabase" localSheetId="5" hidden="1">JULY!$B$1:$B$70</definedName>
    <definedName name="_xlnm._FilterDatabase" localSheetId="4" hidden="1">JUN!$A$1:$AK$1</definedName>
    <definedName name="_xlnm._FilterDatabase" localSheetId="1" hidden="1">MAR!$A$1:$EZ$383</definedName>
    <definedName name="_xlnm._FilterDatabase" localSheetId="3" hidden="1">MAY!$B$1:$B$75</definedName>
    <definedName name="_xlnm._FilterDatabase" localSheetId="15" hidden="1">'May-26'!$A$1:$AT$1</definedName>
    <definedName name="_xlnm._FilterDatabase" localSheetId="9" hidden="1">NOV!$A$1:$AU$92</definedName>
    <definedName name="_xlnm._FilterDatabase" localSheetId="8" hidden="1">OCT!$A$1:$AJ$83</definedName>
    <definedName name="_xlnm._FilterDatabase" localSheetId="7" hidden="1">SEP!$E$1:$E$85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4" i="19" l="1"/>
  <c r="AN73" i="19"/>
  <c r="AN72" i="19"/>
  <c r="AN71" i="19"/>
  <c r="AN70" i="19"/>
  <c r="AN69" i="19"/>
  <c r="AN68" i="19"/>
  <c r="AN67" i="19"/>
  <c r="AN66" i="19"/>
  <c r="AN65" i="19"/>
  <c r="AN64" i="19"/>
  <c r="AN63" i="19"/>
  <c r="AN62" i="19"/>
  <c r="AN61" i="19"/>
  <c r="AN60" i="19"/>
  <c r="AN59" i="19"/>
  <c r="AN58" i="19"/>
  <c r="AN57" i="19"/>
  <c r="AN56" i="19"/>
  <c r="AN55" i="19"/>
  <c r="AN54" i="19"/>
  <c r="AN53" i="19"/>
  <c r="AN52" i="19"/>
  <c r="AN51" i="19"/>
  <c r="AN50" i="19"/>
  <c r="AN49" i="19"/>
  <c r="AN48" i="19"/>
  <c r="AN47" i="19"/>
  <c r="AN46" i="19"/>
  <c r="AN45" i="19"/>
  <c r="AN44" i="19"/>
  <c r="AN43" i="19"/>
  <c r="AN42" i="19"/>
  <c r="AN41" i="19"/>
  <c r="AN40" i="19"/>
  <c r="AN39" i="19"/>
  <c r="AN38" i="19"/>
  <c r="AN37" i="19"/>
  <c r="AN36" i="19"/>
  <c r="AN35" i="19"/>
  <c r="AN34" i="19"/>
  <c r="AN33" i="19"/>
  <c r="AN32" i="19"/>
  <c r="AN31" i="19"/>
  <c r="AN30" i="19"/>
  <c r="AN29" i="19"/>
  <c r="AN28" i="19"/>
  <c r="AN27" i="19"/>
  <c r="AN26" i="19"/>
  <c r="AN25" i="19"/>
  <c r="AN24" i="19"/>
  <c r="AN23" i="19"/>
  <c r="AN22" i="19"/>
  <c r="AN21" i="19"/>
  <c r="AN20" i="19"/>
  <c r="AN19" i="19"/>
  <c r="AN18" i="19"/>
  <c r="AN17" i="19"/>
  <c r="AN16" i="19"/>
  <c r="AN15" i="19"/>
  <c r="AN14" i="19"/>
  <c r="AN13" i="19"/>
  <c r="AN12" i="19"/>
  <c r="AN11" i="19"/>
  <c r="AN10" i="19"/>
  <c r="AN9" i="19"/>
  <c r="AN8" i="19"/>
  <c r="AN7" i="19"/>
  <c r="AN6" i="19"/>
  <c r="AN5" i="19"/>
  <c r="AN4" i="19"/>
  <c r="AN3" i="19"/>
  <c r="AN2" i="19"/>
  <c r="AP67" i="19" l="1"/>
  <c r="AP59" i="19"/>
  <c r="AP49" i="19"/>
  <c r="AP45" i="19"/>
  <c r="AP41" i="19"/>
  <c r="AP31" i="19"/>
  <c r="AP27" i="19"/>
  <c r="AP22" i="19"/>
  <c r="AP9" i="19"/>
  <c r="AP5" i="19"/>
  <c r="AO74" i="19"/>
  <c r="AP74" i="19" s="1"/>
  <c r="AO73" i="19"/>
  <c r="AO72" i="19"/>
  <c r="AO71" i="19"/>
  <c r="AO70" i="19"/>
  <c r="AO69" i="19"/>
  <c r="AO68" i="19"/>
  <c r="AP68" i="19" s="1"/>
  <c r="AO67" i="19"/>
  <c r="AO66" i="19"/>
  <c r="AO65" i="19"/>
  <c r="AO64" i="19"/>
  <c r="AO63" i="19"/>
  <c r="AO62" i="19"/>
  <c r="AO61" i="19"/>
  <c r="AO60" i="19"/>
  <c r="AO59" i="19"/>
  <c r="AO58" i="19"/>
  <c r="AO57" i="19"/>
  <c r="AO56" i="19"/>
  <c r="AP56" i="19" s="1"/>
  <c r="AO55" i="19"/>
  <c r="AP55" i="19" s="1"/>
  <c r="AO54" i="19"/>
  <c r="AP54" i="19" s="1"/>
  <c r="AO53" i="19"/>
  <c r="AP53" i="19" s="1"/>
  <c r="AO52" i="19"/>
  <c r="AO51" i="19"/>
  <c r="AO50" i="19"/>
  <c r="AP50" i="19" s="1"/>
  <c r="AO49" i="19"/>
  <c r="AO48" i="19"/>
  <c r="AO47" i="19"/>
  <c r="AO46" i="19"/>
  <c r="AO45" i="19"/>
  <c r="AO44" i="19"/>
  <c r="AO43" i="19"/>
  <c r="AO42" i="19"/>
  <c r="AO41" i="19"/>
  <c r="AO40" i="19"/>
  <c r="AO39" i="19"/>
  <c r="AO38" i="19"/>
  <c r="AP38" i="19" s="1"/>
  <c r="AO37" i="19"/>
  <c r="AP37" i="19" s="1"/>
  <c r="AO36" i="19"/>
  <c r="AO35" i="19"/>
  <c r="AP35" i="19" s="1"/>
  <c r="AO34" i="19"/>
  <c r="AO33" i="19"/>
  <c r="AO32" i="19"/>
  <c r="AP32" i="19" s="1"/>
  <c r="AO31" i="19"/>
  <c r="AO30" i="19"/>
  <c r="AO29" i="19"/>
  <c r="AO28" i="19"/>
  <c r="AO27" i="19"/>
  <c r="AO26" i="19"/>
  <c r="AO25" i="19"/>
  <c r="AO24" i="19"/>
  <c r="AO23" i="19"/>
  <c r="AO22" i="19"/>
  <c r="AO21" i="19"/>
  <c r="AO20" i="19"/>
  <c r="AP20" i="19" s="1"/>
  <c r="AO19" i="19"/>
  <c r="AP19" i="19" s="1"/>
  <c r="AO18" i="19"/>
  <c r="AP18" i="19" s="1"/>
  <c r="AO17" i="19"/>
  <c r="AO16" i="19"/>
  <c r="AO15" i="19"/>
  <c r="AO14" i="19"/>
  <c r="AP14" i="19" s="1"/>
  <c r="AO13" i="19"/>
  <c r="AO12" i="19"/>
  <c r="AO11" i="19"/>
  <c r="AO10" i="19"/>
  <c r="AO9" i="19"/>
  <c r="AO8" i="19"/>
  <c r="AO7" i="19"/>
  <c r="AO6" i="19"/>
  <c r="AO5" i="19"/>
  <c r="AO4" i="19"/>
  <c r="AO3" i="19"/>
  <c r="AO2" i="19"/>
  <c r="AP73" i="19"/>
  <c r="AP66" i="19"/>
  <c r="AP65" i="19"/>
  <c r="AM67" i="16"/>
  <c r="AL67" i="16"/>
  <c r="AN67" i="16"/>
  <c r="AO67" i="16"/>
  <c r="AP67" i="16"/>
  <c r="AL5" i="16"/>
  <c r="AM5" i="16"/>
  <c r="AN5" i="16"/>
  <c r="AO5" i="16"/>
  <c r="AP5" i="16"/>
  <c r="AL71" i="16"/>
  <c r="AM71" i="16"/>
  <c r="AN71" i="16"/>
  <c r="AO71" i="16"/>
  <c r="AP71" i="16"/>
  <c r="AL72" i="16"/>
  <c r="AM72" i="16"/>
  <c r="AN72" i="16"/>
  <c r="AO72" i="16"/>
  <c r="AP72" i="16"/>
  <c r="AL13" i="16"/>
  <c r="AM13" i="16"/>
  <c r="AN13" i="16"/>
  <c r="AO13" i="16"/>
  <c r="AP13" i="16"/>
  <c r="AL79" i="16"/>
  <c r="AM79" i="16"/>
  <c r="AN79" i="16"/>
  <c r="AO79" i="16"/>
  <c r="AP79" i="16"/>
  <c r="AL12" i="16"/>
  <c r="AM12" i="16"/>
  <c r="AN12" i="16"/>
  <c r="AO12" i="16"/>
  <c r="AP12" i="16"/>
  <c r="AL50" i="16"/>
  <c r="AM50" i="16"/>
  <c r="AN50" i="16"/>
  <c r="AO50" i="16"/>
  <c r="AP50" i="16"/>
  <c r="AL35" i="16"/>
  <c r="AM35" i="16"/>
  <c r="AN35" i="16"/>
  <c r="AO35" i="16"/>
  <c r="AP35" i="16"/>
  <c r="AL63" i="16"/>
  <c r="AM63" i="16"/>
  <c r="AN63" i="16"/>
  <c r="AO63" i="16"/>
  <c r="AP63" i="16"/>
  <c r="AL18" i="16"/>
  <c r="AM18" i="16"/>
  <c r="AN18" i="16"/>
  <c r="AO18" i="16"/>
  <c r="AP18" i="16"/>
  <c r="AL48" i="16"/>
  <c r="AM48" i="16"/>
  <c r="AN48" i="16"/>
  <c r="AO48" i="16"/>
  <c r="AP48" i="16"/>
  <c r="AL45" i="16"/>
  <c r="AM45" i="16"/>
  <c r="AN45" i="16"/>
  <c r="AO45" i="16"/>
  <c r="AP45" i="16"/>
  <c r="AL42" i="16"/>
  <c r="AM42" i="16"/>
  <c r="AN42" i="16"/>
  <c r="AO42" i="16"/>
  <c r="AP42" i="16"/>
  <c r="AL16" i="16"/>
  <c r="AM16" i="16"/>
  <c r="AN16" i="16"/>
  <c r="AO16" i="16"/>
  <c r="AP16" i="16"/>
  <c r="AL4" i="16"/>
  <c r="AM4" i="16"/>
  <c r="AN4" i="16"/>
  <c r="AO4" i="16"/>
  <c r="AP4" i="16"/>
  <c r="AL56" i="16"/>
  <c r="AM56" i="16"/>
  <c r="AN56" i="16"/>
  <c r="AO56" i="16"/>
  <c r="AP56" i="16"/>
  <c r="AL40" i="16"/>
  <c r="AM40" i="16"/>
  <c r="AN40" i="16"/>
  <c r="AO40" i="16"/>
  <c r="AP40" i="16"/>
  <c r="AL66" i="16"/>
  <c r="AM66" i="16"/>
  <c r="AN66" i="16"/>
  <c r="AO66" i="16"/>
  <c r="AP66" i="16"/>
  <c r="AL62" i="16"/>
  <c r="AM62" i="16"/>
  <c r="AN62" i="16"/>
  <c r="AO62" i="16"/>
  <c r="AP62" i="16"/>
  <c r="AL25" i="16"/>
  <c r="AM25" i="16"/>
  <c r="AN25" i="16"/>
  <c r="AO25" i="16"/>
  <c r="AP25" i="16"/>
  <c r="AL58" i="16"/>
  <c r="AM58" i="16"/>
  <c r="AN58" i="16"/>
  <c r="AO58" i="16"/>
  <c r="AP58" i="16"/>
  <c r="AL47" i="16"/>
  <c r="AM47" i="16"/>
  <c r="AN47" i="16"/>
  <c r="AO47" i="16"/>
  <c r="AP47" i="16"/>
  <c r="AL82" i="16"/>
  <c r="AM82" i="16"/>
  <c r="AN82" i="16"/>
  <c r="AO82" i="16"/>
  <c r="AP82" i="16"/>
  <c r="AL76" i="16"/>
  <c r="AM76" i="16"/>
  <c r="AN76" i="16"/>
  <c r="AO76" i="16"/>
  <c r="AP76" i="16"/>
  <c r="AL14" i="16"/>
  <c r="AM14" i="16"/>
  <c r="AN14" i="16"/>
  <c r="AO14" i="16"/>
  <c r="AP14" i="16"/>
  <c r="AL59" i="16"/>
  <c r="AM59" i="16"/>
  <c r="AN59" i="16"/>
  <c r="AO59" i="16"/>
  <c r="AP59" i="16"/>
  <c r="AL37" i="16"/>
  <c r="AM37" i="16"/>
  <c r="AN37" i="16"/>
  <c r="AO37" i="16"/>
  <c r="AP37" i="16"/>
  <c r="AL69" i="16"/>
  <c r="AM69" i="16"/>
  <c r="AN69" i="16"/>
  <c r="AO69" i="16"/>
  <c r="AP69" i="16"/>
  <c r="AL6" i="16"/>
  <c r="AM6" i="16"/>
  <c r="AN6" i="16"/>
  <c r="AO6" i="16"/>
  <c r="AP6" i="16"/>
  <c r="AL21" i="16"/>
  <c r="AM21" i="16"/>
  <c r="AN21" i="16"/>
  <c r="AO21" i="16"/>
  <c r="AP21" i="16"/>
  <c r="AL20" i="16"/>
  <c r="AM20" i="16"/>
  <c r="AN20" i="16"/>
  <c r="AO20" i="16"/>
  <c r="AP20" i="16"/>
  <c r="AL22" i="16"/>
  <c r="AM22" i="16"/>
  <c r="AN22" i="16"/>
  <c r="AO22" i="16"/>
  <c r="AP22" i="16"/>
  <c r="AL43" i="16"/>
  <c r="AM43" i="16"/>
  <c r="AN43" i="16"/>
  <c r="AO43" i="16"/>
  <c r="AP43" i="16"/>
  <c r="AL7" i="16"/>
  <c r="AM7" i="16"/>
  <c r="AN7" i="16"/>
  <c r="AO7" i="16"/>
  <c r="AP7" i="16"/>
  <c r="AL30" i="16"/>
  <c r="AM30" i="16"/>
  <c r="AN30" i="16"/>
  <c r="AO30" i="16"/>
  <c r="AP30" i="16"/>
  <c r="AL39" i="16"/>
  <c r="AM39" i="16"/>
  <c r="AN39" i="16"/>
  <c r="AO39" i="16"/>
  <c r="AP39" i="16"/>
  <c r="AL32" i="16"/>
  <c r="AM32" i="16"/>
  <c r="AN32" i="16"/>
  <c r="AO32" i="16"/>
  <c r="AP32" i="16"/>
  <c r="AL75" i="16"/>
  <c r="AM75" i="16"/>
  <c r="AN75" i="16"/>
  <c r="AO75" i="16"/>
  <c r="AP75" i="16"/>
  <c r="AL33" i="16"/>
  <c r="AM33" i="16"/>
  <c r="AN33" i="16"/>
  <c r="AO33" i="16"/>
  <c r="AP33" i="16"/>
  <c r="AL36" i="16"/>
  <c r="AM36" i="16"/>
  <c r="AN36" i="16"/>
  <c r="AO36" i="16"/>
  <c r="AP36" i="16"/>
  <c r="AL60" i="16"/>
  <c r="AM60" i="16"/>
  <c r="AN60" i="16"/>
  <c r="AO60" i="16"/>
  <c r="AP60" i="16"/>
  <c r="AL29" i="16"/>
  <c r="AM29" i="16"/>
  <c r="AN29" i="16"/>
  <c r="AO29" i="16"/>
  <c r="AP29" i="16"/>
  <c r="AL65" i="16"/>
  <c r="AM65" i="16"/>
  <c r="AN65" i="16"/>
  <c r="AO65" i="16"/>
  <c r="AP65" i="16"/>
  <c r="AL38" i="16"/>
  <c r="AM38" i="16"/>
  <c r="AN38" i="16"/>
  <c r="AO38" i="16"/>
  <c r="AP38" i="16"/>
  <c r="AL68" i="16"/>
  <c r="AM68" i="16"/>
  <c r="AN68" i="16"/>
  <c r="AO68" i="16"/>
  <c r="AP68" i="16"/>
  <c r="AL31" i="16"/>
  <c r="AM31" i="16"/>
  <c r="AN31" i="16"/>
  <c r="AO31" i="16"/>
  <c r="AP31" i="16"/>
  <c r="AL24" i="16"/>
  <c r="AM24" i="16"/>
  <c r="AN24" i="16"/>
  <c r="AO24" i="16"/>
  <c r="AP24" i="16"/>
  <c r="AL15" i="16"/>
  <c r="AM15" i="16"/>
  <c r="AN15" i="16"/>
  <c r="AO15" i="16"/>
  <c r="AP15" i="16"/>
  <c r="AL54" i="16"/>
  <c r="AM54" i="16"/>
  <c r="AN54" i="16"/>
  <c r="AO54" i="16"/>
  <c r="AP54" i="16"/>
  <c r="AL28" i="16"/>
  <c r="AM28" i="16"/>
  <c r="AN28" i="16"/>
  <c r="AO28" i="16"/>
  <c r="AP28" i="16"/>
  <c r="AL83" i="16"/>
  <c r="AM83" i="16"/>
  <c r="AN83" i="16"/>
  <c r="AO83" i="16"/>
  <c r="AP83" i="16"/>
  <c r="AL55" i="16"/>
  <c r="AM55" i="16"/>
  <c r="AN55" i="16"/>
  <c r="AO55" i="16"/>
  <c r="AP55" i="16"/>
  <c r="AL2" i="16"/>
  <c r="AM2" i="16"/>
  <c r="AN2" i="16"/>
  <c r="AO2" i="16"/>
  <c r="AP2" i="16"/>
  <c r="AL52" i="16"/>
  <c r="AM52" i="16"/>
  <c r="AN52" i="16"/>
  <c r="AO52" i="16"/>
  <c r="AP52" i="16"/>
  <c r="AL81" i="16"/>
  <c r="AM81" i="16"/>
  <c r="AN81" i="16"/>
  <c r="AO81" i="16"/>
  <c r="AP81" i="16"/>
  <c r="AL41" i="16"/>
  <c r="AM41" i="16"/>
  <c r="AN41" i="16"/>
  <c r="AO41" i="16"/>
  <c r="AP41" i="16"/>
  <c r="AL26" i="16"/>
  <c r="AM26" i="16"/>
  <c r="AN26" i="16"/>
  <c r="AO26" i="16"/>
  <c r="AP26" i="16"/>
  <c r="AL9" i="16"/>
  <c r="AM9" i="16"/>
  <c r="AN9" i="16"/>
  <c r="AO9" i="16"/>
  <c r="AP9" i="16"/>
  <c r="AL49" i="16"/>
  <c r="AM49" i="16"/>
  <c r="AN49" i="16"/>
  <c r="AO49" i="16"/>
  <c r="AP49" i="16"/>
  <c r="AL80" i="16"/>
  <c r="AM80" i="16"/>
  <c r="AN80" i="16"/>
  <c r="AO80" i="16"/>
  <c r="AP80" i="16"/>
  <c r="AL61" i="16"/>
  <c r="AM61" i="16"/>
  <c r="AN61" i="16"/>
  <c r="AO61" i="16"/>
  <c r="AP61" i="16"/>
  <c r="AL27" i="16"/>
  <c r="AM27" i="16"/>
  <c r="AN27" i="16"/>
  <c r="AO27" i="16"/>
  <c r="AP27" i="16"/>
  <c r="AL46" i="16"/>
  <c r="AM46" i="16"/>
  <c r="AN46" i="16"/>
  <c r="AO46" i="16"/>
  <c r="AP46" i="16"/>
  <c r="AL57" i="16"/>
  <c r="AM57" i="16"/>
  <c r="AN57" i="16"/>
  <c r="AO57" i="16"/>
  <c r="AP57" i="16"/>
  <c r="AL17" i="16"/>
  <c r="AM17" i="16"/>
  <c r="AN17" i="16"/>
  <c r="AO17" i="16"/>
  <c r="AP17" i="16"/>
  <c r="AL3" i="16"/>
  <c r="AM3" i="16"/>
  <c r="AN3" i="16"/>
  <c r="AO3" i="16"/>
  <c r="AP3" i="16"/>
  <c r="AL74" i="16"/>
  <c r="AM74" i="16"/>
  <c r="AN74" i="16"/>
  <c r="AO74" i="16"/>
  <c r="AP74" i="16"/>
  <c r="AL78" i="16"/>
  <c r="AM78" i="16"/>
  <c r="AN78" i="16"/>
  <c r="AO78" i="16"/>
  <c r="AP78" i="16"/>
  <c r="AL51" i="16"/>
  <c r="AM51" i="16"/>
  <c r="AN51" i="16"/>
  <c r="AO51" i="16"/>
  <c r="AP51" i="16"/>
  <c r="AL73" i="16"/>
  <c r="AM73" i="16"/>
  <c r="AN73" i="16"/>
  <c r="AO73" i="16"/>
  <c r="AP73" i="16"/>
  <c r="AL19" i="16"/>
  <c r="AM19" i="16"/>
  <c r="AN19" i="16"/>
  <c r="AO19" i="16"/>
  <c r="AP19" i="16"/>
  <c r="AL53" i="16"/>
  <c r="AM53" i="16"/>
  <c r="AN53" i="16"/>
  <c r="AO53" i="16"/>
  <c r="AP53" i="16"/>
  <c r="AL23" i="16"/>
  <c r="AM23" i="16"/>
  <c r="AN23" i="16"/>
  <c r="AO23" i="16"/>
  <c r="AP23" i="16"/>
  <c r="AL70" i="16"/>
  <c r="AM70" i="16"/>
  <c r="AN70" i="16"/>
  <c r="AO70" i="16"/>
  <c r="AP70" i="16"/>
  <c r="AL64" i="16"/>
  <c r="AM64" i="16"/>
  <c r="AN64" i="16"/>
  <c r="AO64" i="16"/>
  <c r="AP64" i="16"/>
  <c r="AL34" i="16"/>
  <c r="AM34" i="16"/>
  <c r="AN34" i="16"/>
  <c r="AO34" i="16"/>
  <c r="AP34" i="16"/>
  <c r="AL44" i="16"/>
  <c r="AM44" i="16"/>
  <c r="AN44" i="16"/>
  <c r="AO44" i="16"/>
  <c r="AP44" i="16"/>
  <c r="AL8" i="16"/>
  <c r="AM8" i="16"/>
  <c r="AN8" i="16"/>
  <c r="AO8" i="16"/>
  <c r="AP8" i="16"/>
  <c r="AL10" i="16"/>
  <c r="AM10" i="16"/>
  <c r="AN10" i="16"/>
  <c r="AO10" i="16"/>
  <c r="AP10" i="16"/>
  <c r="AL77" i="16"/>
  <c r="AM77" i="16"/>
  <c r="AN77" i="16"/>
  <c r="AO77" i="16"/>
  <c r="AP77" i="16"/>
  <c r="AP11" i="16"/>
  <c r="AO11" i="16"/>
  <c r="AN11" i="16"/>
  <c r="AM11" i="16"/>
  <c r="AL11" i="16"/>
  <c r="AP84" i="15"/>
  <c r="AO84" i="15"/>
  <c r="AN84" i="15"/>
  <c r="AM84" i="15"/>
  <c r="AL84" i="15"/>
  <c r="AP83" i="15"/>
  <c r="AO83" i="15"/>
  <c r="AN83" i="15"/>
  <c r="AM83" i="15"/>
  <c r="AL83" i="15"/>
  <c r="AP82" i="15"/>
  <c r="AO82" i="15"/>
  <c r="AN82" i="15"/>
  <c r="AM82" i="15"/>
  <c r="AL82" i="15"/>
  <c r="AP81" i="15"/>
  <c r="AO81" i="15"/>
  <c r="AN81" i="15"/>
  <c r="AM81" i="15"/>
  <c r="AL81" i="15"/>
  <c r="AP80" i="15"/>
  <c r="AO80" i="15"/>
  <c r="AN80" i="15"/>
  <c r="AM80" i="15"/>
  <c r="AL80" i="15"/>
  <c r="AP79" i="15"/>
  <c r="AO79" i="15"/>
  <c r="AN79" i="15"/>
  <c r="AM79" i="15"/>
  <c r="AL79" i="15"/>
  <c r="AP78" i="15"/>
  <c r="AO78" i="15"/>
  <c r="AN78" i="15"/>
  <c r="AM78" i="15"/>
  <c r="AL78" i="15"/>
  <c r="AP77" i="15"/>
  <c r="AO77" i="15"/>
  <c r="AN77" i="15"/>
  <c r="AM77" i="15"/>
  <c r="AL77" i="15"/>
  <c r="AP76" i="15"/>
  <c r="AO76" i="15"/>
  <c r="AN76" i="15"/>
  <c r="AM76" i="15"/>
  <c r="AL76" i="15"/>
  <c r="AP75" i="15"/>
  <c r="AO75" i="15"/>
  <c r="AN75" i="15"/>
  <c r="AM75" i="15"/>
  <c r="AL75" i="15"/>
  <c r="AP74" i="15"/>
  <c r="AO74" i="15"/>
  <c r="AN74" i="15"/>
  <c r="AM74" i="15"/>
  <c r="AL74" i="15"/>
  <c r="AP73" i="15"/>
  <c r="AO73" i="15"/>
  <c r="AN73" i="15"/>
  <c r="AM73" i="15"/>
  <c r="AL73" i="15"/>
  <c r="AP72" i="15"/>
  <c r="AO72" i="15"/>
  <c r="AN72" i="15"/>
  <c r="AM72" i="15"/>
  <c r="AL72" i="15"/>
  <c r="AP71" i="15"/>
  <c r="AO71" i="15"/>
  <c r="AN71" i="15"/>
  <c r="AM71" i="15"/>
  <c r="AL71" i="15"/>
  <c r="AP70" i="15"/>
  <c r="AO70" i="15"/>
  <c r="AN70" i="15"/>
  <c r="AM70" i="15"/>
  <c r="AL70" i="15"/>
  <c r="AP69" i="15"/>
  <c r="AO69" i="15"/>
  <c r="AN69" i="15"/>
  <c r="AM69" i="15"/>
  <c r="AL69" i="15"/>
  <c r="AP68" i="15"/>
  <c r="AO68" i="15"/>
  <c r="AN68" i="15"/>
  <c r="AM68" i="15"/>
  <c r="AL68" i="15"/>
  <c r="AP67" i="15"/>
  <c r="AO67" i="15"/>
  <c r="AN67" i="15"/>
  <c r="AM67" i="15"/>
  <c r="AL67" i="15"/>
  <c r="AP66" i="15"/>
  <c r="AO66" i="15"/>
  <c r="AN66" i="15"/>
  <c r="AM66" i="15"/>
  <c r="AL66" i="15"/>
  <c r="AP65" i="15"/>
  <c r="AO65" i="15"/>
  <c r="AN65" i="15"/>
  <c r="AM65" i="15"/>
  <c r="AL65" i="15"/>
  <c r="AP64" i="15"/>
  <c r="AO64" i="15"/>
  <c r="AN64" i="15"/>
  <c r="AM64" i="15"/>
  <c r="AL64" i="15"/>
  <c r="AP63" i="15"/>
  <c r="AO63" i="15"/>
  <c r="AN63" i="15"/>
  <c r="AM63" i="15"/>
  <c r="AL63" i="15"/>
  <c r="AP62" i="15"/>
  <c r="AO62" i="15"/>
  <c r="AN62" i="15"/>
  <c r="AM62" i="15"/>
  <c r="AL62" i="15"/>
  <c r="AP61" i="15"/>
  <c r="AO61" i="15"/>
  <c r="AN61" i="15"/>
  <c r="AM61" i="15"/>
  <c r="AL61" i="15"/>
  <c r="AP60" i="15"/>
  <c r="AO60" i="15"/>
  <c r="AN60" i="15"/>
  <c r="AM60" i="15"/>
  <c r="AL60" i="15"/>
  <c r="AP59" i="15"/>
  <c r="AO59" i="15"/>
  <c r="AN59" i="15"/>
  <c r="AM59" i="15"/>
  <c r="AL59" i="15"/>
  <c r="AP58" i="15"/>
  <c r="AO58" i="15"/>
  <c r="AN58" i="15"/>
  <c r="AM58" i="15"/>
  <c r="AL58" i="15"/>
  <c r="AP57" i="15"/>
  <c r="AO57" i="15"/>
  <c r="AN57" i="15"/>
  <c r="AM57" i="15"/>
  <c r="AL57" i="15"/>
  <c r="AP56" i="15"/>
  <c r="AO56" i="15"/>
  <c r="AN56" i="15"/>
  <c r="AM56" i="15"/>
  <c r="AL56" i="15"/>
  <c r="AP55" i="15"/>
  <c r="AO55" i="15"/>
  <c r="AN55" i="15"/>
  <c r="AM55" i="15"/>
  <c r="AL55" i="15"/>
  <c r="AP54" i="15"/>
  <c r="AO54" i="15"/>
  <c r="AN54" i="15"/>
  <c r="AM54" i="15"/>
  <c r="AL54" i="15"/>
  <c r="AP53" i="15"/>
  <c r="AO53" i="15"/>
  <c r="AN53" i="15"/>
  <c r="AM53" i="15"/>
  <c r="AL53" i="15"/>
  <c r="AP52" i="15"/>
  <c r="AO52" i="15"/>
  <c r="AN52" i="15"/>
  <c r="AM52" i="15"/>
  <c r="AL52" i="15"/>
  <c r="AP51" i="15"/>
  <c r="AO51" i="15"/>
  <c r="AN51" i="15"/>
  <c r="AM51" i="15"/>
  <c r="AL51" i="15"/>
  <c r="AP50" i="15"/>
  <c r="AO50" i="15"/>
  <c r="AN50" i="15"/>
  <c r="AM50" i="15"/>
  <c r="AL50" i="15"/>
  <c r="AP49" i="15"/>
  <c r="AO49" i="15"/>
  <c r="AN49" i="15"/>
  <c r="AM49" i="15"/>
  <c r="AL49" i="15"/>
  <c r="AP48" i="15"/>
  <c r="AO48" i="15"/>
  <c r="AN48" i="15"/>
  <c r="AM48" i="15"/>
  <c r="AL48" i="15"/>
  <c r="AP47" i="15"/>
  <c r="AO47" i="15"/>
  <c r="AN47" i="15"/>
  <c r="AM47" i="15"/>
  <c r="AL47" i="15"/>
  <c r="AP46" i="15"/>
  <c r="AO46" i="15"/>
  <c r="AN46" i="15"/>
  <c r="AM46" i="15"/>
  <c r="AL46" i="15"/>
  <c r="AP45" i="15"/>
  <c r="AO45" i="15"/>
  <c r="AN45" i="15"/>
  <c r="AM45" i="15"/>
  <c r="AL45" i="15"/>
  <c r="AP44" i="15"/>
  <c r="AO44" i="15"/>
  <c r="AN44" i="15"/>
  <c r="AM44" i="15"/>
  <c r="AL44" i="15"/>
  <c r="AP43" i="15"/>
  <c r="AO43" i="15"/>
  <c r="AN43" i="15"/>
  <c r="AM43" i="15"/>
  <c r="AL43" i="15"/>
  <c r="AP42" i="15"/>
  <c r="AO42" i="15"/>
  <c r="AN42" i="15"/>
  <c r="AM42" i="15"/>
  <c r="AL42" i="15"/>
  <c r="AP41" i="15"/>
  <c r="AO41" i="15"/>
  <c r="AN41" i="15"/>
  <c r="AM41" i="15"/>
  <c r="AL41" i="15"/>
  <c r="AP40" i="15"/>
  <c r="AO40" i="15"/>
  <c r="AN40" i="15"/>
  <c r="AM40" i="15"/>
  <c r="AL40" i="15"/>
  <c r="AP39" i="15"/>
  <c r="AO39" i="15"/>
  <c r="AN39" i="15"/>
  <c r="AM39" i="15"/>
  <c r="AL39" i="15"/>
  <c r="AP38" i="15"/>
  <c r="AO38" i="15"/>
  <c r="AN38" i="15"/>
  <c r="AM38" i="15"/>
  <c r="AL38" i="15"/>
  <c r="AP37" i="15"/>
  <c r="AO37" i="15"/>
  <c r="AN37" i="15"/>
  <c r="AM37" i="15"/>
  <c r="AL37" i="15"/>
  <c r="AP36" i="15"/>
  <c r="AO36" i="15"/>
  <c r="AN36" i="15"/>
  <c r="AM36" i="15"/>
  <c r="AL36" i="15"/>
  <c r="AP35" i="15"/>
  <c r="AO35" i="15"/>
  <c r="AN35" i="15"/>
  <c r="AM35" i="15"/>
  <c r="AL35" i="15"/>
  <c r="AP34" i="15"/>
  <c r="AO34" i="15"/>
  <c r="AN34" i="15"/>
  <c r="AM34" i="15"/>
  <c r="AL34" i="15"/>
  <c r="AP33" i="15"/>
  <c r="AO33" i="15"/>
  <c r="AN33" i="15"/>
  <c r="AM33" i="15"/>
  <c r="AL33" i="15"/>
  <c r="AP32" i="15"/>
  <c r="AO32" i="15"/>
  <c r="AN32" i="15"/>
  <c r="AM32" i="15"/>
  <c r="AL32" i="15"/>
  <c r="AP31" i="15"/>
  <c r="AO31" i="15"/>
  <c r="AN31" i="15"/>
  <c r="AM31" i="15"/>
  <c r="AL31" i="15"/>
  <c r="AP30" i="15"/>
  <c r="AO30" i="15"/>
  <c r="AN30" i="15"/>
  <c r="AM30" i="15"/>
  <c r="AL30" i="15"/>
  <c r="AP29" i="15"/>
  <c r="AO29" i="15"/>
  <c r="AN29" i="15"/>
  <c r="AM29" i="15"/>
  <c r="AL29" i="15"/>
  <c r="AP28" i="15"/>
  <c r="AO28" i="15"/>
  <c r="AN28" i="15"/>
  <c r="AM28" i="15"/>
  <c r="AL28" i="15"/>
  <c r="AP27" i="15"/>
  <c r="AO27" i="15"/>
  <c r="AN27" i="15"/>
  <c r="AM27" i="15"/>
  <c r="AL27" i="15"/>
  <c r="AP26" i="15"/>
  <c r="AO26" i="15"/>
  <c r="AN26" i="15"/>
  <c r="AM26" i="15"/>
  <c r="AL26" i="15"/>
  <c r="AP25" i="15"/>
  <c r="AO25" i="15"/>
  <c r="AN25" i="15"/>
  <c r="AM25" i="15"/>
  <c r="AL25" i="15"/>
  <c r="AP24" i="15"/>
  <c r="AO24" i="15"/>
  <c r="AN24" i="15"/>
  <c r="AM24" i="15"/>
  <c r="AL24" i="15"/>
  <c r="AP23" i="15"/>
  <c r="AO23" i="15"/>
  <c r="AN23" i="15"/>
  <c r="AM23" i="15"/>
  <c r="AL23" i="15"/>
  <c r="AP22" i="15"/>
  <c r="AO22" i="15"/>
  <c r="AN22" i="15"/>
  <c r="AM22" i="15"/>
  <c r="AL22" i="15"/>
  <c r="AP21" i="15"/>
  <c r="AO21" i="15"/>
  <c r="AN21" i="15"/>
  <c r="AM21" i="15"/>
  <c r="AL21" i="15"/>
  <c r="AP20" i="15"/>
  <c r="AO20" i="15"/>
  <c r="AN20" i="15"/>
  <c r="AM20" i="15"/>
  <c r="AL20" i="15"/>
  <c r="AP19" i="15"/>
  <c r="AO19" i="15"/>
  <c r="AN19" i="15"/>
  <c r="AM19" i="15"/>
  <c r="AL19" i="15"/>
  <c r="AP18" i="15"/>
  <c r="AO18" i="15"/>
  <c r="AN18" i="15"/>
  <c r="AM18" i="15"/>
  <c r="AL18" i="15"/>
  <c r="AP17" i="15"/>
  <c r="AO17" i="15"/>
  <c r="AN17" i="15"/>
  <c r="AM17" i="15"/>
  <c r="AL17" i="15"/>
  <c r="AP16" i="15"/>
  <c r="AO16" i="15"/>
  <c r="AN16" i="15"/>
  <c r="AM16" i="15"/>
  <c r="AL16" i="15"/>
  <c r="AP15" i="15"/>
  <c r="AO15" i="15"/>
  <c r="AN15" i="15"/>
  <c r="AM15" i="15"/>
  <c r="AL15" i="15"/>
  <c r="AP14" i="15"/>
  <c r="AO14" i="15"/>
  <c r="AN14" i="15"/>
  <c r="AM14" i="15"/>
  <c r="AL14" i="15"/>
  <c r="AP13" i="15"/>
  <c r="AO13" i="15"/>
  <c r="AN13" i="15"/>
  <c r="AM13" i="15"/>
  <c r="AL13" i="15"/>
  <c r="AP12" i="15"/>
  <c r="AO12" i="15"/>
  <c r="AN12" i="15"/>
  <c r="AM12" i="15"/>
  <c r="AL12" i="15"/>
  <c r="AP11" i="15"/>
  <c r="AO11" i="15"/>
  <c r="AN11" i="15"/>
  <c r="AM11" i="15"/>
  <c r="AL11" i="15"/>
  <c r="AP10" i="15"/>
  <c r="AO10" i="15"/>
  <c r="AN10" i="15"/>
  <c r="AM10" i="15"/>
  <c r="AL10" i="15"/>
  <c r="AP9" i="15"/>
  <c r="AO9" i="15"/>
  <c r="AN9" i="15"/>
  <c r="AM9" i="15"/>
  <c r="AL9" i="15"/>
  <c r="AP8" i="15"/>
  <c r="AO8" i="15"/>
  <c r="AN8" i="15"/>
  <c r="AM8" i="15"/>
  <c r="AL8" i="15"/>
  <c r="AP7" i="15"/>
  <c r="AO7" i="15"/>
  <c r="AN7" i="15"/>
  <c r="AM7" i="15"/>
  <c r="AL7" i="15"/>
  <c r="AP6" i="15"/>
  <c r="AO6" i="15"/>
  <c r="AN6" i="15"/>
  <c r="AM6" i="15"/>
  <c r="AL6" i="15"/>
  <c r="AP5" i="15"/>
  <c r="AO5" i="15"/>
  <c r="AN5" i="15"/>
  <c r="AM5" i="15"/>
  <c r="AL5" i="15"/>
  <c r="AP4" i="15"/>
  <c r="AO4" i="15"/>
  <c r="AN4" i="15"/>
  <c r="AM4" i="15"/>
  <c r="AL4" i="15"/>
  <c r="AP3" i="15"/>
  <c r="AO3" i="15"/>
  <c r="AN3" i="15"/>
  <c r="AM3" i="15"/>
  <c r="AL3" i="15"/>
  <c r="AP2" i="15"/>
  <c r="AO2" i="15"/>
  <c r="AN2" i="15"/>
  <c r="AM2" i="15"/>
  <c r="AL2" i="15"/>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2" i="14"/>
  <c r="C70" i="14"/>
  <c r="C65" i="14"/>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2" i="13"/>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2" i="12"/>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2" i="11"/>
  <c r="E73"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2" i="10"/>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2" i="9"/>
  <c r="D3" i="9"/>
  <c r="D4" i="9"/>
  <c r="D5" i="9"/>
  <c r="D7" i="9"/>
  <c r="D8" i="9"/>
  <c r="D9" i="9"/>
  <c r="D10" i="9"/>
  <c r="D12" i="9"/>
  <c r="D13" i="9"/>
  <c r="D14" i="9"/>
  <c r="D15" i="9"/>
  <c r="D16" i="9"/>
  <c r="D17" i="9"/>
  <c r="D18" i="9"/>
  <c r="D19" i="9"/>
  <c r="D20" i="9"/>
  <c r="D21" i="9"/>
  <c r="D23" i="9"/>
  <c r="D24" i="9"/>
  <c r="D25" i="9"/>
  <c r="D26" i="9"/>
  <c r="D27" i="9"/>
  <c r="D28" i="9"/>
  <c r="D29" i="9"/>
  <c r="D32" i="9"/>
  <c r="D33" i="9"/>
  <c r="D34" i="9"/>
  <c r="D36" i="9"/>
  <c r="D37" i="9"/>
  <c r="D38" i="9"/>
  <c r="D40" i="9"/>
  <c r="D41" i="9"/>
  <c r="D43" i="9"/>
  <c r="D44" i="9"/>
  <c r="D45" i="9"/>
  <c r="D46" i="9"/>
  <c r="D47" i="9"/>
  <c r="D48" i="9"/>
  <c r="D49" i="9"/>
  <c r="D50" i="9"/>
  <c r="D51" i="9"/>
  <c r="D52" i="9"/>
  <c r="D53" i="9"/>
  <c r="D55" i="9"/>
  <c r="D56" i="9"/>
  <c r="D57" i="9"/>
  <c r="D58" i="9"/>
  <c r="D59" i="9"/>
  <c r="D60" i="9"/>
  <c r="D62" i="9"/>
  <c r="D64" i="9"/>
  <c r="D65" i="9"/>
  <c r="D70" i="9"/>
  <c r="D72" i="9"/>
  <c r="D73" i="9"/>
  <c r="D2" i="9"/>
  <c r="C43"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2" i="8"/>
  <c r="F68" i="7"/>
  <c r="F67" i="7"/>
  <c r="F66" i="7"/>
  <c r="F65" i="7"/>
  <c r="F63" i="7"/>
  <c r="F62" i="7"/>
  <c r="F61" i="7"/>
  <c r="F60" i="7"/>
  <c r="F59" i="7"/>
  <c r="F57" i="7"/>
  <c r="F55" i="7"/>
  <c r="F54" i="7"/>
  <c r="F53" i="7"/>
  <c r="F52" i="7"/>
  <c r="F51" i="7"/>
  <c r="F50" i="7"/>
  <c r="F49" i="7"/>
  <c r="F48" i="7"/>
  <c r="F47" i="7"/>
  <c r="F46" i="7"/>
  <c r="F44" i="7"/>
  <c r="F43" i="7"/>
  <c r="F42" i="7"/>
  <c r="F41" i="7"/>
  <c r="F40" i="7"/>
  <c r="F39" i="7"/>
  <c r="F38" i="7"/>
  <c r="F37" i="7"/>
  <c r="F36" i="7"/>
  <c r="F34" i="7"/>
  <c r="F33" i="7"/>
  <c r="F32" i="7"/>
  <c r="F31" i="7"/>
  <c r="F30" i="7"/>
  <c r="F29" i="7"/>
  <c r="F28" i="7"/>
  <c r="F27" i="7"/>
  <c r="F26" i="7"/>
  <c r="F25" i="7"/>
  <c r="F24" i="7"/>
  <c r="F23" i="7"/>
  <c r="F22" i="7"/>
  <c r="F21" i="7"/>
  <c r="F19" i="7"/>
  <c r="F18" i="7"/>
  <c r="F17" i="7"/>
  <c r="F16" i="7"/>
  <c r="F15" i="7"/>
  <c r="F14" i="7"/>
  <c r="F13" i="7"/>
  <c r="F10" i="7"/>
  <c r="F8" i="7"/>
  <c r="F7" i="7"/>
  <c r="F5" i="7"/>
  <c r="F4" i="7"/>
  <c r="F3" i="7"/>
  <c r="F2" i="7"/>
  <c r="E61" i="5"/>
  <c r="E59" i="5"/>
  <c r="E4" i="5"/>
  <c r="E5" i="5"/>
  <c r="E7" i="5"/>
  <c r="E8" i="5"/>
  <c r="E9" i="5"/>
  <c r="E10" i="5"/>
  <c r="E11" i="5"/>
  <c r="E12" i="5"/>
  <c r="E13"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60" i="5"/>
  <c r="E62" i="5"/>
  <c r="E63" i="5"/>
  <c r="E64" i="5"/>
  <c r="E3" i="5"/>
  <c r="E67" i="4"/>
  <c r="E66" i="4"/>
  <c r="E64" i="4"/>
  <c r="E63" i="4"/>
  <c r="E62" i="4"/>
  <c r="E61" i="4"/>
  <c r="E58" i="4"/>
  <c r="E57" i="4"/>
  <c r="E56" i="4"/>
  <c r="E55" i="4"/>
  <c r="E53" i="4"/>
  <c r="E52" i="4"/>
  <c r="E51" i="4"/>
  <c r="E50" i="4"/>
  <c r="E48" i="4"/>
  <c r="E46" i="4"/>
  <c r="E45" i="4"/>
  <c r="E44" i="4"/>
  <c r="E43" i="4"/>
  <c r="E42" i="4"/>
  <c r="E41" i="4"/>
  <c r="E40" i="4"/>
  <c r="E39" i="4"/>
  <c r="E38" i="4"/>
  <c r="E37" i="4"/>
  <c r="E36" i="4"/>
  <c r="E35" i="4"/>
  <c r="E33" i="4"/>
  <c r="E32" i="4"/>
  <c r="E31" i="4"/>
  <c r="E30" i="4"/>
  <c r="E29" i="4"/>
  <c r="E28" i="4"/>
  <c r="E27" i="4"/>
  <c r="E26" i="4"/>
  <c r="E24" i="4"/>
  <c r="E23" i="4"/>
  <c r="E22" i="4"/>
  <c r="E21" i="4"/>
  <c r="E20" i="4"/>
  <c r="E19" i="4"/>
  <c r="E18" i="4"/>
  <c r="E17" i="4"/>
  <c r="E16" i="4"/>
  <c r="E15" i="4"/>
  <c r="E14" i="4"/>
  <c r="E13" i="4"/>
  <c r="E12" i="4"/>
  <c r="E11" i="4"/>
  <c r="E8" i="4"/>
  <c r="E7" i="4"/>
  <c r="E5" i="4"/>
  <c r="E4" i="4"/>
  <c r="E3" i="4"/>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2" i="3"/>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15" i="2"/>
  <c r="D16" i="2"/>
  <c r="D17" i="2"/>
  <c r="D18" i="2"/>
  <c r="D19" i="2"/>
  <c r="D20" i="2"/>
  <c r="D21" i="2"/>
  <c r="D22" i="2"/>
  <c r="D23" i="2"/>
  <c r="D24" i="2"/>
  <c r="D25" i="2"/>
  <c r="D26" i="2"/>
  <c r="D27" i="2"/>
  <c r="D28" i="2"/>
  <c r="D14" i="2"/>
  <c r="E7" i="2"/>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2" i="1"/>
  <c r="A3" i="1"/>
  <c r="A4" i="1" s="1"/>
  <c r="A5" i="1" s="1"/>
  <c r="A6" i="1" s="1"/>
  <c r="A7" i="1" s="1"/>
  <c r="A8" i="1" s="1"/>
  <c r="A9" i="1" s="1"/>
  <c r="A10" i="1" s="1"/>
  <c r="A11" i="1" s="1"/>
  <c r="AP11" i="19" l="1"/>
  <c r="AP29" i="19"/>
  <c r="AP47" i="19"/>
  <c r="AP24" i="19"/>
  <c r="AP30" i="19"/>
  <c r="AP48" i="19"/>
  <c r="AP2" i="19"/>
  <c r="AP52" i="19"/>
  <c r="AP40" i="19"/>
  <c r="AP60" i="19"/>
  <c r="AP7" i="19"/>
  <c r="AP25" i="19"/>
  <c r="AP43" i="19"/>
  <c r="AP61" i="19"/>
  <c r="AP42" i="19"/>
  <c r="AP8" i="19"/>
  <c r="AP26" i="19"/>
  <c r="AP44" i="19"/>
  <c r="AP62" i="19"/>
  <c r="AP63" i="19"/>
  <c r="AP6" i="19"/>
  <c r="AP10" i="19"/>
  <c r="AP28" i="19"/>
  <c r="AP46" i="19"/>
  <c r="AP64" i="19"/>
  <c r="AP58" i="19"/>
  <c r="AP12" i="19"/>
  <c r="AP13" i="19"/>
  <c r="AP17" i="19"/>
  <c r="AP71" i="19"/>
  <c r="AP36" i="19"/>
  <c r="AP72" i="19"/>
  <c r="AP16" i="19"/>
  <c r="AP34" i="19"/>
  <c r="AP4" i="19"/>
  <c r="AP15" i="19"/>
  <c r="AP51" i="19"/>
  <c r="AP69" i="19"/>
  <c r="AP70" i="19"/>
  <c r="AP23" i="19"/>
  <c r="AP33" i="19"/>
  <c r="AP3" i="19"/>
  <c r="AP21" i="19"/>
  <c r="AP39" i="19"/>
  <c r="AP57" i="19"/>
  <c r="A12" i="1"/>
  <c r="A13" i="1" s="1"/>
  <c r="A14" i="1" s="1"/>
  <c r="A15" i="1" s="1"/>
  <c r="A16" i="1" s="1"/>
  <c r="A17" i="1" l="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tc={F372883D-33FA-4B2A-A49B-6163105F7E7A}</author>
    <author>tc={249B720F-475A-4E18-9B9E-CBDDAB053751}</author>
    <author>tc={4F607259-D480-452F-8565-88B7C8F5459B}</author>
    <author>tc={84E41DAD-4183-4B61-8912-BC41BCC805C5}</author>
    <author>tc={65093D11-E18A-4BC3-BB0E-88E3E24FAF89}</author>
    <author>tc={F9D45558-B194-4085-B382-3FA86631E5BE}</author>
    <author>tc={AE5F4EB8-5140-4FA1-925F-05E5394B62F7}</author>
    <author>tc={907E1F7C-43EE-40C9-836A-7DE29B0DC06B}</author>
    <author>tc={A1CECCAF-8125-4231-BC87-5E34FA22EF60}</author>
    <author>tc={E7D77C9B-E55F-4515-BFB5-A6E61282CFAA}</author>
  </authors>
  <commentList>
    <comment ref="G11" authorId="0" shapeId="0" xr:uid="{F372883D-33FA-4B2A-A49B-6163105F7E7A}">
      <text>
        <t>[Threaded comment]
Your version of Excel allows you to read this threaded comment; however, any edits to it will get removed if the file is opened in a newer version of Excel. Learn more: https://go.microsoft.com/fwlink/?linkid=870924
Comment:
    Got Injured, then left for home.</t>
      </text>
    </comment>
    <comment ref="AD15" authorId="1" shapeId="0" xr:uid="{249B720F-475A-4E18-9B9E-CBDDAB053751}">
      <text>
        <t>[Threaded comment]
Your version of Excel allows you to read this threaded comment; however, any edits to it will get removed if the file is opened in a newer version of Excel. Learn more: https://go.microsoft.com/fwlink/?linkid=870924
Comment:
    WFH</t>
      </text>
    </comment>
    <comment ref="AH19" authorId="2" shapeId="0" xr:uid="{4F607259-D480-452F-8565-88B7C8F5459B}">
      <text>
        <t>[Threaded comment]
Your version of Excel allows you to read this threaded comment; however, any edits to it will get removed if the file is opened in a newer version of Excel. Learn more: https://go.microsoft.com/fwlink/?linkid=870924
Comment:
    No record of working in WOCO</t>
      </text>
    </comment>
    <comment ref="AD24" authorId="3" shapeId="0" xr:uid="{84E41DAD-4183-4B61-8912-BC41BCC805C5}">
      <text>
        <t xml:space="preserve">[Threaded comment]
Your version of Excel allows you to read this threaded comment; however, any edits to it will get removed if the file is opened in a newer version of Excel. Learn more: https://go.microsoft.com/fwlink/?linkid=870924
Comment:
    till 2PM at his base location , According to him , he is at salon on 11Am </t>
      </text>
    </comment>
    <comment ref="AE24" authorId="4" shapeId="0" xr:uid="{65093D11-E18A-4BC3-BB0E-88E3E24FAF89}">
      <text>
        <t>[Threaded comment]
Your version of Excel allows you to read this threaded comment; however, any edits to it will get removed if the file is opened in a newer version of Excel. Learn more: https://go.microsoft.com/fwlink/?linkid=870924
Comment:
    From 10 AM to 5:16 PM - Home</t>
      </text>
    </comment>
    <comment ref="AE26" authorId="5" shapeId="0" xr:uid="{F9D45558-B194-4085-B382-3FA86631E5BE}">
      <text>
        <t>[Threaded comment]
Your version of Excel allows you to read this threaded comment; however, any edits to it will get removed if the file is opened in a newer version of Excel. Learn more: https://go.microsoft.com/fwlink/?linkid=870924
Comment:
    Software glitch</t>
      </text>
    </comment>
    <comment ref="AC35" authorId="6" shapeId="0" xr:uid="{AE5F4EB8-5140-4FA1-925F-05E5394B62F7}">
      <text>
        <t>[Threaded comment]
Your version of Excel allows you to read this threaded comment; however, any edits to it will get removed if the file is opened in a newer version of Excel. Learn more: https://go.microsoft.com/fwlink/?linkid=870924
Comment:
    Work for 1/2 hour then left the market</t>
      </text>
    </comment>
    <comment ref="AH45" authorId="7" shapeId="0" xr:uid="{907E1F7C-43EE-40C9-836A-7DE29B0DC06B}">
      <text>
        <t>[Threaded comment]
Your version of Excel allows you to read this threaded comment; however, any edits to it will get removed if the file is opened in a newer version of Excel. Learn more: https://go.microsoft.com/fwlink/?linkid=870924
Comment:
    In half day but doesn't perform any visit till 1pm</t>
      </text>
    </comment>
    <comment ref="Q55" authorId="8" shapeId="0" xr:uid="{A1CECCAF-8125-4231-BC87-5E34FA22EF60}">
      <text>
        <t xml:space="preserve">[Threaded comment]
Your version of Excel allows you to read this threaded comment; however, any edits to it will get removed if the file is opened in a newer version of Excel. Learn more: https://go.microsoft.com/fwlink/?linkid=870924
Comment:
    Hardly worked for 1hr </t>
      </text>
    </comment>
    <comment ref="Q57" authorId="9" shapeId="0" xr:uid="{E7D77C9B-E55F-4515-BFB5-A6E61282CFAA}">
      <text>
        <t>[Threaded comment]
Your version of Excel allows you to read this threaded comment; however, any edits to it will get removed if the file is opened in a newer version of Excel. Learn more: https://go.microsoft.com/fwlink/?linkid=870924
Comment:
    Performed single demo ( worked only 1hr)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tc={EFB3BAFD-3B32-486F-9E03-F35B3FE291E9}</author>
    <author>tc={3D9ACCD7-E19E-4E8C-9007-692391F16416}</author>
    <author>tc={0A89B3A4-8043-4C20-8954-2167B222F6B2}</author>
    <author>tc={50EEC482-ED61-407C-9801-D7397C510748}</author>
    <author>tc={58120359-A6A4-4498-A60E-485D348A02E7}</author>
    <author>tc={F3C88531-7E7E-40EE-B1DF-0DDD7172A6E4}</author>
    <author>tc={B352BBAD-D792-44B7-B5C7-85D1C4AE8332}</author>
    <author>tc={FCB858C4-D1F8-4AB4-B744-B52B4FDC3501}</author>
    <author>tc={B26D62C3-10F9-4FF3-9EEE-B63158617921}</author>
    <author>tc={DF516D16-F002-4783-AFD2-C9872DBBCAF5}</author>
    <author>tc={AB3F5C78-CADB-45CF-8125-47D9DC1DAB70}</author>
    <author>tc={CF44A1E4-2301-44D8-92CD-6A499854B4A0}</author>
    <author>tc={7F4B6765-BE79-4589-90A2-4A3B5582BA95}</author>
    <author>tc={2E754DF0-8F75-4CA0-B81E-CC028FB0CC7F}</author>
    <author>tc={803B0BEF-63A8-47D0-B7AE-669D24BE8562}</author>
  </authors>
  <commentList>
    <comment ref="M2" authorId="0" shapeId="0" xr:uid="{EFB3BAFD-3B32-486F-9E03-F35B3FE291E9}">
      <text>
        <t xml:space="preserve">[Threaded comment]
Your version of Excel allows you to read this threaded comment; however, any edits to it will get removed if the file is opened in a newer version of Excel. Learn more: https://go.microsoft.com/fwlink/?linkid=870924
Comment:
    Taken leave in between </t>
      </text>
    </comment>
    <comment ref="AA2" authorId="1" shapeId="0" xr:uid="{3D9ACCD7-E19E-4E8C-9007-692391F16416}">
      <text>
        <t>[Threaded comment]
Your version of Excel allows you to read this threaded comment; however, any edits to it will get removed if the file is opened in a newer version of Excel. Learn more: https://go.microsoft.com/fwlink/?linkid=870924
Comment:
    Did one visit , then move to her home .As he is not feeling well.</t>
      </text>
    </comment>
    <comment ref="AF9" authorId="2" shapeId="0" xr:uid="{0A89B3A4-8043-4C20-8954-2167B222F6B2}">
      <text>
        <t>[Threaded comment]
Your version of Excel allows you to read this threaded comment; however, any edits to it will get removed if the file is opened in a newer version of Excel. Learn more: https://go.microsoft.com/fwlink/?linkid=870924
Comment:
    No report in a group</t>
      </text>
    </comment>
    <comment ref="X14" authorId="3" shapeId="0" xr:uid="{50EEC482-ED61-407C-9801-D7397C510748}">
      <text>
        <t>[Threaded comment]
Your version of Excel allows you to read this threaded comment; however, any edits to it will get removed if the file is opened in a newer version of Excel. Learn more: https://go.microsoft.com/fwlink/?linkid=870924
Comment:
    WOCO Issue</t>
      </text>
    </comment>
    <comment ref="AE17" authorId="4" shapeId="0" xr:uid="{58120359-A6A4-4498-A60E-485D348A02E7}">
      <text>
        <t>[Threaded comment]
Your version of Excel allows you to read this threaded comment; however, any edits to it will get removed if the file is opened in a newer version of Excel. Learn more: https://go.microsoft.com/fwlink/?linkid=870924
Comment:
    12:10 - 4:40PM Resting in a salon , low BP</t>
      </text>
    </comment>
    <comment ref="AF26" authorId="5" shapeId="0" xr:uid="{F3C88531-7E7E-40EE-B1DF-0DDD7172A6E4}">
      <text>
        <t>[Threaded comment]
Your version of Excel allows you to read this threaded comment; however, any edits to it will get removed if the file is opened in a newer version of Excel. Learn more: https://go.microsoft.com/fwlink/?linkid=870924
Comment:
    Train to goa at 3 PM</t>
      </text>
    </comment>
    <comment ref="AF37" authorId="6" shapeId="0" xr:uid="{B352BBAD-D792-44B7-B5C7-85D1C4AE8332}">
      <text>
        <t xml:space="preserve">[Threaded comment]
Your version of Excel allows you to read this threaded comment; however, any edits to it will get removed if the file is opened in a newer version of Excel. Learn more: https://go.microsoft.com/fwlink/?linkid=870924
Comment:
    Heavy rain </t>
      </text>
    </comment>
    <comment ref="AF46" authorId="7" shapeId="0" xr:uid="{FCB858C4-D1F8-4AB4-B744-B52B4FDC3501}">
      <text>
        <t xml:space="preserve">[Threaded comment]
Your version of Excel allows you to read this threaded comment; however, any edits to it will get removed if the file is opened in a newer version of Excel. Learn more: https://go.microsoft.com/fwlink/?linkid=870924
Comment:
    Whole day phone was dead , report provided by him is invalid Date: 27/04/2025
Name: Rajan Thakur 
Desig: BDE
HQ:Mumbai.
Area :.. borivali
Today demo:0
Book demo:1
1) kanch salon 
9699824333
 Order next month 
2) mali salon 
9869269402
Demo next month 
3) varda salon 
9930043616
Already our client 
4) sumas
9819684178
Already our client 
5)new look 
9987894411
Already our client 
6) guzzari 
8850861091
Demo next month
7) tarang 
8097005657
DEMO next month 
8) distributor point visit
</t>
      </text>
    </comment>
    <comment ref="S51" authorId="8" shapeId="0" xr:uid="{B26D62C3-10F9-4FF3-9EEE-B63158617921}">
      <text>
        <t xml:space="preserve">[Threaded comment]
Your version of Excel allows you to read this threaded comment; however, any edits to it will get removed if the file is opened in a newer version of Excel. Learn more: https://go.microsoft.com/fwlink/?linkid=870924
Comment:
    Bike got punctured, &amp; started his work let. </t>
      </text>
    </comment>
    <comment ref="F56" authorId="9" shapeId="0" xr:uid="{DF516D16-F002-4783-AFD2-C9872DBBCAF5}">
      <text>
        <t>[Threaded comment]
Your version of Excel allows you to read this threaded comment; however, any edits to it will get removed if the file is opened in a newer version of Excel. Learn more: https://go.microsoft.com/fwlink/?linkid=870924
Comment:
    But shown working in software</t>
      </text>
    </comment>
    <comment ref="AF58" authorId="10" shapeId="0" xr:uid="{AB3F5C78-CADB-45CF-8125-47D9DC1DAB70}">
      <text>
        <t xml:space="preserve">[Threaded comment]
Your version of Excel allows you to read this threaded comment; however, any edits to it will get removed if the file is opened in a newer version of Excel. Learn more: https://go.microsoft.com/fwlink/?linkid=870924
Comment:
    Heavy rain </t>
      </text>
    </comment>
    <comment ref="F59" authorId="11" shapeId="0" xr:uid="{CF44A1E4-2301-44D8-92CD-6A499854B4A0}">
      <text>
        <t>[Threaded comment]
Your version of Excel allows you to read this threaded comment; however, any edits to it will get removed if the file is opened in a newer version of Excel. Learn more: https://go.microsoft.com/fwlink/?linkid=870924
Comment:
    Only visited 2 salons</t>
      </text>
    </comment>
    <comment ref="Z61" authorId="12" shapeId="0" xr:uid="{7F4B6765-BE79-4589-90A2-4A3B5582BA95}">
      <text>
        <t>[Threaded comment]
Your version of Excel allows you to read this threaded comment; however, any edits to it will get removed if the file is opened in a newer version of Excel. Learn more: https://go.microsoft.com/fwlink/?linkid=870924
Comment:
    Woco issue</t>
      </text>
    </comment>
    <comment ref="AE63" authorId="13" shapeId="0" xr:uid="{2E754DF0-8F75-4CA0-B81E-CC028FB0CC7F}">
      <text>
        <t xml:space="preserve">[Threaded comment]
Your version of Excel allows you to read this threaded comment; however, any edits to it will get removed if the file is opened in a newer version of Excel. Learn more: https://go.microsoft.com/fwlink/?linkid=870924
Comment:
    Scooty tyre got punctured </t>
      </text>
    </comment>
    <comment ref="AF66" authorId="14" shapeId="0" xr:uid="{803B0BEF-63A8-47D0-B7AE-669D24BE8562}">
      <text>
        <t xml:space="preserve">[Threaded comment]
Your version of Excel allows you to read this threaded comment; however, any edits to it will get removed if the file is opened in a newer version of Excel. Learn more: https://go.microsoft.com/fwlink/?linkid=870924
Comment:
    Heavy rain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tc={8456BD8A-F42E-4667-B02E-49B8F18C9E57}</author>
    <author>tc={A968E27A-42DC-4037-A232-D21DDA3DFA8F}</author>
    <author>tc={037E98B4-1B89-4109-9955-775002059B6D}</author>
    <author>tc={34BB96EB-EDB6-4445-A8C1-14A04C7C139D}</author>
    <author>tc={F5A7E5B0-2E21-463B-A741-2CAEE2A93657}</author>
    <author>tc={4D8BAC4E-58A8-432B-803E-156E206343A9}</author>
    <author>tc={DE593A54-38D8-4062-957B-E4413ACE3BB4}</author>
    <author>tc={3147B753-717C-404F-B82B-467DCA5ADF7C}</author>
    <author>tc={54315F50-6505-4BEA-902B-E4E524DA3D0D}</author>
    <author>tc={65D9C0D9-935B-4D97-ABC7-BCB04812DF93}</author>
  </authors>
  <commentList>
    <comment ref="S7" authorId="0" shapeId="0" xr:uid="{8456BD8A-F42E-4667-B02E-49B8F18C9E57}">
      <text>
        <t xml:space="preserve">[Threaded comment]
Your version of Excel allows you to read this threaded comment; however, any edits to it will get removed if the file is opened in a newer version of Excel. Learn more: https://go.microsoft.com/fwlink/?linkid=870924
Comment:
    Absent in the Product knowledge meeting </t>
      </text>
    </comment>
    <comment ref="AG13" authorId="1" shapeId="0" xr:uid="{A968E27A-42DC-4037-A232-D21DDA3DFA8F}">
      <text>
        <t xml:space="preserve">[Threaded comment]
Your version of Excel allows you to read this threaded comment; however, any edits to it will get removed if the file is opened in a newer version of Excel. Learn more: https://go.microsoft.com/fwlink/?linkid=870924
Comment:
    Phone display cracked &amp; no details of his working </t>
      </text>
    </comment>
    <comment ref="S15" authorId="2" shapeId="0" xr:uid="{037E98B4-1B89-4109-9955-775002059B6D}">
      <text>
        <t xml:space="preserve">[Threaded comment]
Your version of Excel allows you to read this threaded comment; however, any edits to it will get removed if the file is opened in a newer version of Excel. Learn more: https://go.microsoft.com/fwlink/?linkid=870924
Comment:
    Not present in the product knowledge meeting </t>
      </text>
    </comment>
    <comment ref="AG15" authorId="3" shapeId="0" xr:uid="{34BB96EB-EDB6-4445-A8C1-14A04C7C139D}">
      <text>
        <t xml:space="preserve">[Threaded comment]
Your version of Excel allows you to read this threaded comment; however, any edits to it will get removed if the file is opened in a newer version of Excel. Learn more: https://go.microsoft.com/fwlink/?linkid=870924
Comment:
    In software no record of visit &amp; according to report of 8 visits Sharose number is invalid except Oleevia neither of them are responding to the call or switched off. </t>
      </text>
    </comment>
    <comment ref="AG20" authorId="4" shapeId="0" xr:uid="{F5A7E5B0-2E21-463B-A741-2CAEE2A93657}">
      <text>
        <t>[Threaded comment]
Your version of Excel allows you to read this threaded comment; however, any edits to it will get removed if the file is opened in a newer version of Excel. Learn more: https://go.microsoft.com/fwlink/?linkid=870924
Comment:
    Visited Mathura not in the knowledge of the Shariq , even i asked him the details of the visit he didn't shared.</t>
      </text>
    </comment>
    <comment ref="S48" authorId="5" shapeId="0" xr:uid="{4D8BAC4E-58A8-432B-803E-156E206343A9}">
      <text>
        <t xml:space="preserve">[Threaded comment]
Your version of Excel allows you to read this threaded comment; however, any edits to it will get removed if the file is opened in a newer version of Excel. Learn more: https://go.microsoft.com/fwlink/?linkid=870924
Comment:
    Absent in the product knowledge meeting </t>
      </text>
    </comment>
    <comment ref="S49" authorId="6" shapeId="0" xr:uid="{DE593A54-38D8-4062-957B-E4413ACE3BB4}">
      <text>
        <t xml:space="preserve">[Threaded comment]
Your version of Excel allows you to read this threaded comment; however, any edits to it will get removed if the file is opened in a newer version of Excel. Learn more: https://go.microsoft.com/fwlink/?linkid=870924
Comment:
    Absent in the product knowledge meeting </t>
      </text>
    </comment>
    <comment ref="Y50" authorId="7" shapeId="0" xr:uid="{3147B753-717C-404F-B82B-467DCA5ADF7C}">
      <text>
        <t>[Threaded comment]
Your version of Excel allows you to read this threaded comment; however, any edits to it will get removed if the file is opened in a newer version of Excel. Learn more: https://go.microsoft.com/fwlink/?linkid=870924
Comment:
    No data of working in a software, Even messaged him left the message unseen</t>
      </text>
    </comment>
    <comment ref="R58" authorId="8" shapeId="0" xr:uid="{54315F50-6505-4BEA-902B-E4E524DA3D0D}">
      <text>
        <t xml:space="preserve">[Threaded comment]
Your version of Excel allows you to read this threaded comment; however, any edits to it will get removed if the file is opened in a newer version of Excel. Learn more: https://go.microsoft.com/fwlink/?linkid=870924
Comment:
    Travelling Bhopal to Rewa </t>
      </text>
    </comment>
    <comment ref="S59" authorId="9" shapeId="0" xr:uid="{65D9C0D9-935B-4D97-ABC7-BCB04812DF93}">
      <text>
        <t xml:space="preserve">[Threaded comment]
Your version of Excel allows you to read this threaded comment; however, any edits to it will get removed if the file is opened in a newer version of Excel. Learn more: https://go.microsoft.com/fwlink/?linkid=870924
Comment:
    Absent in the product knowledge meeting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tc={374A1F1F-5AC3-4DAB-8EAC-FBFDD8B1BC24}</author>
    <author>tc={E26D3233-D0F2-4B0A-8C5C-CBE4D196BDB1}</author>
    <author>tc={5CFE7273-540A-4191-AB12-65328D18B0E5}</author>
    <author>tc={F05D443B-9108-4FDE-887F-1702E6D654FC}</author>
    <author>tc={FDFD46FE-755E-47BC-9085-C55E55A304FD}</author>
    <author>tc={22A87FF5-4AF5-414B-BD2D-293FBC9ECFF7}</author>
    <author>tc={94EFAF60-09CF-474E-9730-73F3804BF25E}</author>
    <author>tc={C6447BC4-316E-49DF-96F3-9FC82A5C4484}</author>
    <author>tc={8FDCC307-1DC2-4C48-92C5-3112A3422F84}</author>
    <author>tc={953E0331-46B8-4FAC-BB05-4BFFABE9F5A0}</author>
    <author>tc={5F6B8748-9A00-48CB-A48D-884E345686EF}</author>
    <author>tc={07B34257-C83E-4796-BC7A-D8FC6A44F68D}</author>
    <author>tc={5AD4FD4A-8F79-4FEF-B5CE-BFDAFD57AAEC}</author>
    <author>tc={02E0CE61-0867-40D1-AE0C-91281753A1A8}</author>
    <author>tc={394F88F9-5123-4AEC-B9FE-0CDD63C4DD77}</author>
    <author>tc={FFA61594-4253-4DB9-92CE-2AE6578A087F}</author>
    <author>tc={A44A8E99-C300-4C78-8D69-BA935ABC151B}</author>
    <author>tc={991AF1BB-142C-484F-865F-37DFFB8D7669}</author>
    <author>tc={B847CAFF-6610-49EA-A829-6F1BCCEBA178}</author>
    <author>tc={B0A2D6B6-81F6-4565-8E19-91A9B090BD20}</author>
    <author>tc={07952B0F-DE23-477B-8D79-32A9AFCC181F}</author>
    <author>tc={AA9BC31E-11C7-4A78-AB12-440A48848857}</author>
    <author>tc={0AA5B164-AD9F-49A6-8D4D-D996AB365FF3}</author>
    <author>tc={3B24710F-3426-4159-B768-07CCB449FC51}</author>
    <author>tc={7A549135-58DD-452D-9D8B-297DA00F705B}</author>
    <author>tc={000D7F0F-E790-4B60-92CB-456BED8AE204}</author>
  </authors>
  <commentList>
    <comment ref="AF2" authorId="0" shapeId="0" xr:uid="{374A1F1F-5AC3-4DAB-8EAC-FBFDD8B1BC24}">
      <text>
        <t>[Threaded comment]
Your version of Excel allows you to read this threaded comment; however, any edits to it will get removed if the file is opened in a newer version of Excel. Learn more: https://go.microsoft.com/fwlink/?linkid=870924
Comment:
    Forget to check in on time</t>
      </text>
    </comment>
    <comment ref="AK4" authorId="1" shapeId="0" xr:uid="{E26D3233-D0F2-4B0A-8C5C-CBE4D196BDB1}">
      <text>
        <t>[Threaded comment]
Your version of Excel allows you to read this threaded comment; however, any edits to it will get removed if the file is opened in a newer version of Excel. Learn more: https://go.microsoft.com/fwlink/?linkid=870924
Comment:
    Raining</t>
      </text>
    </comment>
    <comment ref="AI5" authorId="2" shapeId="0" xr:uid="{5CFE7273-540A-4191-AB12-65328D18B0E5}">
      <text>
        <t>[Threaded comment]
Your version of Excel allows you to read this threaded comment; however, any edits to it will get removed if the file is opened in a newer version of Excel. Learn more: https://go.microsoft.com/fwlink/?linkid=870924
Comment:
    Started work after 2:14pm</t>
      </text>
    </comment>
    <comment ref="H13" authorId="3" shapeId="0" xr:uid="{F05D443B-9108-4FDE-887F-1702E6D654FC}">
      <text>
        <t>[Threaded comment]
Your version of Excel allows you to read this threaded comment; however, any edits to it will get removed if the file is opened in a newer version of Excel. Learn more: https://go.microsoft.com/fwlink/?linkid=870924
Comment:
    No check in in software &amp; in report just visited 4 salons in mizoram</t>
      </text>
    </comment>
    <comment ref="H20" authorId="4" shapeId="0" xr:uid="{FDFD46FE-755E-47BC-9085-C55E55A304FD}">
      <text>
        <t>[Threaded comment]
Your version of Excel allows you to read this threaded comment; however, any edits to it will get removed if the file is opened in a newer version of Excel. Learn more: https://go.microsoft.com/fwlink/?linkid=870924
Comment:
    No record of working in the software, still i called him on 3rd his phone is switched off</t>
      </text>
    </comment>
    <comment ref="I20" authorId="5" shapeId="0" xr:uid="{22A87FF5-4AF5-414B-BD2D-293FBC9ECFF7}">
      <text>
        <t xml:space="preserve">[Threaded comment]
Your version of Excel allows you to read this threaded comment; however, any edits to it will get removed if the file is opened in a newer version of Excel. Learn more: https://go.microsoft.com/fwlink/?linkid=870924
Comment:
    No record of his working in the software even the phone is switched off. </t>
      </text>
    </comment>
    <comment ref="AK26" authorId="6" shapeId="0" xr:uid="{94EFAF60-09CF-474E-9730-73F3804BF25E}">
      <text>
        <t xml:space="preserve">[Threaded comment]
Your version of Excel allows you to read this threaded comment; however, any edits to it will get removed if the file is opened in a newer version of Excel. Learn more: https://go.microsoft.com/fwlink/?linkid=870924
Comment:
    Just worked for 3:16 - 3:41 PM in working hour </t>
      </text>
    </comment>
    <comment ref="H28" authorId="7" shapeId="0" xr:uid="{C6447BC4-316E-49DF-96F3-9FC82A5C4484}">
      <text>
        <t>[Threaded comment]
Your version of Excel allows you to read this threaded comment; however, any edits to it will get removed if the file is opened in a newer version of Excel. Learn more: https://go.microsoft.com/fwlink/?linkid=870924
Comment:
    Worked for 3:30 hrs only- Rain</t>
      </text>
    </comment>
    <comment ref="K28" authorId="8" shapeId="0" xr:uid="{8FDCC307-1DC2-4C48-92C5-3112A3422F84}">
      <text>
        <t>[Threaded comment]
Your version of Excel allows you to read this threaded comment; however, any edits to it will get removed if the file is opened in a newer version of Excel. Learn more: https://go.microsoft.com/fwlink/?linkid=870924
Comment:
    Rain</t>
      </text>
    </comment>
    <comment ref="M30" authorId="9" shapeId="0" xr:uid="{953E0331-46B8-4FAC-BB05-4BFFABE9F5A0}">
      <text>
        <t>[Threaded comment]
Your version of Excel allows you to read this threaded comment; however, any edits to it will get removed if the file is opened in a newer version of Excel. Learn more: https://go.microsoft.com/fwlink/?linkid=870924
Comment:
    App issue</t>
      </text>
    </comment>
    <comment ref="AI30" authorId="10" shapeId="0" xr:uid="{5F6B8748-9A00-48CB-A48D-884E345686EF}">
      <text>
        <t>[Threaded comment]
Your version of Excel allows you to read this threaded comment; however, any edits to it will get removed if the file is opened in a newer version of Excel. Learn more: https://go.microsoft.com/fwlink/?linkid=870924
Comment:
    HIS FATHER IS HOSPITALIZED</t>
      </text>
    </comment>
    <comment ref="H32" authorId="11" shapeId="0" xr:uid="{07B34257-C83E-4796-BC7A-D8FC6A44F68D}">
      <text>
        <t>[Threaded comment]
Your version of Excel allows you to read this threaded comment; however, any edits to it will get removed if the file is opened in a newer version of Excel. Learn more: https://go.microsoft.com/fwlink/?linkid=870924
Comment:
    Worked for 4hrs</t>
      </text>
    </comment>
    <comment ref="I38" authorId="12" shapeId="0" xr:uid="{5AD4FD4A-8F79-4FEF-B5CE-BFDAFD57AAEC}">
      <text>
        <t>[Threaded comment]
Your version of Excel allows you to read this threaded comment; however, any edits to it will get removed if the file is opened in a newer version of Excel. Learn more: https://go.microsoft.com/fwlink/?linkid=870924
Comment:
    Just one demo in tony &amp; guy(11:30 to 2:30PM) not responding to the call as well</t>
      </text>
    </comment>
    <comment ref="T40" authorId="13" shapeId="0" xr:uid="{02E0CE61-0867-40D1-AE0C-91281753A1A8}">
      <text>
        <t>[Threaded comment]
Your version of Excel allows you to read this threaded comment; however, any edits to it will get removed if the file is opened in a newer version of Excel. Learn more: https://go.microsoft.com/fwlink/?linkid=870924
Comment:
    Shariq told her to go Farrukhabad, but she dont visit</t>
      </text>
    </comment>
    <comment ref="O55" authorId="14" shapeId="0" xr:uid="{394F88F9-5123-4AEC-B9FE-0CDD63C4DD77}">
      <text>
        <t>[Threaded comment]
Your version of Excel allows you to read this threaded comment; however, any edits to it will get removed if the file is opened in a newer version of Excel. Learn more: https://go.microsoft.com/fwlink/?linkid=870924
Comment:
    Not login to the software</t>
      </text>
    </comment>
    <comment ref="P55" authorId="15" shapeId="0" xr:uid="{FFA61594-4253-4DB9-92CE-2AE6578A087F}">
      <text>
        <t>[Threaded comment]
Your version of Excel allows you to read this threaded comment; however, any edits to it will get removed if the file is opened in a newer version of Excel. Learn more: https://go.microsoft.com/fwlink/?linkid=870924
Comment:
    Not login to the software</t>
      </text>
    </comment>
    <comment ref="J56" authorId="16" shapeId="0" xr:uid="{A44A8E99-C300-4C78-8D69-BA935ABC151B}">
      <text>
        <t>[Threaded comment]
Your version of Excel allows you to read this threaded comment; however, any edits to it will get removed if the file is opened in a newer version of Excel. Learn more: https://go.microsoft.com/fwlink/?linkid=870924
Comment:
    Not responded to the call , &amp; no working in software</t>
      </text>
    </comment>
    <comment ref="K56" authorId="17" shapeId="0" xr:uid="{991AF1BB-142C-484F-865F-37DFFB8D7669}">
      <text>
        <t>[Threaded comment]
Your version of Excel allows you to read this threaded comment; however, any edits to it will get removed if the file is opened in a newer version of Excel. Learn more: https://go.microsoft.com/fwlink/?linkid=870924
Comment:
    Not responded to the call &amp; no working in software</t>
      </text>
    </comment>
    <comment ref="G59" authorId="18" shapeId="0" xr:uid="{B847CAFF-6610-49EA-A829-6F1BCCEBA178}">
      <text>
        <t>[Threaded comment]
Your version of Excel allows you to read this threaded comment; however, any edits to it will get removed if the file is opened in a newer version of Excel. Learn more: https://go.microsoft.com/fwlink/?linkid=870924
Comment:
    Check-in at 4:46 PM &amp; even called for the clarification on 3rd July- not responded</t>
      </text>
    </comment>
    <comment ref="H59" authorId="19" shapeId="0" xr:uid="{B0A2D6B6-81F6-4565-8E19-91A9B090BD20}">
      <text>
        <t>[Threaded comment]
Your version of Excel allows you to read this threaded comment; however, any edits to it will get removed if the file is opened in a newer version of Excel. Learn more: https://go.microsoft.com/fwlink/?linkid=870924
Comment:
    Check-in at 3:45 PM &amp; even called for the clarification on 3rd July- not responded</t>
      </text>
    </comment>
    <comment ref="AH59" authorId="20" shapeId="0" xr:uid="{07952B0F-DE23-477B-8D79-32A9AFCC181F}">
      <text>
        <t>[Threaded comment]
Your version of Excel allows you to read this threaded comment; however, any edits to it will get removed if the file is opened in a newer version of Excel. Learn more: https://go.microsoft.com/fwlink/?linkid=870924
Comment:
    RAINING</t>
      </text>
    </comment>
    <comment ref="AI59" authorId="21" shapeId="0" xr:uid="{AA9BC31E-11C7-4A78-AB12-440A48848857}">
      <text>
        <t>[Threaded comment]
Your version of Excel allows you to read this threaded comment; however, any edits to it will get removed if the file is opened in a newer version of Excel. Learn more: https://go.microsoft.com/fwlink/?linkid=870924
Comment:
    RAINING</t>
      </text>
    </comment>
    <comment ref="T62" authorId="22" shapeId="0" xr:uid="{0AA5B164-AD9F-49A6-8D4D-D996AB365FF3}">
      <text>
        <t>[Threaded comment]
Your version of Excel allows you to read this threaded comment; however, any edits to it will get removed if the file is opened in a newer version of Excel. Learn more: https://go.microsoft.com/fwlink/?linkid=870924
Comment:
    No report in software even contacted on 15 no responded</t>
      </text>
    </comment>
    <comment ref="AA62" authorId="23" shapeId="0" xr:uid="{3B24710F-3426-4159-B768-07CCB449FC51}">
      <text>
        <t xml:space="preserve">[Threaded comment]
Your version of Excel allows you to read this threaded comment; however, any edits to it will get removed if the file is opened in a newer version of Excel. Learn more: https://go.microsoft.com/fwlink/?linkid=870924
Comment:
    Travelled zero km </t>
      </text>
    </comment>
    <comment ref="AD62" authorId="24" shapeId="0" xr:uid="{7A549135-58DD-452D-9D8B-297DA00F705B}">
      <text>
        <t>[Threaded comment]
Your version of Excel allows you to read this threaded comment; however, any edits to it will get removed if the file is opened in a newer version of Excel. Learn more: https://go.microsoft.com/fwlink/?linkid=870924
Comment:
    No proper report in group</t>
      </text>
    </comment>
    <comment ref="AE62" authorId="25" shapeId="0" xr:uid="{000D7F0F-E790-4B60-92CB-456BED8AE204}">
      <text>
        <t>[Threaded comment]
Your version of Excel allows you to read this threaded comment; however, any edits to it will get removed if the file is opened in a newer version of Excel. Learn more: https://go.microsoft.com/fwlink/?linkid=870924
Comment:
    No record of working in the software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tc={BDA19BD9-AF55-4207-8A91-348C7E4F90B1}</author>
    <author>tc={31DA0DCC-F05D-485E-A468-FB07AB757FB6}</author>
    <author>tc={91965191-2C57-460B-9972-CCF335FE655E}</author>
    <author>tc={A72ADFA3-0C7F-4C08-AACE-238CA0439FF9}</author>
    <author>tc={CF343D7F-FD42-46F8-8FC6-AF8AEA566923}</author>
    <author>tc={208FD6E7-1C8D-43C8-8DC2-9486C3C713AE}</author>
    <author>tc={4BC5DF19-B4AC-469D-8469-D38DEF818638}</author>
    <author>tc={46EEE12F-A9A6-4ED6-8685-0BE628B6EE72}</author>
    <author>tc={117DDA33-9ACC-4B22-95F5-DE39EDA68FF4}</author>
    <author>tc={8DA9C8C1-10DA-4172-B60E-184FC9FDD7A8}</author>
    <author>tc={B6E261DC-967D-4AD1-A7F4-73F8F5EE5911}</author>
    <author>tc={A50DD68F-4495-4997-B3B2-ED5740CF085E}</author>
    <author>tc={A3695DD5-544A-4834-BFAA-73B3740A10B3}</author>
    <author>tc={4996E4C7-90B5-4951-9749-89C8E1A50ABE}</author>
    <author>tc={5984DD11-E349-45B1-8FCC-77FC5B60608F}</author>
    <author>tc={05F65C27-F2D5-4223-9FE5-1C9DD34C8971}</author>
  </authors>
  <commentList>
    <comment ref="AD4" authorId="0" shapeId="0" xr:uid="{BDA19BD9-AF55-4207-8A91-348C7E4F90B1}">
      <text>
        <t xml:space="preserve">[Threaded comment]
Your version of Excel allows you to read this threaded comment; however, any edits to it will get removed if the file is opened in a newer version of Excel. Learn more: https://go.microsoft.com/fwlink/?linkid=870924
Comment:
    At home </t>
      </text>
    </comment>
    <comment ref="AG5" authorId="1" shapeId="0" xr:uid="{31DA0DCC-F05D-485E-A468-FB07AB757FB6}">
      <text>
        <t xml:space="preserve">[Threaded comment]
Your version of Excel allows you to read this threaded comment; however, any edits to it will get removed if the file is opened in a newer version of Excel. Learn more: https://go.microsoft.com/fwlink/?linkid=870924
Comment:
    Not responded to the call done on 29 regarding 28th working </t>
      </text>
    </comment>
    <comment ref="AG6" authorId="2" shapeId="0" xr:uid="{91965191-2C57-460B-9972-CCF335FE655E}">
      <text>
        <t>[Threaded comment]
Your version of Excel allows you to read this threaded comment; however, any edits to it will get removed if the file is opened in a newer version of Excel. Learn more: https://go.microsoft.com/fwlink/?linkid=870924
Comment:
    Raining</t>
      </text>
    </comment>
    <comment ref="AH6" authorId="3" shapeId="0" xr:uid="{A72ADFA3-0C7F-4C08-AACE-238CA0439FF9}">
      <text>
        <t>[Threaded comment]
Your version of Excel allows you to read this threaded comment; however, any edits to it will get removed if the file is opened in a newer version of Excel. Learn more: https://go.microsoft.com/fwlink/?linkid=870924
Comment:
    Raining</t>
      </text>
    </comment>
    <comment ref="I8" authorId="4" shapeId="0" xr:uid="{CF343D7F-FD42-46F8-8FC6-AF8AEA566923}">
      <text>
        <t>[Threaded comment]
Your version of Excel allows you to read this threaded comment; however, any edits to it will get removed if the file is opened in a newer version of Excel. Learn more: https://go.microsoft.com/fwlink/?linkid=870924
Comment:
    Heavy rain</t>
      </text>
    </comment>
    <comment ref="M8" authorId="5" shapeId="0" xr:uid="{208FD6E7-1C8D-43C8-8DC2-9486C3C713AE}">
      <text>
        <t>[Threaded comment]
Your version of Excel allows you to read this threaded comment; however, any edits to it will get removed if the file is opened in a newer version of Excel. Learn more: https://go.microsoft.com/fwlink/?linkid=870924
Comment:
    Raining</t>
      </text>
    </comment>
    <comment ref="AI9" authorId="6" shapeId="0" xr:uid="{4BC5DF19-B4AC-469D-8469-D38DEF818638}">
      <text>
        <t>[Threaded comment]
Your version of Excel allows you to read this threaded comment; however, any edits to it will get removed if the file is opened in a newer version of Excel. Learn more: https://go.microsoft.com/fwlink/?linkid=870924
Comment:
    No report in a group</t>
      </text>
    </comment>
    <comment ref="AB10" authorId="7" shapeId="0" xr:uid="{46EEE12F-A9A6-4ED6-8685-0BE628B6EE72}">
      <text>
        <t xml:space="preserve">[Threaded comment]
Your version of Excel allows you to read this threaded comment; however, any edits to it will get removed if the file is opened in a newer version of Excel. Learn more: https://go.microsoft.com/fwlink/?linkid=870924
Comment:
    Network issue </t>
      </text>
    </comment>
    <comment ref="AH12" authorId="8" shapeId="0" xr:uid="{117DDA33-9ACC-4B22-95F5-DE39EDA68FF4}">
      <text>
        <t>[Threaded comment]
Your version of Excel allows you to read this threaded comment; however, any edits to it will get removed if the file is opened in a newer version of Excel. Learn more: https://go.microsoft.com/fwlink/?linkid=870924
Comment:
    At base location till 2:54 PM</t>
      </text>
    </comment>
    <comment ref="AH13" authorId="9" shapeId="0" xr:uid="{8DA9C8C1-10DA-4172-B60E-184FC9FDD7A8}">
      <text>
        <t>[Threaded comment]
Your version of Excel allows you to read this threaded comment; however, any edits to it will get removed if the file is opened in a newer version of Excel. Learn more: https://go.microsoft.com/fwlink/?linkid=870924
Comment:
    At base location till 2:13 PM</t>
      </text>
    </comment>
    <comment ref="F24" authorId="10" shapeId="0" xr:uid="{B6E261DC-967D-4AD1-A7F4-73F8F5EE5911}">
      <text>
        <t>[Threaded comment]
Your version of Excel allows you to read this threaded comment; however, any edits to it will get removed if the file is opened in a newer version of Excel. Learn more: https://go.microsoft.com/fwlink/?linkid=870924
Comment:
    His daughter is getting fever</t>
      </text>
    </comment>
    <comment ref="G30" authorId="11" shapeId="0" xr:uid="{A50DD68F-4495-4997-B3B2-ED5740CF085E}">
      <text>
        <t xml:space="preserve">[Threaded comment]
Your version of Excel allows you to read this threaded comment; however, any edits to it will get removed if the file is opened in a newer version of Excel. Learn more: https://go.microsoft.com/fwlink/?linkid=870924
Comment:
    Full day at hospital </t>
      </text>
    </comment>
    <comment ref="AG38" authorId="12" shapeId="0" xr:uid="{A3695DD5-544A-4834-BFAA-73B3740A10B3}">
      <text>
        <t xml:space="preserve">[Threaded comment]
Your version of Excel allows you to read this threaded comment; however, any edits to it will get removed if the file is opened in a newer version of Excel. Learn more: https://go.microsoft.com/fwlink/?linkid=870924
Comment:
    Till 3pm at home even not responded to the call done on 29 </t>
      </text>
    </comment>
    <comment ref="I41" authorId="13" shapeId="0" xr:uid="{4996E4C7-90B5-4951-9749-89C8E1A50ABE}">
      <text>
        <t>[Threaded comment]
Your version of Excel allows you to read this threaded comment; however, any edits to it will get removed if the file is opened in a newer version of Excel. Learn more: https://go.microsoft.com/fwlink/?linkid=870924
Comment:
    Heavy rain</t>
      </text>
    </comment>
    <comment ref="M56" authorId="14" shapeId="0" xr:uid="{5984DD11-E349-45B1-8FCC-77FC5B60608F}">
      <text>
        <t>[Threaded comment]
Your version of Excel allows you to read this threaded comment; however, any edits to it will get removed if the file is opened in a newer version of Excel. Learn more: https://go.microsoft.com/fwlink/?linkid=870924
Comment:
    Raining</t>
      </text>
    </comment>
    <comment ref="AH66" authorId="15" shapeId="0" xr:uid="{05F65C27-F2D5-4223-9FE5-1C9DD34C8971}">
      <text>
        <t>[Threaded comment]
Your version of Excel allows you to read this threaded comment; however, any edits to it will get removed if the file is opened in a newer version of Excel. Learn more: https://go.microsoft.com/fwlink/?linkid=870924
Comment:
    Raining</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tc={14000BF3-E64E-4378-A0EE-F33CBDE7EA02}</author>
    <author>tc={7D015F41-E5FE-4E91-9618-75FBCD4BCA31}</author>
    <author>tc={467CF29B-C8BA-44C4-B813-93E89680DF67}</author>
    <author>tc={9AFE4856-123A-4DEF-B3C0-661A138431D7}</author>
    <author>tc={64EEFC50-E22E-41FA-8EC3-56D261AF44E1}</author>
    <author>tc={E57AC62F-19EB-4C14-B905-25FFCCE30DC5}</author>
    <author>tc={B65ED55A-EBD1-43ED-82DA-8A0F76E95FE2}</author>
    <author>tc={0F2B5994-B312-4F51-B848-26E06B400426}</author>
    <author>tc={0EB02864-A2CB-43CC-B44D-83531C4C62B6}</author>
    <author>tc={A7EDD21E-CA29-4A5F-A7CA-29A872C009D3}</author>
    <author>tc={B4A87A1C-5626-47A1-AF40-D3919F428C52}</author>
    <author>tc={29F9FBFC-CF99-45DF-872B-693E1E5EDC5E}</author>
    <author>tc={B4DB1D9C-5361-48B7-A1A8-316A81CC3594}</author>
    <author>tc={42CD4132-9DBC-4AC8-A321-69252AC923BC}</author>
    <author>tc={4730D687-4D58-4A1C-98DE-2F4F10505A89}</author>
    <author>tc={E9E909A3-DCBC-4DFC-916F-CE33EEE26B39}</author>
    <author>tc={CF4D31B3-051B-4357-9B78-380A094E3EBE}</author>
    <author>tc={7527AF77-72FE-4E58-A919-21D3B1F298B0}</author>
  </authors>
  <commentList>
    <comment ref="F10" authorId="0" shapeId="0" xr:uid="{14000BF3-E64E-4378-A0EE-F33CBDE7EA02}">
      <text>
        <t xml:space="preserve">[Threaded comment]
Your version of Excel allows you to read this threaded comment; however, any edits to it will get removed if the file is opened in a newer version of Excel. Learn more: https://go.microsoft.com/fwlink/?linkid=870924
Comment:
    Training full day </t>
      </text>
    </comment>
    <comment ref="F13" authorId="1" shapeId="0" xr:uid="{7D015F41-E5FE-4E91-9618-75FBCD4BCA31}">
      <text>
        <t xml:space="preserve">[Threaded comment]
Your version of Excel allows you to read this threaded comment; however, any edits to it will get removed if the file is opened in a newer version of Excel. Learn more: https://go.microsoft.com/fwlink/?linkid=870924
Comment:
    Training whole day </t>
      </text>
    </comment>
    <comment ref="G13" authorId="2" shapeId="0" xr:uid="{467CF29B-C8BA-44C4-B813-93E89680DF67}">
      <text>
        <t>[Threaded comment]
Your version of Excel allows you to read this threaded comment; however, any edits to it will get removed if the file is opened in a newer version of Excel. Learn more: https://go.microsoft.com/fwlink/?linkid=870924
Comment:
    Raining</t>
      </text>
    </comment>
    <comment ref="M14" authorId="3" shapeId="0" xr:uid="{9AFE4856-123A-4DEF-B3C0-661A138431D7}">
      <text>
        <t>[Threaded comment]
Your version of Excel allows you to read this threaded comment; however, any edits to it will get removed if the file is opened in a newer version of Excel. Learn more: https://go.microsoft.com/fwlink/?linkid=870924
Comment:
    No record of working in a software</t>
      </text>
    </comment>
    <comment ref="F41" authorId="4" shapeId="0" xr:uid="{64EEFC50-E22E-41FA-8EC3-56D261AF44E1}">
      <text>
        <t xml:space="preserve">[Threaded comment]
Your version of Excel allows you to read this threaded comment; however, any edits to it will get removed if the file is opened in a newer version of Excel. Learn more: https://go.microsoft.com/fwlink/?linkid=870924
Comment:
    No working in a software &amp; not responded to the call on 2nd sept </t>
      </text>
    </comment>
    <comment ref="Y42" authorId="5" shapeId="0" xr:uid="{E57AC62F-19EB-4C14-B905-25FFCCE30DC5}">
      <text>
        <t xml:space="preserve">[Threaded comment]
Your version of Excel allows you to read this threaded comment; however, any edits to it will get removed if the file is opened in a newer version of Excel. Learn more: https://go.microsoft.com/fwlink/?linkid=870924
Comment:
    Worked till 2:10 PM only and not responded to the call
</t>
      </text>
    </comment>
    <comment ref="V45" authorId="6" shapeId="0" xr:uid="{B65ED55A-EBD1-43ED-82DA-8A0F76E95FE2}">
      <text>
        <t xml:space="preserve">[Threaded comment]
Your version of Excel allows you to read this threaded comment; however, any edits to it will get removed if the file is opened in a newer version of Excel. Learn more: https://go.microsoft.com/fwlink/?linkid=870924
Comment:
    No working in the software asked for the video for the proof regarding the issue in the software once submitted will mark present </t>
      </text>
    </comment>
    <comment ref="W45" authorId="7" shapeId="0" xr:uid="{0F2B5994-B312-4F51-B848-26E06B400426}">
      <text>
        <t xml:space="preserve">[Threaded comment]
Your version of Excel allows you to read this threaded comment; however, any edits to it will get removed if the file is opened in a newer version of Excel. Learn more: https://go.microsoft.com/fwlink/?linkid=870924
Comment:
    No working in the software asked for the video for the proof regarding the issue in the software once submitted will mark present </t>
      </text>
    </comment>
    <comment ref="AD49" authorId="8" shapeId="0" xr:uid="{0EB02864-A2CB-43CC-B44D-83531C4C62B6}">
      <text>
        <t xml:space="preserve">[Threaded comment]
Your version of Excel allows you to read this threaded comment; however, any edits to it will get removed if the file is opened in a newer version of Excel. Learn more: https://go.microsoft.com/fwlink/?linkid=870924
Comment:
    No report in group 
</t>
      </text>
    </comment>
    <comment ref="X52" authorId="9" shapeId="0" xr:uid="{A7EDD21E-CA29-4A5F-A7CA-29A872C009D3}">
      <text>
        <t xml:space="preserve">[Threaded comment]
Your version of Excel allows you to read this threaded comment; however, any edits to it will get removed if the file is opened in a newer version of Excel. Learn more: https://go.microsoft.com/fwlink/?linkid=870924
Comment:
    NO responded to the call done on 20 th for 19 report &amp; working is just till 2:50 pm </t>
      </text>
    </comment>
    <comment ref="F53" authorId="10" shapeId="0" xr:uid="{B4A87A1C-5626-47A1-AF40-D3919F428C52}">
      <text>
        <t xml:space="preserve">[Threaded comment]
Your version of Excel allows you to read this threaded comment; however, any edits to it will get removed if the file is opened in a newer version of Excel. Learn more: https://go.microsoft.com/fwlink/?linkid=870924
Comment:
    Training whole day </t>
      </text>
    </comment>
    <comment ref="F54" authorId="11" shapeId="0" xr:uid="{29F9FBFC-CF99-45DF-872B-693E1E5EDC5E}">
      <text>
        <t>[Threaded comment]
Your version of Excel allows you to read this threaded comment; however, any edits to it will get removed if the file is opened in a newer version of Excel. Learn more: https://go.microsoft.com/fwlink/?linkid=870924
Comment:
    Get free at 3:30 from the salon , get this info via a call . No working in a software</t>
      </text>
    </comment>
    <comment ref="G54" authorId="12" shapeId="0" xr:uid="{B4DB1D9C-5361-48B7-A1A8-316A81CC3594}">
      <text>
        <t>[Threaded comment]
Your version of Excel allows you to read this threaded comment; however, any edits to it will get removed if the file is opened in a newer version of Excel. Learn more: https://go.microsoft.com/fwlink/?linkid=870924
Comment:
    Not well , on her periods</t>
      </text>
    </comment>
    <comment ref="F57" authorId="13" shapeId="0" xr:uid="{42CD4132-9DBC-4AC8-A321-69252AC923BC}">
      <text>
        <t>[Threaded comment]
Your version of Excel allows you to read this threaded comment; however, any edits to it will get removed if the file is opened in a newer version of Excel. Learn more: https://go.microsoft.com/fwlink/?linkid=870924
Comment:
    Full day training of product know.</t>
      </text>
    </comment>
    <comment ref="U65" authorId="14" shapeId="0" xr:uid="{4730D687-4D58-4A1C-98DE-2F4F10505A89}">
      <text>
        <t xml:space="preserve">[Threaded comment]
Your version of Excel allows you to read this threaded comment; however, any edits to it will get removed if the file is opened in a newer version of Excel. Learn more: https://go.microsoft.com/fwlink/?linkid=870924
Comment:
    Software not responding </t>
      </text>
    </comment>
    <comment ref="X66" authorId="15" shapeId="0" xr:uid="{E9E909A3-DCBC-4DFC-916F-CE33EEE26B39}">
      <text>
        <t>[Threaded comment]
Your version of Excel allows you to read this threaded comment; however, any edits to it will get removed if the file is opened in a newer version of Excel. Learn more: https://go.microsoft.com/fwlink/?linkid=870924
Comment:
    Mention in group</t>
      </text>
    </comment>
    <comment ref="X68" authorId="16" shapeId="0" xr:uid="{CF4D31B3-051B-4357-9B78-380A094E3EBE}">
      <text>
        <t xml:space="preserve">[Threaded comment]
Your version of Excel allows you to read this threaded comment; however, any edits to it will get removed if the file is opened in a newer version of Excel. Learn more: https://go.microsoft.com/fwlink/?linkid=870924
Comment:
    No working in a software message is dropped in a group for report </t>
      </text>
    </comment>
    <comment ref="AD73" authorId="17" shapeId="0" xr:uid="{7527AF77-72FE-4E58-A919-21D3B1F298B0}">
      <text>
        <t xml:space="preserve">[Threaded comment]
Your version of Excel allows you to read this threaded comment; however, any edits to it will get removed if the file is opened in a newer version of Excel. Learn more: https://go.microsoft.com/fwlink/?linkid=870924
Comment:
    No report in group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tc={8EE9FEA5-E431-4334-ABC8-B06489845F24}</author>
    <author>tc={3419DE4E-937F-48B7-A375-2900770496D6}</author>
    <author>tc={759D0711-282C-4CD7-9E3F-5682B7D2F0FF}</author>
    <author>tc={6BDAC18F-FDF9-4DC8-A4A3-446DE54A4CFB}</author>
    <author>tc={D761B150-E9D8-4E3F-87BA-1F8F511684BA}</author>
  </authors>
  <commentList>
    <comment ref="M16" authorId="0" shapeId="0" xr:uid="{8EE9FEA5-E431-4334-ABC8-B06489845F24}">
      <text>
        <t>[Threaded comment]
Your version of Excel allows you to read this threaded comment; however, any edits to it will get removed if the file is opened in a newer version of Excel. Learn more: https://go.microsoft.com/fwlink/?linkid=870924
Comment:
    Started work at 1:26PM and ended at 4pm</t>
      </text>
    </comment>
    <comment ref="G49" authorId="1" shapeId="0" xr:uid="{3419DE4E-937F-48B7-A375-2900770496D6}">
      <text>
        <t>[Threaded comment]
Your version of Excel allows you to read this threaded comment; however, any edits to it will get removed if the file is opened in a newer version of Excel. Learn more: https://go.microsoft.com/fwlink/?linkid=870924
Comment:
    Not well , on her periods</t>
      </text>
    </comment>
    <comment ref="AF74" authorId="2" shapeId="0" xr:uid="{759D0711-282C-4CD7-9E3F-5682B7D2F0FF}">
      <text>
        <t>[Threaded comment]
Your version of Excel allows you to read this threaded comment; however, any edits to it will get removed if the file is opened in a newer version of Excel. Learn more: https://go.microsoft.com/fwlink/?linkid=870924
Comment:
    Not shared morning report</t>
      </text>
    </comment>
    <comment ref="AG74" authorId="3" shapeId="0" xr:uid="{6BDAC18F-FDF9-4DC8-A4A3-446DE54A4CFB}">
      <text>
        <t>[Threaded comment]
Your version of Excel allows you to read this threaded comment; however, any edits to it will get removed if the file is opened in a newer version of Excel. Learn more: https://go.microsoft.com/fwlink/?linkid=870924
Comment:
    Not shared morning report</t>
      </text>
    </comment>
    <comment ref="AH74" authorId="4" shapeId="0" xr:uid="{D761B150-E9D8-4E3F-87BA-1F8F511684BA}">
      <text>
        <t>[Threaded comment]
Your version of Excel allows you to read this threaded comment; however, any edits to it will get removed if the file is opened in a newer version of Excel. Learn more: https://go.microsoft.com/fwlink/?linkid=870924
Comment:
    Not shared morning report</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tc={8C3BB942-3E48-4E71-8EA1-EE7C0FD72417}</author>
    <author>tc={4AC0930A-5A1F-4101-924C-D8124C5A4831}</author>
    <author>tc={FE1618B2-E693-4F40-B243-F325BB3546C8}</author>
    <author>tc={DFD79F63-DA79-443A-B0EE-10941C39F3E7}</author>
    <author>tc={A529BE25-0A94-4CFF-85A3-7BCCB174E1DD}</author>
    <author>tc={DB2D7098-9C51-423C-A491-5F98DD355791}</author>
    <author>tc={39173EC6-BDDC-488F-A266-AF90BF9948C6}</author>
    <author>tc={1D401A6D-5BF4-4677-9C17-6223BC5B128A}</author>
    <author>tc={2C176B3C-6C96-42E5-84A1-F23F8AC6F12B}</author>
    <author>tc={BB534E1D-CC59-493C-A486-DB9FC403A1F0}</author>
    <author>tc={E0C2DB43-E210-47B6-91BC-73DD1ED6AA3F}</author>
    <author>tc={81EAC069-17FE-4F0F-AE20-7AD0CAB3EE66}</author>
    <author>tc={A92403CF-3D1F-424E-9450-2941EA9E4047}</author>
    <author>tc={74E0B868-162D-4162-8D74-E3BA2EF7A2B1}</author>
    <author>tc={06271F45-4ED1-4C58-9ABE-BD414ABA2512}</author>
    <author>tc={78D5D1FD-FCF6-408F-9A2E-45DEEDCA48C8}</author>
    <author>tc={7EEF02F6-BA70-4A64-8C3A-709B5D2BBC51}</author>
    <author>tc={BFD6E749-6DCE-4DAC-BE2B-F63D7C311075}</author>
    <author>tc={91C6FD8E-9000-48E7-8102-E515C04A26A5}</author>
    <author>tc={DC90595C-5A60-4DD4-B97F-A0F6E2A15813}</author>
    <author>tc={0D6293E6-059D-4274-9D03-259FED0DABBE}</author>
    <author>tc={EEC5ECC7-EA19-424E-8DE6-19F23E523B81}</author>
    <author>tc={1A4A0001-F483-40D8-81E4-8F2E1AA8D6DA}</author>
    <author>tc={30535815-BF69-4E9E-ABEC-AA02E0FF3BD6}</author>
    <author>tc={206EA62C-FAFD-4FAF-973B-8638464A08AF}</author>
    <author>tc={1487B758-666E-4786-9B03-2EA665C7D4D3}</author>
    <author>tc={AECEFDFE-CDD3-4AB1-A38C-B6EDC9B4A479}</author>
    <author>tc={983C3B4C-3D5F-43D9-A3D1-E204BE68ED51}</author>
    <author>tc={DE8E651D-0EC2-46F1-8501-360C48CF1127}</author>
    <author>tc={B44D4411-FD1B-45BC-B6AB-77678DF8EBCE}</author>
    <author>tc={F5A10ED3-51B0-482C-ABC3-DE64C867DD6E}</author>
    <author>tc={EDE0C6A1-E64B-499D-9718-3DA90781A6BC}</author>
    <author>tc={E353D654-A745-4D85-A5CD-D0ABD29C8476}</author>
    <author>tc={126BAB09-8886-4450-90E0-E2D00D296823}</author>
    <author>tc={0997B5E4-63B6-437E-896C-F3DFDA50AAD2}</author>
    <author>tc={35647623-3471-4402-BA4E-E5814D56168A}</author>
    <author>tc={430C341D-D625-4B06-A9FB-BD7A0AD0092B}</author>
    <author>tc={D354E421-F0E4-47EA-A989-70300B64C21D}</author>
    <author>tc={451C3E8B-48CF-40D9-91F0-F58DCD0927FA}</author>
  </authors>
  <commentList>
    <comment ref="L5" authorId="0" shapeId="0" xr:uid="{8C3BB942-3E48-4E71-8EA1-EE7C0FD72417}">
      <text>
        <t>[Threaded comment]
Your version of Excel allows you to read this threaded comment; however, any edits to it will get removed if the file is opened in a newer version of Excel. Learn more: https://go.microsoft.com/fwlink/?linkid=870924
Comment:
    not shared report in group also no login in daytrack</t>
      </text>
    </comment>
    <comment ref="J11" authorId="1" shapeId="0" xr:uid="{4AC0930A-5A1F-4101-924C-D8124C5A4831}">
      <text>
        <t>[Threaded comment]
Your version of Excel allows you to read this threaded comment; however, any edits to it will get removed if the file is opened in a newer version of Excel. Learn more: https://go.microsoft.com/fwlink/?linkid=870924
Comment:
    work 7.19 min</t>
      </text>
    </comment>
    <comment ref="AG13" authorId="2" shapeId="0" xr:uid="{FE1618B2-E693-4F40-B243-F325BB3546C8}">
      <text>
        <t>[Threaded comment]
Your version of Excel allows you to read this threaded comment; however, any edits to it will get removed if the file is opened in a newer version of Excel. Learn more: https://go.microsoft.com/fwlink/?linkid=870924
Comment:
    Informed over the mail</t>
      </text>
    </comment>
    <comment ref="L20" authorId="3" shapeId="0" xr:uid="{DFD79F63-DA79-443A-B0EE-10941C39F3E7}">
      <text>
        <t>[Threaded comment]
Your version of Excel allows you to read this threaded comment; however, any edits to it will get removed if the file is opened in a newer version of Excel. Learn more: https://go.microsoft.com/fwlink/?linkid=870924
Comment:
    not shared report in group also not login in daytrack</t>
      </text>
    </comment>
    <comment ref="Y20" authorId="4" shapeId="0" xr:uid="{A529BE25-0A94-4CFF-85A3-7BCCB174E1DD}">
      <text>
        <t>[Threaded comment]
Your version of Excel allows you to read this threaded comment; however, any edits to it will get removed if the file is opened in a newer version of Excel. Learn more: https://go.microsoft.com/fwlink/?linkid=870924
Comment:
    Informed in group</t>
      </text>
    </comment>
    <comment ref="R21" authorId="5" shapeId="0" xr:uid="{DB2D7098-9C51-423C-A491-5F98DD355791}">
      <text>
        <t>[Threaded comment]
Your version of Excel allows you to read this threaded comment; however, any edits to it will get removed if the file is opened in a newer version of Excel. Learn more: https://go.microsoft.com/fwlink/?linkid=870924
Comment:
    Leave mail</t>
      </text>
    </comment>
    <comment ref="Z24" authorId="6" shapeId="0" xr:uid="{39173EC6-BDDC-488F-A266-AF90BF9948C6}">
      <text>
        <t>[Threaded comment]
Your version of Excel allows you to read this threaded comment; however, any edits to it will get removed if the file is opened in a newer version of Excel. Learn more: https://go.microsoft.com/fwlink/?linkid=870924
Comment:
    mentioned in group</t>
      </text>
    </comment>
    <comment ref="M29" authorId="7" shapeId="0" xr:uid="{1D401A6D-5BF4-4677-9C17-6223BC5B128A}">
      <text>
        <t>[Threaded comment]
Your version of Excel allows you to read this threaded comment; however, any edits to it will get removed if the file is opened in a newer version of Excel. Learn more: https://go.microsoft.com/fwlink/?linkid=870924
Comment:
    Take leave on mail</t>
      </text>
    </comment>
    <comment ref="P32" authorId="8" shapeId="0" xr:uid="{2C176B3C-6C96-42E5-84A1-F23F8AC6F12B}">
      <text>
        <t>[Threaded comment]
Your version of Excel allows you to read this threaded comment; however, any edits to it will get removed if the file is opened in a newer version of Excel. Learn more: https://go.microsoft.com/fwlink/?linkid=870924
Comment:
    Priyanshi told me to mark AB</t>
      </text>
    </comment>
    <comment ref="J34" authorId="9" shapeId="0" xr:uid="{BB534E1D-CC59-493C-A486-DB9FC403A1F0}">
      <text>
        <t>[Threaded comment]
Your version of Excel allows you to read this threaded comment; however, any edits to it will get removed if the file is opened in a newer version of Excel. Learn more: https://go.microsoft.com/fwlink/?linkid=870924
Comment:
    leave mail</t>
      </text>
    </comment>
    <comment ref="K34" authorId="10" shapeId="0" xr:uid="{E0C2DB43-E210-47B6-91BC-73DD1ED6AA3F}">
      <text>
        <t>[Threaded comment]
Your version of Excel allows you to read this threaded comment; however, any edits to it will get removed if the file is opened in a newer version of Excel. Learn more: https://go.microsoft.com/fwlink/?linkid=870924
Comment:
    leave mail</t>
      </text>
    </comment>
    <comment ref="L34" authorId="11" shapeId="0" xr:uid="{81EAC069-17FE-4F0F-AE20-7AD0CAB3EE66}">
      <text>
        <t>[Threaded comment]
Your version of Excel allows you to read this threaded comment; however, any edits to it will get removed if the file is opened in a newer version of Excel. Learn more: https://go.microsoft.com/fwlink/?linkid=870924
Comment:
    leave mail</t>
      </text>
    </comment>
    <comment ref="M34" authorId="12" shapeId="0" xr:uid="{A92403CF-3D1F-424E-9450-2941EA9E4047}">
      <text>
        <t>[Threaded comment]
Your version of Excel allows you to read this threaded comment; however, any edits to it will get removed if the file is opened in a newer version of Excel. Learn more: https://go.microsoft.com/fwlink/?linkid=870924
Comment:
    leave mail</t>
      </text>
    </comment>
    <comment ref="AD35" authorId="13" shapeId="0" xr:uid="{74E0B868-162D-4162-8D74-E3BA2EF7A2B1}">
      <text>
        <t>[Threaded comment]
Your version of Excel allows you to read this threaded comment; however, any edits to it will get removed if the file is opened in a newer version of Excel. Learn more: https://go.microsoft.com/fwlink/?linkid=870924
Comment:
    On leave</t>
      </text>
    </comment>
    <comment ref="AD37" authorId="14" shapeId="0" xr:uid="{06271F45-4ED1-4C58-9ABE-BD414ABA2512}">
      <text>
        <t>[Threaded comment]
Your version of Excel allows you to read this threaded comment; however, any edits to it will get removed if the file is opened in a newer version of Excel. Learn more: https://go.microsoft.com/fwlink/?linkid=870924
Comment:
    She worked on sunday.</t>
      </text>
    </comment>
    <comment ref="AG40" authorId="15" shapeId="0" xr:uid="{78D5D1FD-FCF6-408F-9A2E-45DEEDCA48C8}">
      <text>
        <t>[Threaded comment]
Your version of Excel allows you to read this threaded comment; however, any edits to it will get removed if the file is opened in a newer version of Excel. Learn more: https://go.microsoft.com/fwlink/?linkid=870924
Comment:
    Request for Leave Due to Family Wedding</t>
      </text>
    </comment>
    <comment ref="AH40" authorId="16" shapeId="0" xr:uid="{7EEF02F6-BA70-4A64-8C3A-709B5D2BBC51}">
      <text>
        <t>[Threaded comment]
Your version of Excel allows you to read this threaded comment; however, any edits to it will get removed if the file is opened in a newer version of Excel. Learn more: https://go.microsoft.com/fwlink/?linkid=870924
Comment:
    Request for Leave Due to Family Wedding</t>
      </text>
    </comment>
    <comment ref="AH41" authorId="17" shapeId="0" xr:uid="{BFD6E749-6DCE-4DAC-BE2B-F63D7C311075}">
      <text>
        <t>[Threaded comment]
Your version of Excel allows you to read this threaded comment; however, any edits to it will get removed if the file is opened in a newer version of Excel. Learn more: https://go.microsoft.com/fwlink/?linkid=870924
Comment:
    mentioned in group</t>
      </text>
    </comment>
    <comment ref="AG42" authorId="18" shapeId="0" xr:uid="{91C6FD8E-9000-48E7-8102-E515C04A26A5}">
      <text>
        <t>[Threaded comment]
Your version of Excel allows you to read this threaded comment; however, any edits to it will get removed if the file is opened in a newer version of Excel. Learn more: https://go.microsoft.com/fwlink/?linkid=870924
Comment:
    Informed over the mail</t>
      </text>
    </comment>
    <comment ref="S43" authorId="19" shapeId="0" xr:uid="{DC90595C-5A60-4DD4-B97F-A0F6E2A15813}">
      <text>
        <t>[Threaded comment]
Your version of Excel allows you to read this threaded comment; however, any edits to it will get removed if the file is opened in a newer version of Excel. Learn more: https://go.microsoft.com/fwlink/?linkid=870924
Comment:
    Not shared report in group</t>
      </text>
    </comment>
    <comment ref="AD45" authorId="20" shapeId="0" xr:uid="{0D6293E6-059D-4274-9D03-259FED0DABBE}">
      <text>
        <t>[Threaded comment]
Your version of Excel allows you to read this threaded comment; however, any edits to it will get removed if the file is opened in a newer version of Excel. Learn more: https://go.microsoft.com/fwlink/?linkid=870924
Comment:
    mentioned in group</t>
      </text>
    </comment>
    <comment ref="AG45" authorId="21" shapeId="0" xr:uid="{EEC5ECC7-EA19-424E-8DE6-19F23E523B81}">
      <text>
        <t>[Threaded comment]
Your version of Excel allows you to read this threaded comment; however, any edits to it will get removed if the file is opened in a newer version of Excel. Learn more: https://go.microsoft.com/fwlink/?linkid=870924
Comment:
    mentioned in group</t>
      </text>
    </comment>
    <comment ref="S46" authorId="22" shapeId="0" xr:uid="{1A4A0001-F483-40D8-81E4-8F2E1AA8D6DA}">
      <text>
        <t>[Threaded comment]
Your version of Excel allows you to read this threaded comment; however, any edits to it will get removed if the file is opened in a newer version of Excel. Learn more: https://go.microsoft.com/fwlink/?linkid=870924
Comment:
    travelling from goa to bangalore</t>
      </text>
    </comment>
    <comment ref="J51" authorId="23" shapeId="0" xr:uid="{30535815-BF69-4E9E-ABEC-AA02E0FF3BD6}">
      <text>
        <t>[Threaded comment]
Your version of Excel allows you to read this threaded comment; however, any edits to it will get removed if the file is opened in a newer version of Excel. Learn more: https://go.microsoft.com/fwlink/?linkid=870924
Comment:
    Not shared report in group as there is some problem in her mobile</t>
      </text>
    </comment>
    <comment ref="K51" authorId="24" shapeId="0" xr:uid="{206EA62C-FAFD-4FAF-973B-8638464A08AF}">
      <text>
        <t>[Threaded comment]
Your version of Excel allows you to read this threaded comment; however, any edits to it will get removed if the file is opened in a newer version of Excel. Learn more: https://go.microsoft.com/fwlink/?linkid=870924
Comment:
    Not shared report in group as there is some problem in her mobile</t>
      </text>
    </comment>
    <comment ref="L51" authorId="25" shapeId="0" xr:uid="{1487B758-666E-4786-9B03-2EA665C7D4D3}">
      <text>
        <t>[Threaded comment]
Your version of Excel allows you to read this threaded comment; however, any edits to it will get removed if the file is opened in a newer version of Excel. Learn more: https://go.microsoft.com/fwlink/?linkid=870924
Comment:
    Not shared report in group as there is some problem in her mobile</t>
      </text>
    </comment>
    <comment ref="M51" authorId="26" shapeId="0" xr:uid="{AECEFDFE-CDD3-4AB1-A38C-B6EDC9B4A479}">
      <text>
        <t>[Threaded comment]
Your version of Excel allows you to read this threaded comment; however, any edits to it will get removed if the file is opened in a newer version of Excel. Learn more: https://go.microsoft.com/fwlink/?linkid=870924
Comment:
    Not shared report in group as there is some problem in her mobile</t>
      </text>
    </comment>
    <comment ref="O51" authorId="27" shapeId="0" xr:uid="{983C3B4C-3D5F-43D9-A3D1-E204BE68ED51}">
      <text>
        <t>[Threaded comment]
Your version of Excel allows you to read this threaded comment; however, any edits to it will get removed if the file is opened in a newer version of Excel. Learn more: https://go.microsoft.com/fwlink/?linkid=870924
Comment:
    Not shared report in group as there is some problem in her mobile</t>
      </text>
    </comment>
    <comment ref="AF51" authorId="28" shapeId="0" xr:uid="{DE8E651D-0EC2-46F1-8501-360C48CF1127}">
      <text>
        <t>[Threaded comment]
Your version of Excel allows you to read this threaded comment; however, any edits to it will get removed if the file is opened in a newer version of Excel. Learn more: https://go.microsoft.com/fwlink/?linkid=870924
Comment:
    mentioned in group
Reply:
    Mentioned in group</t>
      </text>
    </comment>
    <comment ref="AA59" authorId="29" shapeId="0" xr:uid="{B44D4411-FD1B-45BC-B6AB-77678DF8EBCE}">
      <text>
        <t>[Threaded comment]
Your version of Excel allows you to read this threaded comment; however, any edits to it will get removed if the file is opened in a newer version of Excel. Learn more: https://go.microsoft.com/fwlink/?linkid=870924
Comment:
    mentioned in group</t>
      </text>
    </comment>
    <comment ref="T61" authorId="30" shapeId="0" xr:uid="{F5A10ED3-51B0-482C-ABC3-DE64C867DD6E}">
      <text>
        <t>[Threaded comment]
Your version of Excel allows you to read this threaded comment; however, any edits to it will get removed if the file is opened in a newer version of Excel. Learn more: https://go.microsoft.com/fwlink/?linkid=870924
Comment:
    Priyanshi told me to mark leave</t>
      </text>
    </comment>
    <comment ref="K65" authorId="31" shapeId="0" xr:uid="{EDE0C6A1-E64B-499D-9718-3DA90781A6BC}">
      <text>
        <t>[Threaded comment]
Your version of Excel allows you to read this threaded comment; however, any edits to it will get removed if the file is opened in a newer version of Excel. Learn more: https://go.microsoft.com/fwlink/?linkid=870924
Comment:
    leave mail</t>
      </text>
    </comment>
    <comment ref="L65" authorId="32" shapeId="0" xr:uid="{E353D654-A745-4D85-A5CD-D0ABD29C8476}">
      <text>
        <t>[Threaded comment]
Your version of Excel allows you to read this threaded comment; however, any edits to it will get removed if the file is opened in a newer version of Excel. Learn more: https://go.microsoft.com/fwlink/?linkid=870924
Comment:
    leave mail</t>
      </text>
    </comment>
    <comment ref="M65" authorId="33" shapeId="0" xr:uid="{126BAB09-8886-4450-90E0-E2D00D296823}">
      <text>
        <t>[Threaded comment]
Your version of Excel allows you to read this threaded comment; however, any edits to it will get removed if the file is opened in a newer version of Excel. Learn more: https://go.microsoft.com/fwlink/?linkid=870924
Comment:
    leave mail</t>
      </text>
    </comment>
    <comment ref="AF69" authorId="34" shapeId="0" xr:uid="{0997B5E4-63B6-437E-896C-F3DFDA50AAD2}">
      <text>
        <t>[Threaded comment]
Your version of Excel allows you to read this threaded comment; however, any edits to it will get removed if the file is opened in a newer version of Excel. Learn more: https://go.microsoft.com/fwlink/?linkid=870924
Comment:
    confirmed on call</t>
      </text>
    </comment>
    <comment ref="R70" authorId="35" shapeId="0" xr:uid="{35647623-3471-4402-BA4E-E5814D56168A}">
      <text>
        <t>[Threaded comment]
Your version of Excel allows you to read this threaded comment; however, any edits to it will get removed if the file is opened in a newer version of Excel. Learn more: https://go.microsoft.com/fwlink/?linkid=870924
Comment:
    No working in daytrack after 3pm</t>
      </text>
    </comment>
    <comment ref="AD72" authorId="36" shapeId="0" xr:uid="{430C341D-D625-4B06-A9FB-BD7A0AD0092B}">
      <text>
        <t>[Threaded comment]
Your version of Excel allows you to read this threaded comment; however, any edits to it will get removed if the file is opened in a newer version of Excel. Learn more: https://go.microsoft.com/fwlink/?linkid=870924
Comment:
    mentioned in group</t>
      </text>
    </comment>
    <comment ref="Y74" authorId="37" shapeId="0" xr:uid="{D354E421-F0E4-47EA-A989-70300B64C21D}">
      <text>
        <t>[Threaded comment]
Your version of Excel allows you to read this threaded comment; however, any edits to it will get removed if the file is opened in a newer version of Excel. Learn more: https://go.microsoft.com/fwlink/?linkid=870924
Comment:
    mentioned in group</t>
      </text>
    </comment>
    <comment ref="X75" authorId="38" shapeId="0" xr:uid="{451C3E8B-48CF-40D9-91F0-F58DCD0927FA}">
      <text>
        <t>[Threaded comment]
Your version of Excel allows you to read this threaded comment; however, any edits to it will get removed if the file is opened in a newer version of Excel. Learn more: https://go.microsoft.com/fwlink/?linkid=870924
Comment:
    mention in group</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tc={D432AA8E-894E-44FE-A2B0-D46A0AC16110}</author>
    <author>tc={49437BEB-8ACD-44E7-86A9-C5D8A0947F26}</author>
    <author>tc={D494798F-A69A-475B-AA96-A891D829B898}</author>
    <author>tc={1835773F-BB44-462B-B6FD-E0726436098C}</author>
    <author>tc={12CA6EE3-CF99-4C2C-9666-7BAF3CB76E2D}</author>
    <author>tc={6D5609BC-9468-440B-B289-A94AAEE1792E}</author>
    <author>tc={ECFAED46-6D8A-455B-91F6-742B96B15213}</author>
    <author>tc={BB68CC77-BC1B-4424-B2D5-1C40FAA43D17}</author>
    <author>tc={58022A5F-8F6E-4C8B-808B-3ABD72708E96}</author>
    <author>tc={AA126353-74CF-4D51-B637-5BA8AA4E4785}</author>
    <author>tc={1CAA781E-6EC2-4F13-9884-B19FD5919A5C}</author>
    <author>tc={A8B52859-B657-4AC2-B09A-C4519F4B7F03}</author>
    <author>tc={217E4490-2D56-44B2-8E82-B55EF6857013}</author>
    <author>tc={4092CDF4-6000-4BCA-87FE-A005044F8456}</author>
    <author>tc={BB94A331-1A2F-4D23-AFA1-C17A8C30941B}</author>
    <author>tc={0366463B-E255-4517-8075-953D433CFEE8}</author>
    <author>tc={1E88ABF1-072F-43B7-8F92-49858B0C396D}</author>
    <author>tc={91F8C5FF-4541-4BD1-AD28-18E22B3C1ABC}</author>
    <author>tc={BF2765D6-AB1D-4E43-932C-9D94CFC20A30}</author>
    <author>tc={3933029F-AF3C-423F-ACB8-DF805DB1FD3A}</author>
    <author>tc={40D9E179-04F6-4D81-97E1-FFC9899B0ABB}</author>
    <author>tc={77B4B59F-E158-4635-B08F-986E390E843D}</author>
    <author>tc={CCC9C70E-A12F-454C-B928-A411E5FFA2DD}</author>
    <author>tc={FCB18B25-6749-4AE5-B08C-1D6C1C8DCCD1}</author>
    <author>tc={261721C4-E327-4461-BF5F-710CD5DF1207}</author>
    <author>tc={943A678C-1BEC-4638-9070-4D0362D95619}</author>
    <author>tc={320EC840-9F85-45B1-893A-EF2001B5BBE2}</author>
    <author>tc={2CCB6300-0180-41F7-A5D9-4041F843B64F}</author>
    <author>tc={8AC844A4-F3C5-4C54-B3BC-0BDEAE076CBA}</author>
    <author>tc={29250B17-BCC5-44F0-B0A3-117C9BDD6190}</author>
    <author>tc={F96F28B1-969C-4921-8FE7-5BB4DAF0244C}</author>
    <author>tc={A35D32E3-5D28-4F75-8665-B1DE559B1559}</author>
    <author>tc={651C74FD-F829-4146-9F0B-6C5208A378E9}</author>
    <author>tc={82DB0B5F-7B08-455F-BDDB-E8F81C42674F}</author>
    <author>tc={2E324E05-4ED0-44A5-9C26-B291C38B9444}</author>
    <author>tc={8D250645-2D0F-4E22-9C63-6021CE391F5B}</author>
    <author>tc={1B094543-86E2-470D-B493-ECB2992E50FB}</author>
    <author>tc={31F06971-4CD3-45D6-B286-BBC9CFC9E8A1}</author>
    <author>tc={2F437479-655F-49E3-A824-09ADBD209017}</author>
    <author>tc={CFBFF9CA-46A3-46AF-B81C-7E8BE66E5E22}</author>
    <author>tc={E86DACA4-9CFE-4DA3-8ADD-B3997DE3F427}</author>
    <author>tc={FD1C9F66-4A5C-4626-BAD0-2DCB9F432C4B}</author>
    <author>tc={8CB59BF7-8224-417D-AF9D-11CB7A19EE3C}</author>
    <author>tc={72E81284-595F-4FF4-98D3-31DFB473E0DA}</author>
    <author>tc={BB4DA49F-A7B5-4E8B-A9C9-14BD7C8AC64E}</author>
    <author>tc={A1AB4477-E8B2-43C7-9EB7-3FAC53F03BC0}</author>
    <author>tc={ABB9A3EF-0DCB-409D-B859-10AED01D17DB}</author>
    <author>tc={A772AEA7-B593-4F6E-A018-DCEED32776A5}</author>
    <author>tc={D744088D-933D-4E1C-BC47-D1CDC4B2EF7D}</author>
    <author>tc={72701253-98A1-4D03-9DE9-9CF85972CC70}</author>
    <author>tc={A8500EAE-7EC0-418B-B969-96020A6A9D10}</author>
    <author>tc={7B204D49-29DC-447C-95B4-1187C95FF124}</author>
    <author>tc={51A18855-AB30-472A-832A-6FA0BEED176C}</author>
    <author>tc={D6F29713-25C9-4FAE-98A8-3756E572F272}</author>
    <author>tc={A0197540-253B-40EF-A60C-EDA876449AEE}</author>
    <author>tc={F968BBFD-1C32-4858-8671-E55DBCA2BF0D}</author>
    <author>tc={00D335E1-8591-4866-82B8-2A8B67C5B518}</author>
    <author>tc={9AA23774-6212-4378-8D02-04815463F53E}</author>
    <author>tc={D8F0FB36-C2C6-4669-932C-05F0303FDF05}</author>
    <author>tc={59916786-4362-4287-B290-680508B1508F}</author>
    <author>tc={802A780D-4389-4C09-BE4D-C086F00C409F}</author>
    <author>tc={C0EE7C26-40AF-4395-8569-33CDE3725543}</author>
    <author>tc={965216C9-6B86-48F0-B02D-8F6F8288BE2D}</author>
    <author>tc={2E83C86E-85ED-4773-B5DA-582C8504615E}</author>
    <author>tc={1FBE86D4-C3F8-4CE9-AFFA-8676C0F136BF}</author>
  </authors>
  <commentList>
    <comment ref="J2" authorId="0" shapeId="0" xr:uid="{D432AA8E-894E-44FE-A2B0-D46A0AC16110}">
      <text>
        <t>[Threaded comment]
Your version of Excel allows you to read this threaded comment; however, any edits to it will get removed if the file is opened in a newer version of Excel. Learn more: https://go.microsoft.com/fwlink/?linkid=870924
Comment:
    mentioned in group</t>
      </text>
    </comment>
    <comment ref="K4" authorId="1" shapeId="0" xr:uid="{49437BEB-8ACD-44E7-86A9-C5D8A0947F26}">
      <text>
        <t xml:space="preserve">[Threaded comment]
Your version of Excel allows you to read this threaded comment; however, any edits to it will get removed if the file is opened in a newer version of Excel. Learn more: https://go.microsoft.com/fwlink/?linkid=870924
Comment:
    Only 2 visits as per the software </t>
      </text>
    </comment>
    <comment ref="K5" authorId="2" shapeId="0" xr:uid="{D494798F-A69A-475B-AA96-A891D829B898}">
      <text>
        <t xml:space="preserve">[Threaded comment]
Your version of Excel allows you to read this threaded comment; however, any edits to it will get removed if the file is opened in a newer version of Excel. Learn more: https://go.microsoft.com/fwlink/?linkid=870924
Comment:
    Only 1 visit as per the software </t>
      </text>
    </comment>
    <comment ref="K6" authorId="3" shapeId="0" xr:uid="{1835773F-BB44-462B-B6FD-E0726436098C}">
      <text>
        <t xml:space="preserve">[Threaded comment]
Your version of Excel allows you to read this threaded comment; however, any edits to it will get removed if the file is opened in a newer version of Excel. Learn more: https://go.microsoft.com/fwlink/?linkid=870924
Comment:
    1 visit as per software </t>
      </text>
    </comment>
    <comment ref="Q6" authorId="4" shapeId="0" xr:uid="{12CA6EE3-CF99-4C2C-9666-7BAF3CB76E2D}">
      <text>
        <t xml:space="preserve">[Threaded comment]
Your version of Excel allows you to read this threaded comment; however, any edits to it will get removed if the file is opened in a newer version of Excel. Learn more: https://go.microsoft.com/fwlink/?linkid=870924
Comment:
    Received mail </t>
      </text>
    </comment>
    <comment ref="K7" authorId="5" shapeId="0" xr:uid="{6D5609BC-9468-440B-B289-A94AAEE1792E}">
      <text>
        <t xml:space="preserve">[Threaded comment]
Your version of Excel allows you to read this threaded comment; however, any edits to it will get removed if the file is opened in a newer version of Excel. Learn more: https://go.microsoft.com/fwlink/?linkid=870924
Comment:
    3 visit as per the software &amp; 2 as per report </t>
      </text>
    </comment>
    <comment ref="AC7" authorId="6" shapeId="0" xr:uid="{ECFAED46-6D8A-455B-91F6-742B96B15213}">
      <text>
        <t>[Threaded comment]
Your version of Excel allows you to read this threaded comment; however, any edits to it will get removed if the file is opened in a newer version of Excel. Learn more: https://go.microsoft.com/fwlink/?linkid=870924
Comment:
    Just reported in the group , no visit is performed hardly travelled 3km , no visit is added in the software .Even confirmed with the shariq</t>
      </text>
    </comment>
    <comment ref="K13" authorId="7" shapeId="0" xr:uid="{BB68CC77-BC1B-4424-B2D5-1C40FAA43D17}">
      <text>
        <t>[Threaded comment]
Your version of Excel allows you to read this threaded comment; however, any edits to it will get removed if the file is opened in a newer version of Excel. Learn more: https://go.microsoft.com/fwlink/?linkid=870924
Comment:
    1 visit as per the software</t>
      </text>
    </comment>
    <comment ref="Q14" authorId="8" shapeId="0" xr:uid="{58022A5F-8F6E-4C8B-808B-3ABD72708E96}">
      <text>
        <t xml:space="preserve">[Threaded comment]
Your version of Excel allows you to read this threaded comment; however, any edits to it will get removed if the file is opened in a newer version of Excel. Learn more: https://go.microsoft.com/fwlink/?linkid=870924
Comment:
    Received mail </t>
      </text>
    </comment>
    <comment ref="R14" authorId="9" shapeId="0" xr:uid="{AA126353-74CF-4D51-B637-5BA8AA4E4785}">
      <text>
        <t xml:space="preserve">[Threaded comment]
Your version of Excel allows you to read this threaded comment; however, any edits to it will get removed if the file is opened in a newer version of Excel. Learn more: https://go.microsoft.com/fwlink/?linkid=870924
Comment:
    Received mail </t>
      </text>
    </comment>
    <comment ref="Y14" authorId="10" shapeId="0" xr:uid="{1CAA781E-6EC2-4F13-9884-B19FD5919A5C}">
      <text>
        <t xml:space="preserve">[Threaded comment]
Your version of Excel allows you to read this threaded comment; however, any edits to it will get removed if the file is opened in a newer version of Excel. Learn more: https://go.microsoft.com/fwlink/?linkid=870924
Comment:
    No report in the group &amp; working in the software </t>
      </text>
    </comment>
    <comment ref="K15" authorId="11" shapeId="0" xr:uid="{A8B52859-B657-4AC2-B09A-C4519F4B7F03}">
      <text>
        <t>[Threaded comment]
Your version of Excel allows you to read this threaded comment; however, any edits to it will get removed if the file is opened in a newer version of Excel. Learn more: https://go.microsoft.com/fwlink/?linkid=870924
Comment:
    Full day at home only attended a Manisha's mam training , On call she said it was raining</t>
      </text>
    </comment>
    <comment ref="M19" authorId="12" shapeId="0" xr:uid="{217E4490-2D56-44B2-8E82-B55EF6857013}">
      <text>
        <t xml:space="preserve">[Threaded comment]
Your version of Excel allows you to read this threaded comment; however, any edits to it will get removed if the file is opened in a newer version of Excel. Learn more: https://go.microsoft.com/fwlink/?linkid=870924
Comment:
    No report &amp; working </t>
      </text>
    </comment>
    <comment ref="P26" authorId="13" shapeId="0" xr:uid="{4092CDF4-6000-4BCA-87FE-A005044F8456}">
      <text>
        <t xml:space="preserve">[Threaded comment]
Your version of Excel allows you to read this threaded comment; however, any edits to it will get removed if the file is opened in a newer version of Excel. Learn more: https://go.microsoft.com/fwlink/?linkid=870924
Comment:
    No report in group &amp; working in software </t>
      </text>
    </comment>
    <comment ref="Q26" authorId="14" shapeId="0" xr:uid="{BB94A331-1A2F-4D23-AFA1-C17A8C30941B}">
      <text>
        <t xml:space="preserve">[Threaded comment]
Your version of Excel allows you to read this threaded comment; however, any edits to it will get removed if the file is opened in a newer version of Excel. Learn more: https://go.microsoft.com/fwlink/?linkid=870924
Comment:
    No report in group &amp; working in software </t>
      </text>
    </comment>
    <comment ref="R26" authorId="15" shapeId="0" xr:uid="{0366463B-E255-4517-8075-953D433CFEE8}">
      <text>
        <t xml:space="preserve">[Threaded comment]
Your version of Excel allows you to read this threaded comment; however, any edits to it will get removed if the file is opened in a newer version of Excel. Learn more: https://go.microsoft.com/fwlink/?linkid=870924
Comment:
    No report in group &amp; working in software </t>
      </text>
    </comment>
    <comment ref="V26" authorId="16" shapeId="0" xr:uid="{1E88ABF1-072F-43B7-8F92-49858B0C396D}">
      <text>
        <t xml:space="preserve">[Threaded comment]
Your version of Excel allows you to read this threaded comment; however, any edits to it will get removed if the file is opened in a newer version of Excel. Learn more: https://go.microsoft.com/fwlink/?linkid=870924
Comment:
    No report &amp; working in the software </t>
      </text>
    </comment>
    <comment ref="W26" authorId="17" shapeId="0" xr:uid="{91F8C5FF-4541-4BD1-AD28-18E22B3C1ABC}">
      <text>
        <t xml:space="preserve">[Threaded comment]
Your version of Excel allows you to read this threaded comment; however, any edits to it will get removed if the file is opened in a newer version of Excel. Learn more: https://go.microsoft.com/fwlink/?linkid=870924
Comment:
    No report in the group &amp; working in the software </t>
      </text>
    </comment>
    <comment ref="X26" authorId="18" shapeId="0" xr:uid="{BF2765D6-AB1D-4E43-932C-9D94CFC20A30}">
      <text>
        <t xml:space="preserve">[Threaded comment]
Your version of Excel allows you to read this threaded comment; however, any edits to it will get removed if the file is opened in a newer version of Excel. Learn more: https://go.microsoft.com/fwlink/?linkid=870924
Comment:
    No report in the group &amp; working in the software </t>
      </text>
    </comment>
    <comment ref="K27" authorId="19" shapeId="0" xr:uid="{3933029F-AF3C-423F-ACB8-DF805DB1FD3A}">
      <text>
        <t xml:space="preserve">[Threaded comment]
Your version of Excel allows you to read this threaded comment; however, any edits to it will get removed if the file is opened in a newer version of Excel. Learn more: https://go.microsoft.com/fwlink/?linkid=870924
Comment:
    2 visits as per software </t>
      </text>
    </comment>
    <comment ref="K29" authorId="20" shapeId="0" xr:uid="{40D9E179-04F6-4D81-97E1-FFC9899B0ABB}">
      <text>
        <t xml:space="preserve">[Threaded comment]
Your version of Excel allows you to read this threaded comment; however, any edits to it will get removed if the file is opened in a newer version of Excel. Learn more: https://go.microsoft.com/fwlink/?linkid=870924
Comment:
    1 visit as per the software </t>
      </text>
    </comment>
    <comment ref="K30" authorId="21" shapeId="0" xr:uid="{77B4B59F-E158-4635-B08F-986E390E843D}">
      <text>
        <t>[Threaded comment]
Your version of Excel allows you to read this threaded comment; however, any edits to it will get removed if the file is opened in a newer version of Excel. Learn more: https://go.microsoft.com/fwlink/?linkid=870924
Comment:
    1 visit as per the software</t>
      </text>
    </comment>
    <comment ref="K31" authorId="22" shapeId="0" xr:uid="{CCC9C70E-A12F-454C-B928-A411E5FFA2DD}">
      <text>
        <t xml:space="preserve">[Threaded comment]
Your version of Excel allows you to read this threaded comment; however, any edits to it will get removed if the file is opened in a newer version of Excel. Learn more: https://go.microsoft.com/fwlink/?linkid=870924
Comment:
    1 VISIT Other is training added as visit </t>
      </text>
    </comment>
    <comment ref="W31" authorId="23" shapeId="0" xr:uid="{FCB18B25-6749-4AE5-B08C-1D6C1C8DCCD1}">
      <text>
        <t xml:space="preserve">[Threaded comment]
Your version of Excel allows you to read this threaded comment; however, any edits to it will get removed if the file is opened in a newer version of Excel. Learn more: https://go.microsoft.com/fwlink/?linkid=870924
Comment:
    No working repot &amp; attendance in the software </t>
      </text>
    </comment>
    <comment ref="F32" authorId="24" shapeId="0" xr:uid="{261721C4-E327-4461-BF5F-710CD5DF1207}">
      <text>
        <t>[Threaded comment]
Your version of Excel allows you to read this threaded comment; however, any edits to it will get removed if the file is opened in a newer version of Excel. Learn more: https://go.microsoft.com/fwlink/?linkid=870924
Comment:
    Mentioned in Group
Reply:
    Mentioned in group</t>
      </text>
    </comment>
    <comment ref="K35" authorId="25" shapeId="0" xr:uid="{943A678C-1BEC-4638-9070-4D0362D95619}">
      <text>
        <t>[Threaded comment]
Your version of Excel allows you to read this threaded comment; however, any edits to it will get removed if the file is opened in a newer version of Excel. Learn more: https://go.microsoft.com/fwlink/?linkid=870924
Comment:
    On leave but attended the training</t>
      </text>
    </comment>
    <comment ref="R40" authorId="26" shapeId="0" xr:uid="{320EC840-9F85-45B1-893A-EF2001B5BBE2}">
      <text>
        <t xml:space="preserve">[Threaded comment]
Your version of Excel allows you to read this threaded comment; however, any edits to it will get removed if the file is opened in a newer version of Excel. Learn more: https://go.microsoft.com/fwlink/?linkid=870924
Comment:
    No report and working in the software </t>
      </text>
    </comment>
    <comment ref="T40" authorId="27" shapeId="0" xr:uid="{2CCB6300-0180-41F7-A5D9-4041F843B64F}">
      <text>
        <t xml:space="preserve">[Threaded comment]
Your version of Excel allows you to read this threaded comment; however, any edits to it will get removed if the file is opened in a newer version of Excel. Learn more: https://go.microsoft.com/fwlink/?linkid=870924
Comment:
    No report and working in the software </t>
      </text>
    </comment>
    <comment ref="Q41" authorId="28" shapeId="0" xr:uid="{8AC844A4-F3C5-4C54-B3BC-0BDEAE076CBA}">
      <text>
        <t>[Threaded comment]
Your version of Excel allows you to read this threaded comment; however, any edits to it will get removed if the file is opened in a newer version of Excel. Learn more: https://go.microsoft.com/fwlink/?linkid=870924
Comment:
    No report in group &amp; working in the software</t>
      </text>
    </comment>
    <comment ref="F42" authorId="29" shapeId="0" xr:uid="{29250B17-BCC5-44F0-B0A3-117C9BDD6190}">
      <text>
        <t>[Threaded comment]
Your version of Excel allows you to read this threaded comment; however, any edits to it will get removed if the file is opened in a newer version of Excel. Learn more: https://go.microsoft.com/fwlink/?linkid=870924
Comment:
    Mentioned in Group</t>
      </text>
    </comment>
    <comment ref="F44" authorId="30" shapeId="0" xr:uid="{F96F28B1-969C-4921-8FE7-5BB4DAF0244C}">
      <text>
        <t>[Threaded comment]
Your version of Excel allows you to read this threaded comment; however, any edits to it will get removed if the file is opened in a newer version of Excel. Learn more: https://go.microsoft.com/fwlink/?linkid=870924
Comment:
     0.74 KM movement in whole day , not a single visit is as per software .</t>
      </text>
    </comment>
    <comment ref="G44" authorId="31" shapeId="0" xr:uid="{A35D32E3-5D28-4F75-8665-B1DE559B1559}">
      <text>
        <t>[Threaded comment]
Your version of Excel allows you to read this threaded comment; however, any edits to it will get removed if the file is opened in a newer version of Excel. Learn more: https://go.microsoft.com/fwlink/?linkid=870924
Comment:
    Just .03 KM movement in whole day , not a single visit is done as per software .</t>
      </text>
    </comment>
    <comment ref="I44" authorId="32" shapeId="0" xr:uid="{651C74FD-F829-4146-9F0B-6C5208A378E9}">
      <text>
        <t>[Threaded comment]
Your version of Excel allows you to read this threaded comment; however, any edits to it will get removed if the file is opened in a newer version of Excel. Learn more: https://go.microsoft.com/fwlink/?linkid=870924
Comment:
    Only at 1 place</t>
      </text>
    </comment>
    <comment ref="K44" authorId="33" shapeId="0" xr:uid="{82DB0B5F-7B08-455F-BDDB-E8F81C42674F}">
      <text>
        <t xml:space="preserve">[Threaded comment]
Your version of Excel allows you to read this threaded comment; however, any edits to it will get removed if the file is opened in a newer version of Excel. Learn more: https://go.microsoft.com/fwlink/?linkid=870924
Comment:
    Only attended the training , even on call she confirmed that she only attended the training </t>
      </text>
    </comment>
    <comment ref="W44" authorId="34" shapeId="0" xr:uid="{2E324E05-4ED0-44A5-9C26-B291C38B9444}">
      <text>
        <t xml:space="preserve">[Threaded comment]
Your version of Excel allows you to read this threaded comment; however, any edits to it will get removed if the file is opened in a newer version of Excel. Learn more: https://go.microsoft.com/fwlink/?linkid=870924
Comment:
    Only report in the group , not visit is added in the software &amp; only travelled 2km full day </t>
      </text>
    </comment>
    <comment ref="AH44" authorId="35" shapeId="0" xr:uid="{8D250645-2D0F-4E22-9C63-6021CE391F5B}">
      <text>
        <t>[Threaded comment]
Your version of Excel allows you to read this threaded comment; however, any edits to it will get removed if the file is opened in a newer version of Excel. Learn more: https://go.microsoft.com/fwlink/?linkid=870924
Comment:
    mentioned in group</t>
      </text>
    </comment>
    <comment ref="U45" authorId="36" shapeId="0" xr:uid="{1B094543-86E2-470D-B493-ECB2992E50FB}">
      <text>
        <t xml:space="preserve">[Threaded comment]
Your version of Excel allows you to read this threaded comment; however, any edits to it will get removed if the file is opened in a newer version of Excel. Learn more: https://go.microsoft.com/fwlink/?linkid=870924
Comment:
    No working in the software and report in the group </t>
      </text>
    </comment>
    <comment ref="F49" authorId="37" shapeId="0" xr:uid="{31F06971-4CD3-45D6-B286-BBC9CFC9E8A1}">
      <text>
        <t>[Threaded comment]
Your version of Excel allows you to read this threaded comment; however, any edits to it will get removed if the file is opened in a newer version of Excel. Learn more: https://go.microsoft.com/fwlink/?linkid=870924
Comment:
    Mentioned in Group</t>
      </text>
    </comment>
    <comment ref="K52" authorId="38" shapeId="0" xr:uid="{2F437479-655F-49E3-A824-09ADBD209017}">
      <text>
        <t>[Threaded comment]
Your version of Excel allows you to read this threaded comment; however, any edits to it will get removed if the file is opened in a newer version of Excel. Learn more: https://go.microsoft.com/fwlink/?linkid=870924
Comment:
    On leave but attended the training</t>
      </text>
    </comment>
    <comment ref="X53" authorId="39" shapeId="0" xr:uid="{CFBFF9CA-46A3-46AF-B81C-7E8BE66E5E22}">
      <text>
        <t xml:space="preserve">[Threaded comment]
Your version of Excel allows you to read this threaded comment; however, any edits to it will get removed if the file is opened in a newer version of Excel. Learn more: https://go.microsoft.com/fwlink/?linkid=870924
Comment:
    Even called her on 20th regarding her 19th working , as 0km travelled on 19th even called on the number provided in rprt one is wrong and other is not reachable </t>
      </text>
    </comment>
    <comment ref="O54" authorId="40" shapeId="0" xr:uid="{E86DACA4-9CFE-4DA3-8ADD-B3997DE3F427}">
      <text>
        <t xml:space="preserve">[Threaded comment]
Your version of Excel allows you to read this threaded comment; however, any edits to it will get removed if the file is opened in a newer version of Excel. Learn more: https://go.microsoft.com/fwlink/?linkid=870924
Comment:
    NO RECORD IN SOFTWARE AS WELL AS IN GROUP </t>
      </text>
    </comment>
    <comment ref="Q54" authorId="41" shapeId="0" xr:uid="{FD1C9F66-4A5C-4626-BAD0-2DCB9F432C4B}">
      <text>
        <t xml:space="preserve">[Threaded comment]
Your version of Excel allows you to read this threaded comment; however, any edits to it will get removed if the file is opened in a newer version of Excel. Learn more: https://go.microsoft.com/fwlink/?linkid=870924
Comment:
    No report in group &amp; working in software </t>
      </text>
    </comment>
    <comment ref="R54" authorId="42" shapeId="0" xr:uid="{8CB59BF7-8224-417D-AF9D-11CB7A19EE3C}">
      <text>
        <t xml:space="preserve">[Threaded comment]
Your version of Excel allows you to read this threaded comment; however, any edits to it will get removed if the file is opened in a newer version of Excel. Learn more: https://go.microsoft.com/fwlink/?linkid=870924
Comment:
    No report &amp; working in the software </t>
      </text>
    </comment>
    <comment ref="T54" authorId="43" shapeId="0" xr:uid="{72E81284-595F-4FF4-98D3-31DFB473E0DA}">
      <text>
        <t xml:space="preserve">[Threaded comment]
Your version of Excel allows you to read this threaded comment; however, any edits to it will get removed if the file is opened in a newer version of Excel. Learn more: https://go.microsoft.com/fwlink/?linkid=870924
Comment:
    No report &amp; working in the software </t>
      </text>
    </comment>
    <comment ref="U54" authorId="44" shapeId="0" xr:uid="{BB4DA49F-A7B5-4E8B-A9C9-14BD7C8AC64E}">
      <text>
        <t xml:space="preserve">[Threaded comment]
Your version of Excel allows you to read this threaded comment; however, any edits to it will get removed if the file is opened in a newer version of Excel. Learn more: https://go.microsoft.com/fwlink/?linkid=870924
Comment:
    No report &amp; working in the software </t>
      </text>
    </comment>
    <comment ref="V54" authorId="45" shapeId="0" xr:uid="{A1AB4477-E8B2-43C7-9EB7-3FAC53F03BC0}">
      <text>
        <t xml:space="preserve">[Threaded comment]
Your version of Excel allows you to read this threaded comment; however, any edits to it will get removed if the file is opened in a newer version of Excel. Learn more: https://go.microsoft.com/fwlink/?linkid=870924
Comment:
    No report &amp; working in the software </t>
      </text>
    </comment>
    <comment ref="W54" authorId="46" shapeId="0" xr:uid="{ABB9A3EF-0DCB-409D-B859-10AED01D17DB}">
      <text>
        <t xml:space="preserve">[Threaded comment]
Your version of Excel allows you to read this threaded comment; however, any edits to it will get removed if the file is opened in a newer version of Excel. Learn more: https://go.microsoft.com/fwlink/?linkid=870924
Comment:
    No report &amp; working in the software </t>
      </text>
    </comment>
    <comment ref="X54" authorId="47" shapeId="0" xr:uid="{A772AEA7-B593-4F6E-A018-DCEED32776A5}">
      <text>
        <t xml:space="preserve">[Threaded comment]
Your version of Excel allows you to read this threaded comment; however, any edits to it will get removed if the file is opened in a newer version of Excel. Learn more: https://go.microsoft.com/fwlink/?linkid=870924
Comment:
    No report &amp; working in the software </t>
      </text>
    </comment>
    <comment ref="Y54" authorId="48" shapeId="0" xr:uid="{D744088D-933D-4E1C-BC47-D1CDC4B2EF7D}">
      <text>
        <t xml:space="preserve">[Threaded comment]
Your version of Excel allows you to read this threaded comment; however, any edits to it will get removed if the file is opened in a newer version of Excel. Learn more: https://go.microsoft.com/fwlink/?linkid=870924
Comment:
    No report &amp; working in the software </t>
      </text>
    </comment>
    <comment ref="T55" authorId="49" shapeId="0" xr:uid="{72701253-98A1-4D03-9DE9-9CF85972CC70}">
      <text>
        <t xml:space="preserve">[Threaded comment]
Your version of Excel allows you to read this threaded comment; however, any edits to it will get removed if the file is opened in a newer version of Excel. Learn more: https://go.microsoft.com/fwlink/?linkid=870924
Comment:
    Karthikan asked for it </t>
      </text>
    </comment>
    <comment ref="O56" authorId="50" shapeId="0" xr:uid="{A8500EAE-7EC0-418B-B969-96020A6A9D10}">
      <text>
        <t xml:space="preserve">[Threaded comment]
Your version of Excel allows you to read this threaded comment; however, any edits to it will get removed if the file is opened in a newer version of Excel. Learn more: https://go.microsoft.com/fwlink/?linkid=870924
Comment:
    NO RECORD IN SOFTWARE AS WELL AS IN GROUP </t>
      </text>
    </comment>
    <comment ref="AF56" authorId="51" shapeId="0" xr:uid="{7B204D49-29DC-447C-95B4-1187C95FF124}">
      <text>
        <t>[Threaded comment]
Your version of Excel allows you to read this threaded comment; however, any edits to it will get removed if the file is opened in a newer version of Excel. Learn more: https://go.microsoft.com/fwlink/?linkid=870924
Comment:
    mentioned in group
Reply:
    Mentioned in group</t>
      </text>
    </comment>
    <comment ref="U57" authorId="52" shapeId="0" xr:uid="{51A18855-AB30-472A-832A-6FA0BEED176C}">
      <text>
        <t>[Threaded comment]
Your version of Excel allows you to read this threaded comment; however, any edits to it will get removed if the file is opened in a newer version of Excel. Learn more: https://go.microsoft.com/fwlink/?linkid=870924
Comment:
    No working and report in the software</t>
      </text>
    </comment>
    <comment ref="V57" authorId="53" shapeId="0" xr:uid="{D6F29713-25C9-4FAE-98A8-3756E572F272}">
      <text>
        <t xml:space="preserve">[Threaded comment]
Your version of Excel allows you to read this threaded comment; however, any edits to it will get removed if the file is opened in a newer version of Excel. Learn more: https://go.microsoft.com/fwlink/?linkid=870924
Comment:
    No report &amp; working in the software </t>
      </text>
    </comment>
    <comment ref="W64" authorId="54" shapeId="0" xr:uid="{A0197540-253B-40EF-A60C-EDA876449AEE}">
      <text>
        <t>[Threaded comment]
Your version of Excel allows you to read this threaded comment; however, any edits to it will get removed if the file is opened in a newer version of Excel. Learn more: https://go.microsoft.com/fwlink/?linkid=870924
Comment:
    No report &amp;. working in the software</t>
      </text>
    </comment>
    <comment ref="R66" authorId="55" shapeId="0" xr:uid="{F968BBFD-1C32-4858-8671-E55DBCA2BF0D}">
      <text>
        <t xml:space="preserve">[Threaded comment]
Your version of Excel allows you to read this threaded comment; however, any edits to it will get removed if the file is opened in a newer version of Excel. Learn more: https://go.microsoft.com/fwlink/?linkid=870924
Comment:
    No report and working in the group </t>
      </text>
    </comment>
    <comment ref="K68" authorId="56" shapeId="0" xr:uid="{00D335E1-8591-4866-82B8-2A8B67C5B518}">
      <text>
        <t xml:space="preserve">[Threaded comment]
Your version of Excel allows you to read this threaded comment; however, any edits to it will get removed if the file is opened in a newer version of Excel. Learn more: https://go.microsoft.com/fwlink/?linkid=870924
Comment:
    Only attended the training no visit was performed in report also mentioned online training </t>
      </text>
    </comment>
    <comment ref="H69" authorId="57" shapeId="0" xr:uid="{9AA23774-6212-4378-8D02-04815463F53E}">
      <text>
        <t xml:space="preserve">[Threaded comment]
Your version of Excel allows you to read this threaded comment; however, any edits to it will get removed if the file is opened in a newer version of Excel. Learn more: https://go.microsoft.com/fwlink/?linkid=870924
Comment:
    Medical emergency </t>
      </text>
    </comment>
    <comment ref="M71" authorId="58" shapeId="0" xr:uid="{D8F0FB36-C2C6-4669-932C-05F0303FDF05}">
      <text>
        <t xml:space="preserve">[Threaded comment]
Your version of Excel allows you to read this threaded comment; however, any edits to it will get removed if the file is opened in a newer version of Excel. Learn more: https://go.microsoft.com/fwlink/?linkid=870924
Comment:
    Company booked demo </t>
      </text>
    </comment>
    <comment ref="N71" authorId="59" shapeId="0" xr:uid="{59916786-4362-4287-B290-680508B1508F}">
      <text>
        <t xml:space="preserve">[Threaded comment]
Your version of Excel allows you to read this threaded comment; however, any edits to it will get removed if the file is opened in a newer version of Excel. Learn more: https://go.microsoft.com/fwlink/?linkid=870924
Comment:
    Company booked demo </t>
      </text>
    </comment>
    <comment ref="O71" authorId="60" shapeId="0" xr:uid="{802A780D-4389-4C09-BE4D-C086F00C409F}">
      <text>
        <t xml:space="preserve">[Threaded comment]
Your version of Excel allows you to read this threaded comment; however, any edits to it will get removed if the file is opened in a newer version of Excel. Learn more: https://go.microsoft.com/fwlink/?linkid=870924
Comment:
    Company booked demo </t>
      </text>
    </comment>
    <comment ref="J73" authorId="61" shapeId="0" xr:uid="{C0EE7C26-40AF-4395-8569-33CDE3725543}">
      <text>
        <t>[Threaded comment]
Your version of Excel allows you to read this threaded comment; however, any edits to it will get removed if the file is opened in a newer version of Excel. Learn more: https://go.microsoft.com/fwlink/?linkid=870924
Comment:
    mentioned in group</t>
      </text>
    </comment>
    <comment ref="K73" authorId="62" shapeId="0" xr:uid="{965216C9-6B86-48F0-B02D-8F6F8288BE2D}">
      <text>
        <t>[Threaded comment]
Your version of Excel allows you to read this threaded comment; however, any edits to it will get removed if the file is opened in a newer version of Excel. Learn more: https://go.microsoft.com/fwlink/?linkid=870924
Comment:
    mentioned in group</t>
      </text>
    </comment>
    <comment ref="AF73" authorId="63" shapeId="0" xr:uid="{2E83C86E-85ED-4773-B5DA-582C8504615E}">
      <text>
        <t>[Threaded comment]
Your version of Excel allows you to read this threaded comment; however, any edits to it will get removed if the file is opened in a newer version of Excel. Learn more: https://go.microsoft.com/fwlink/?linkid=870924
Comment:
    Whole day was at home (wfh) placed primary ordr</t>
      </text>
    </comment>
    <comment ref="Q76" authorId="64" shapeId="0" xr:uid="{1FBE86D4-C3F8-4CE9-AFFA-8676C0F136BF}">
      <text>
        <t xml:space="preserve">[Threaded comment]
Your version of Excel allows you to read this threaded comment; however, any edits to it will get removed if the file is opened in a newer version of Excel. Learn more: https://go.microsoft.com/fwlink/?linkid=870924
Comment:
    No report and visit added in the group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tc={B00AD718-4800-4FA7-8417-F62243CF2425}</author>
    <author>tc={00A697A5-7CC5-4D74-8B98-89681BD99181}</author>
  </authors>
  <commentList>
    <comment ref="AB45" authorId="0" shapeId="0" xr:uid="{B00AD718-4800-4FA7-8417-F62243CF2425}">
      <text>
        <t xml:space="preserve">[Threaded comment]
Your version of Excel allows you to read this threaded comment; however, any edits to it will get removed if the file is opened in a newer version of Excel. Learn more: https://go.microsoft.com/fwlink/?linkid=870924
Comment:
    Heavy rain </t>
      </text>
    </comment>
    <comment ref="AC58" authorId="1" shapeId="0" xr:uid="{00A697A5-7CC5-4D74-8B98-89681BD99181}">
      <text>
        <t xml:space="preserve">[Threaded comment]
Your version of Excel allows you to read this threaded comment; however, any edits to it will get removed if the file is opened in a newer version of Excel. Learn more: https://go.microsoft.com/fwlink/?linkid=870924
Comment:
    No checking in the software, only put report in the group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tc={CCF87F0E-DE0A-4076-A224-445E28B5DA3C}</author>
    <author>tc={5938B0A5-48B3-40E3-A590-3FCCBE6F5D02}</author>
    <author>tc={87F84237-0475-42A4-B1A7-D3EA3F1AFF52}</author>
    <author>tc={E9AF77C6-7EE8-4460-A489-CDA846BF5C1F}</author>
    <author>tc={E2127C1B-A35F-4C29-A9DC-4AB6567C4D33}</author>
    <author>tc={C759F36A-596D-4984-8A10-697F674D90F4}</author>
    <author>tc={F6D075B3-052A-48FC-896F-879423ADB5D4}</author>
    <author>tc={7B28E9D2-48C2-4FC6-96A4-86DF45EF5B6B}</author>
    <author>tc={64C1C128-41B5-4112-AD86-F2A0B545EC07}</author>
    <author>tc={296E6144-D236-47C2-A900-9B797E38CAA7}</author>
    <author>tc={4A61BECA-069E-4C11-BE27-B4A4C2862ACF}</author>
    <author>tc={16284F6F-402F-4885-8852-FA0BAE2306DE}</author>
    <author>tc={60238B76-36E9-4D7D-AB55-DD75EF589A09}</author>
    <author>tc={3B8AB7E8-1B60-4BC7-A3D9-AD479DF669BC}</author>
  </authors>
  <commentList>
    <comment ref="AG12" authorId="0" shapeId="0" xr:uid="{CCF87F0E-DE0A-4076-A224-445E28B5DA3C}">
      <text>
        <t>[Threaded comment]
Your version of Excel allows you to read this threaded comment; however, any edits to it will get removed if the file is opened in a newer version of Excel. Learn more: https://go.microsoft.com/fwlink/?linkid=870924
Comment:
    mention in group</t>
      </text>
    </comment>
    <comment ref="K13" authorId="1" shapeId="0" xr:uid="{5938B0A5-48B3-40E3-A590-3FCCBE6F5D02}">
      <text>
        <t xml:space="preserve">[Threaded comment]
Your version of Excel allows you to read this threaded comment; however, any edits to it will get removed if the file is opened in a newer version of Excel. Learn more: https://go.microsoft.com/fwlink/?linkid=870924
Comment:
    migraine during the market </t>
      </text>
    </comment>
    <comment ref="AG22" authorId="2" shapeId="0" xr:uid="{87F84237-0475-42A4-B1A7-D3EA3F1AFF52}">
      <text>
        <t>[Threaded comment]
Your version of Excel allows you to read this threaded comment; however, any edits to it will get removed if the file is opened in a newer version of Excel. Learn more: https://go.microsoft.com/fwlink/?linkid=870924
Comment:
    last salon visit at 2:13pm after that he goes to bike repair shop</t>
      </text>
    </comment>
    <comment ref="AG29" authorId="3" shapeId="0" xr:uid="{E9AF77C6-7EE8-4460-A489-CDA846BF5C1F}">
      <text>
        <t>[Threaded comment]
Your version of Excel allows you to read this threaded comment; however, any edits to it will get removed if the file is opened in a newer version of Excel. Learn more: https://go.microsoft.com/fwlink/?linkid=870924
Comment:
    last salon visit 4:37 pm</t>
      </text>
    </comment>
    <comment ref="R34" authorId="4" shapeId="0" xr:uid="{E2127C1B-A35F-4C29-A9DC-4AB6567C4D33}">
      <text>
        <t>[Threaded comment]
Your version of Excel allows you to read this threaded comment; however, any edits to it will get removed if the file is opened in a newer version of Excel. Learn more: https://go.microsoft.com/fwlink/?linkid=870924
Comment:
    Should be in kolkata but in west bengal becz of diariya</t>
      </text>
    </comment>
    <comment ref="X41" authorId="5" shapeId="0" xr:uid="{C759F36A-596D-4984-8A10-697F674D90F4}">
      <text>
        <t xml:space="preserve">[Threaded comment]
Your version of Excel allows you to read this threaded comment; however, any edits to it will get removed if the file is opened in a newer version of Excel. Learn more: https://go.microsoft.com/fwlink/?linkid=870924
Comment:
    Visit 1-2 in morning then return back to home </t>
      </text>
    </comment>
    <comment ref="R46" authorId="6" shapeId="0" xr:uid="{F6D075B3-052A-48FC-896F-879423ADB5D4}">
      <text>
        <t>[Threaded comment]
Your version of Excel allows you to read this threaded comment; however, any edits to it will get removed if the file is opened in a newer version of Excel. Learn more: https://go.microsoft.com/fwlink/?linkid=870924
Comment:
    Should be in kolkata but in west bengal becz of diariya</t>
      </text>
    </comment>
    <comment ref="G48" authorId="7" shapeId="0" xr:uid="{7B28E9D2-48C2-4FC6-96A4-86DF45EF5B6B}">
      <text>
        <t>[Threaded comment]
Your version of Excel allows you to read this threaded comment; however, any edits to it will get removed if the file is opened in a newer version of Excel. Learn more: https://go.microsoft.com/fwlink/?linkid=870924
Comment:
    No report in the group and no visit marked in the software</t>
      </text>
    </comment>
    <comment ref="S49" authorId="8" shapeId="0" xr:uid="{64C1C128-41B5-4112-AD86-F2A0B545EC07}">
      <text>
        <t>[Threaded comment]
Your version of Excel allows you to read this threaded comment; however, any edits to it will get removed if the file is opened in a newer version of Excel. Learn more: https://go.microsoft.com/fwlink/?linkid=870924
Comment:
    gone to bathinda at 3 o'clock</t>
      </text>
    </comment>
    <comment ref="I50" authorId="9" shapeId="0" xr:uid="{296E6144-D236-47C2-A900-9B797E38CAA7}">
      <text>
        <t>[Threaded comment]
Your version of Excel allows you to read this threaded comment; however, any edits to it will get removed if the file is opened in a newer version of Excel. Learn more: https://go.microsoft.com/fwlink/?linkid=870924
Comment:
    Message by shariq</t>
      </text>
    </comment>
    <comment ref="R60" authorId="10" shapeId="0" xr:uid="{4A61BECA-069E-4C11-BE27-B4A4C2862ACF}">
      <text>
        <t>[Threaded comment]
Your version of Excel allows you to read this threaded comment; however, any edits to it will get removed if the file is opened in a newer version of Excel. Learn more: https://go.microsoft.com/fwlink/?linkid=870924
Comment:
    Should be in kolkata but in west bengal becz of diariya</t>
      </text>
    </comment>
    <comment ref="J79" authorId="11" shapeId="0" xr:uid="{16284F6F-402F-4885-8852-FA0BAE2306DE}">
      <text>
        <t xml:space="preserve">[Threaded comment]
Your version of Excel allows you to read this threaded comment; however, any edits to it will get removed if the file is opened in a newer version of Excel. Learn more: https://go.microsoft.com/fwlink/?linkid=870924
Comment:
    No working in the software </t>
      </text>
    </comment>
    <comment ref="K85" authorId="12" shapeId="0" xr:uid="{60238B76-36E9-4D7D-AB55-DD75EF589A09}">
      <text>
        <t xml:space="preserve">[Threaded comment]
Your version of Excel allows you to read this threaded comment; however, any edits to it will get removed if the file is opened in a newer version of Excel. Learn more: https://go.microsoft.com/fwlink/?linkid=870924
Comment:
    NO working in software </t>
      </text>
    </comment>
    <comment ref="N85" authorId="13" shapeId="0" xr:uid="{3B8AB7E8-1B60-4BC7-A3D9-AD479DF669BC}">
      <text>
        <t>[Threaded comment]
Your version of Excel allows you to read this threaded comment; however, any edits to it will get removed if the file is opened in a newer version of Excel. Learn more: https://go.microsoft.com/fwlink/?linkid=870924
Comment:
    No working in software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tc={84C3115C-2C70-47B8-BD72-AFCB3C12B1BF}</author>
    <author>tc={702290F3-21C8-4548-B00D-1DE1061669F8}</author>
    <author>tc={E0DE5E61-4EA1-43BF-BCB2-B2F4A688C393}</author>
    <author>tc={65C61689-735B-4F7B-BC26-D603AE7434BF}</author>
    <author>tc={7D82DBFB-D5F2-4A80-B785-53BF0773D0AB}</author>
    <author>tc={5BD9CF9F-A815-402D-8882-0139DC22DD6A}</author>
    <author>tc={1F802CD9-DAED-4121-86A8-73C334EBF264}</author>
    <author>tc={6ABDBB50-4814-4FE9-B14B-849C465DD6E6}</author>
    <author>tc={20F0D60F-D7EB-4F9F-8DB9-12C496E8D36C}</author>
    <author>tc={8F31E289-5172-49CE-9998-5F01A4FB8901}</author>
    <author>tc={1D1F3BD3-73AF-488A-A4A2-8F4FAECEC5C7}</author>
    <author>tc={F6238A80-C1CC-4C22-A296-81C05E162238}</author>
    <author>tc={E197621E-C210-4666-BC36-B048D5BF8A4F}</author>
    <author>tc={3ACD68AD-AC8A-4B11-AAFE-6FEA8B979928}</author>
    <author>tc={B2E4E053-BAE7-4D2F-B9F1-6514B0F89503}</author>
    <author>tc={40733BA3-BC1C-4345-BF6F-C15C54BF3031}</author>
    <author>tc={FE22814C-158D-4409-B05C-56351D37B29A}</author>
    <author>tc={BBE2C726-849E-4794-840E-C891525CF110}</author>
    <author>tc={23CC4535-02BA-42F6-9E44-C4B05A3FE17A}</author>
    <author>tc={2FDFB352-713B-450D-B596-803C1CE7F05E}</author>
    <author>tc={449DADEA-1937-4901-81D5-741B5DF4F3D0}</author>
    <author>tc={04EB4F53-0BB2-4135-84C4-EF5CFD6E413B}</author>
    <author>tc={C52D8F3C-5467-45DC-AF6B-A27F3FA8C68A}</author>
    <author>tc={816155C2-DFFA-436B-A5FD-1B0698FD63A1}</author>
    <author>tc={BA2B2D48-C269-48EB-BFF9-DC3B6BEF97F6}</author>
    <author>tc={0C6B1C76-F1CC-4D08-9655-960AA845F377}</author>
    <author>tc={E07A702F-DCC5-42B5-8D02-767D38A4427D}</author>
    <author>tc={96975554-CEC6-4344-A600-A4EAD0D4CC42}</author>
    <author>tc={4A6BFDA1-AC44-4199-9738-DC6F4D96437A}</author>
    <author>tc={55D1F111-6DC7-4886-B467-5FED813D5432}</author>
    <author>tc={0E7F2E80-F915-4857-AD1C-FCD4737AE693}</author>
    <author>tc={76198CF9-8753-4846-9778-335955D73128}</author>
    <author>tc={4BAB3278-7ECA-4251-8479-88768211A85F}</author>
    <author>tc={09B540A9-D378-4ECB-892A-379DD46DCA89}</author>
    <author>tc={DECB1E6C-EA6F-4F00-887B-417715418630}</author>
  </authors>
  <commentList>
    <comment ref="O2" authorId="0" shapeId="0" xr:uid="{84C3115C-2C70-47B8-BD72-AFCB3C12B1BF}">
      <text>
        <t>[Threaded comment]
Your version of Excel allows you to read this threaded comment; however, any edits to it will get removed if the file is opened in a newer version of Excel. Learn more: https://go.microsoft.com/fwlink/?linkid=870924
Comment:
    Mechanical issue in Bike</t>
      </text>
    </comment>
    <comment ref="T3" authorId="1" shapeId="0" xr:uid="{702290F3-21C8-4548-B00D-1DE1061669F8}">
      <text>
        <t xml:space="preserve">[Threaded comment]
Your version of Excel allows you to read this threaded comment; however, any edits to it will get removed if the file is opened in a newer version of Excel. Learn more: https://go.microsoft.com/fwlink/?linkid=870924
Comment:
    Informed in the group </t>
      </text>
    </comment>
    <comment ref="I5" authorId="2" shapeId="0" xr:uid="{E0DE5E61-4EA1-43BF-BCB2-B2F4A688C393}">
      <text>
        <t>[Threaded comment]
Your version of Excel allows you to read this threaded comment; however, any edits to it will get removed if the file is opened in a newer version of Excel. Learn more: https://go.microsoft.com/fwlink/?linkid=870924
Comment:
    mentioned in group</t>
      </text>
    </comment>
    <comment ref="S8" authorId="3" shapeId="0" xr:uid="{65C61689-735B-4F7B-BC26-D603AE7434BF}">
      <text>
        <t xml:space="preserve">[Threaded comment]
Your version of Excel allows you to read this threaded comment; however, any edits to it will get removed if the file is opened in a newer version of Excel. Learn more: https://go.microsoft.com/fwlink/?linkid=870924
Comment:
    Confirmed in the group </t>
      </text>
    </comment>
    <comment ref="I10" authorId="4" shapeId="0" xr:uid="{7D82DBFB-D5F2-4A80-B785-53BF0773D0AB}">
      <text>
        <t>[Threaded comment]
Your version of Excel allows you to read this threaded comment; however, any edits to it will get removed if the file is opened in a newer version of Excel. Learn more: https://go.microsoft.com/fwlink/?linkid=870924
Comment:
    Last visit 2:26 on daytrack</t>
      </text>
    </comment>
    <comment ref="Y16" authorId="5" shapeId="0" xr:uid="{5BD9CF9F-A815-402D-8882-0139DC22DD6A}">
      <text>
        <t xml:space="preserve">[Threaded comment]
Your version of Excel allows you to read this threaded comment; however, any edits to it will get removed if the file is opened in a newer version of Excel. Learn more: https://go.microsoft.com/fwlink/?linkid=870924
Comment:
    No visit added travelled only 13km </t>
      </text>
    </comment>
    <comment ref="H21" authorId="6" shapeId="0" xr:uid="{1F802CD9-DAED-4121-86A8-73C334EBF264}">
      <text>
        <t>[Threaded comment]
Your version of Excel allows you to read this threaded comment; however, any edits to it will get removed if the file is opened in a newer version of Excel. Learn more: https://go.microsoft.com/fwlink/?linkid=870924
Comment:
    informed on group</t>
      </text>
    </comment>
    <comment ref="I21" authorId="7" shapeId="0" xr:uid="{6ABDBB50-4814-4FE9-B14B-849C465DD6E6}">
      <text>
        <t>[Threaded comment]
Your version of Excel allows you to read this threaded comment; however, any edits to it will get removed if the file is opened in a newer version of Excel. Learn more: https://go.microsoft.com/fwlink/?linkid=870924
Comment:
    Last visit at 2:28pm in daytrack as salon is closed due to holi</t>
      </text>
    </comment>
    <comment ref="O23" authorId="8" shapeId="0" xr:uid="{20F0D60F-D7EB-4F9F-8DB9-12C496E8D36C}">
      <text>
        <t>[Threaded comment]
Your version of Excel allows you to read this threaded comment; however, any edits to it will get removed if the file is opened in a newer version of Excel. Learn more: https://go.microsoft.com/fwlink/?linkid=870924
Comment:
    leave mail</t>
      </text>
    </comment>
    <comment ref="M31" authorId="9" shapeId="0" xr:uid="{8F31E289-5172-49CE-9998-5F01A4FB8901}">
      <text>
        <t>[Threaded comment]
Your version of Excel allows you to read this threaded comment; however, any edits to it will get removed if the file is opened in a newer version of Excel. Learn more: https://go.microsoft.com/fwlink/?linkid=870924
Comment:
    mentioned in group</t>
      </text>
    </comment>
    <comment ref="L39" authorId="10" shapeId="0" xr:uid="{1D1F3BD3-73AF-488A-A4A2-8F4FAECEC5C7}">
      <text>
        <t>[Threaded comment]
Your version of Excel allows you to read this threaded comment; however, any edits to it will get removed if the file is opened in a newer version of Excel. Learn more: https://go.microsoft.com/fwlink/?linkid=870924
Comment:
    leave mail</t>
      </text>
    </comment>
    <comment ref="M41" authorId="11" shapeId="0" xr:uid="{F6238A80-C1CC-4C22-A296-81C05E162238}">
      <text>
        <t>[Threaded comment]
Your version of Excel allows you to read this threaded comment; however, any edits to it will get removed if the file is opened in a newer version of Excel. Learn more: https://go.microsoft.com/fwlink/?linkid=870924
Comment:
    leave mail</t>
      </text>
    </comment>
    <comment ref="I43" authorId="12" shapeId="0" xr:uid="{E197621E-C210-4666-BC36-B048D5BF8A4F}">
      <text>
        <t>[Threaded comment]
Your version of Excel allows you to read this threaded comment; however, any edits to it will get removed if the file is opened in a newer version of Excel. Learn more: https://go.microsoft.com/fwlink/?linkid=870924
Comment:
    leave mail</t>
      </text>
    </comment>
    <comment ref="I45" authorId="13" shapeId="0" xr:uid="{3ACD68AD-AC8A-4B11-AAFE-6FEA8B979928}">
      <text>
        <t>[Threaded comment]
Your version of Excel allows you to read this threaded comment; however, any edits to it will get removed if the file is opened in a newer version of Excel. Learn more: https://go.microsoft.com/fwlink/?linkid=870924
Comment:
    leave mail</t>
      </text>
    </comment>
    <comment ref="K46" authorId="14" shapeId="0" xr:uid="{B2E4E053-BAE7-4D2F-B9F1-6514B0F89503}">
      <text>
        <t>[Threaded comment]
Your version of Excel allows you to read this threaded comment; however, any edits to it will get removed if the file is opened in a newer version of Excel. Learn more: https://go.microsoft.com/fwlink/?linkid=870924
Comment:
    informed on whatsapp</t>
      </text>
    </comment>
    <comment ref="L46" authorId="15" shapeId="0" xr:uid="{40733BA3-BC1C-4345-BF6F-C15C54BF3031}">
      <text>
        <t>[Threaded comment]
Your version of Excel allows you to read this threaded comment; however, any edits to it will get removed if the file is opened in a newer version of Excel. Learn more: https://go.microsoft.com/fwlink/?linkid=870924
Comment:
    informed on whatsapp</t>
      </text>
    </comment>
    <comment ref="M46" authorId="16" shapeId="0" xr:uid="{FE22814C-158D-4409-B05C-56351D37B29A}">
      <text>
        <t>[Threaded comment]
Your version of Excel allows you to read this threaded comment; however, any edits to it will get removed if the file is opened in a newer version of Excel. Learn more: https://go.microsoft.com/fwlink/?linkid=870924
Comment:
    Not mentioned in group as well as in daytrack</t>
      </text>
    </comment>
    <comment ref="M52" authorId="17" shapeId="0" xr:uid="{BBE2C726-849E-4794-840E-C891525CF110}">
      <text>
        <t>[Threaded comment]
Your version of Excel allows you to read this threaded comment; however, any edits to it will get removed if the file is opened in a newer version of Excel. Learn more: https://go.microsoft.com/fwlink/?linkid=870924
Comment:
    leave mail</t>
      </text>
    </comment>
    <comment ref="I53" authorId="18" shapeId="0" xr:uid="{23CC4535-02BA-42F6-9E44-C4B05A3FE17A}">
      <text>
        <t>[Threaded comment]
Your version of Excel allows you to read this threaded comment; however, any edits to it will get removed if the file is opened in a newer version of Excel. Learn more: https://go.microsoft.com/fwlink/?linkid=870924
Comment:
    informed on whatsapp</t>
      </text>
    </comment>
    <comment ref="K53" authorId="19" shapeId="0" xr:uid="{2FDFB352-713B-450D-B596-803C1CE7F05E}">
      <text>
        <t>[Threaded comment]
Your version of Excel allows you to read this threaded comment; however, any edits to it will get removed if the file is opened in a newer version of Excel. Learn more: https://go.microsoft.com/fwlink/?linkid=870924
Comment:
    Not well during market</t>
      </text>
    </comment>
    <comment ref="J55" authorId="20" shapeId="0" xr:uid="{449DADEA-1937-4901-81D5-741B5DF4F3D0}">
      <text>
        <t>[Threaded comment]
Your version of Excel allows you to read this threaded comment; however, any edits to it will get removed if the file is opened in a newer version of Excel. Learn more: https://go.microsoft.com/fwlink/?linkid=870924
Comment:
    Asked by karthikan sir</t>
      </text>
    </comment>
    <comment ref="AH55" authorId="21" shapeId="0" xr:uid="{04EB4F53-0BB2-4135-84C4-EF5CFD6E413B}">
      <text>
        <t xml:space="preserve">[Threaded comment]
Your version of Excel allows you to read this threaded comment; however, any edits to it will get removed if the file is opened in a newer version of Excel. Learn more: https://go.microsoft.com/fwlink/?linkid=870924
Comment:
    LOP asked by karthikan </t>
      </text>
    </comment>
    <comment ref="L56" authorId="22" shapeId="0" xr:uid="{C52D8F3C-5467-45DC-AF6B-A27F3FA8C68A}">
      <text>
        <t>[Threaded comment]
Your version of Excel allows you to read this threaded comment; however, any edits to it will get removed if the file is opened in a newer version of Excel. Learn more: https://go.microsoft.com/fwlink/?linkid=870924
Comment:
    Not join the meeting</t>
      </text>
    </comment>
    <comment ref="I57" authorId="23" shapeId="0" xr:uid="{816155C2-DFFA-436B-A5FD-1B0698FD63A1}">
      <text>
        <t>[Threaded comment]
Your version of Excel allows you to read this threaded comment; however, any edits to it will get removed if the file is opened in a newer version of Excel. Learn more: https://go.microsoft.com/fwlink/?linkid=870924
Comment:
    Not shared the report as well as not login in daytrack</t>
      </text>
    </comment>
    <comment ref="P58" authorId="24" shapeId="0" xr:uid="{BA2B2D48-C269-48EB-BFF9-DC3B6BEF97F6}">
      <text>
        <t xml:space="preserve">[Threaded comment]
Your version of Excel allows you to read this threaded comment; however, any edits to it will get removed if the file is opened in a newer version of Excel. Learn more: https://go.microsoft.com/fwlink/?linkid=870924
Comment:
    Received Mail </t>
      </text>
    </comment>
    <comment ref="M66" authorId="25" shapeId="0" xr:uid="{0C6B1C76-F1CC-4D08-9655-960AA845F377}">
      <text>
        <t>[Threaded comment]
Your version of Excel allows you to read this threaded comment; however, any edits to it will get removed if the file is opened in a newer version of Excel. Learn more: https://go.microsoft.com/fwlink/?linkid=870924
Comment:
    mentioned in group</t>
      </text>
    </comment>
    <comment ref="I71" authorId="26" shapeId="0" xr:uid="{E07A702F-DCC5-42B5-8D02-767D38A4427D}">
      <text>
        <t>[Threaded comment]
Your version of Excel allows you to read this threaded comment; however, any edits to it will get removed if the file is opened in a newer version of Excel. Learn more: https://go.microsoft.com/fwlink/?linkid=870924
Comment:
    Only 1 visit mark and after 3:23 pm not working in daytrack</t>
      </text>
    </comment>
    <comment ref="K71" authorId="27" shapeId="0" xr:uid="{96975554-CEC6-4344-A600-A4EAD0D4CC42}">
      <text>
        <t>[Threaded comment]
Your version of Excel allows you to read this threaded comment; however, any edits to it will get removed if the file is opened in a newer version of Excel. Learn more: https://go.microsoft.com/fwlink/?linkid=870924
Comment:
    Drop mail</t>
      </text>
    </comment>
    <comment ref="L71" authorId="28" shapeId="0" xr:uid="{4A6BFDA1-AC44-4199-9738-DC6F4D96437A}">
      <text>
        <t>[Threaded comment]
Your version of Excel allows you to read this threaded comment; however, any edits to it will get removed if the file is opened in a newer version of Excel. Learn more: https://go.microsoft.com/fwlink/?linkid=870924
Comment:
    Drop mail</t>
      </text>
    </comment>
    <comment ref="M71" authorId="29" shapeId="0" xr:uid="{55D1F111-6DC7-4886-B467-5FED813D5432}">
      <text>
        <t>[Threaded comment]
Your version of Excel allows you to read this threaded comment; however, any edits to it will get removed if the file is opened in a newer version of Excel. Learn more: https://go.microsoft.com/fwlink/?linkid=870924
Comment:
    Drop mail</t>
      </text>
    </comment>
    <comment ref="AJ71" authorId="30" shapeId="0" xr:uid="{0E7F2E80-F915-4857-AD1C-FCD4737AE693}">
      <text>
        <t xml:space="preserve">[Threaded comment]
Your version of Excel allows you to read this threaded comment; however, any edits to it will get removed if the file is opened in a newer version of Excel. Learn more: https://go.microsoft.com/fwlink/?linkid=870924
Comment:
    Middle of the market took leave </t>
      </text>
    </comment>
    <comment ref="M77" authorId="31" shapeId="0" xr:uid="{76198CF9-8753-4846-9778-335955D73128}">
      <text>
        <t>[Threaded comment]
Your version of Excel allows you to read this threaded comment; however, any edits to it will get removed if the file is opened in a newer version of Excel. Learn more: https://go.microsoft.com/fwlink/?linkid=870924
Comment:
    Informed in group</t>
      </text>
    </comment>
    <comment ref="I78" authorId="32" shapeId="0" xr:uid="{4BAB3278-7ECA-4251-8479-88768211A85F}">
      <text>
        <t xml:space="preserve">[Threaded comment]
Your version of Excel allows you to read this threaded comment; however, any edits to it will get removed if the file is opened in a newer version of Excel. Learn more: https://go.microsoft.com/fwlink/?linkid=870924
Comment:
    Only visited 1 salon at 3:30 Pm
Reply:
    Absent asked by kiran sir </t>
      </text>
    </comment>
    <comment ref="AC78" authorId="33" shapeId="0" xr:uid="{09B540A9-D378-4ECB-892A-379DD46DCA89}">
      <text>
        <t>[Threaded comment]
Your version of Excel allows you to read this threaded comment; however, any edits to it will get removed if the file is opened in a newer version of Excel. Learn more: https://go.microsoft.com/fwlink/?linkid=870924
Comment:
    Fist visit at 1:19 pm</t>
      </text>
    </comment>
    <comment ref="M79" authorId="34" shapeId="0" xr:uid="{DECB1E6C-EA6F-4F00-887B-417715418630}">
      <text>
        <t>[Threaded comment]
Your version of Excel allows you to read this threaded comment; however, any edits to it will get removed if the file is opened in a newer version of Excel. Learn more: https://go.microsoft.com/fwlink/?linkid=870924
Comment:
    not shared report and not login in group</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tc={F4B27F21-263A-4A84-B3BE-73C4F8C4FFDC}</author>
    <author>tc={A84F82E8-88C1-4956-83BC-07320AC11B27}</author>
    <author>tc={478D9454-1027-4C6B-8339-ECC5C4BF9763}</author>
    <author>tc={6530B598-E7BA-48BE-9ACC-26B2BC41092E}</author>
    <author>tc={B70F70B0-8F9F-4071-8D68-1EB05A52D3F0}</author>
    <author>tc={BD8142FB-2954-49E2-A167-0669E5DC1C1A}</author>
    <author>tc={5442E905-A45E-44BE-B458-CA0124918283}</author>
    <author>tc={3C0C8DFC-1CBD-41DA-8365-CBC10E0C9B02}</author>
    <author>tc={E0CFFCBB-8113-44BF-9EF2-C3B635B25964}</author>
    <author>tc={581174AD-4028-40B4-A801-BF75F21F4AF7}</author>
    <author>tc={9B21EDB3-4203-4CC8-946B-820849946A3B}</author>
    <author>tc={722DC8F4-7C60-4380-BBDE-E69674AD5647}</author>
    <author>tc={A6796E51-E488-422F-B511-5710A119D652}</author>
    <author>tc={37994F4E-E102-40A9-AEB0-1F557EF02A2A}</author>
    <author>tc={E5A6D835-380F-490C-86B7-CF6A9DA87792}</author>
    <author>tc={BF93B971-7017-487F-BA4F-FF7474BC92C9}</author>
    <author>tc={F61BE47F-47B0-4D01-8B8E-4E4C98299C7F}</author>
    <author>tc={BC9933E0-85FE-4D87-A075-8F269F120F55}</author>
    <author>tc={007E1DBE-BB7B-4A03-976C-C245AF9AAC0F}</author>
    <author>tc={CD2DCC8D-6C01-49F4-AB33-A2E4B428543F}</author>
    <author>tc={BE87B981-7C5B-4529-A8B9-CAB5DC27E9FF}</author>
    <author>tc={7B924DB5-090F-4140-8615-59CC54D2BBCF}</author>
    <author>tc={D84EAA04-2522-4FE6-9FB2-E7B20510031B}</author>
    <author>tc={453E55E9-ABD8-4764-9FAF-CBAC35C4C340}</author>
    <author>tc={23329EC3-9D0E-440D-BDD6-CCC16CA6B3D8}</author>
    <author>tc={29522F72-7378-4601-88C9-7066C80AE38E}</author>
    <author>tc={0D8DDF81-EB4F-4A30-B699-B4D294C494D2}</author>
    <author>tc={32808B5D-03FC-416E-BAD4-5353DB34E3BA}</author>
    <author>tc={3F8473B2-ABF8-4419-968D-A0B2B6290295}</author>
  </authors>
  <commentList>
    <comment ref="AA3" authorId="0" shapeId="0" xr:uid="{F4B27F21-263A-4A84-B3BE-73C4F8C4FFDC}">
      <text>
        <t>[Threaded comment]
Your version of Excel allows you to read this threaded comment; however, any edits to it will get removed if the file is opened in a newer version of Excel. Learn more: https://go.microsoft.com/fwlink/?linkid=870924
Comment:
    No group report and software date</t>
      </text>
    </comment>
    <comment ref="AB3" authorId="1" shapeId="0" xr:uid="{A84F82E8-88C1-4956-83BC-07320AC11B27}">
      <text>
        <t>[Threaded comment]
Your version of Excel allows you to read this threaded comment; however, any edits to it will get removed if the file is opened in a newer version of Excel. Learn more: https://go.microsoft.com/fwlink/?linkid=870924
Comment:
    No group report and software date</t>
      </text>
    </comment>
    <comment ref="AK8" authorId="2" shapeId="0" xr:uid="{478D9454-1027-4C6B-8339-ECC5C4BF9763}">
      <text>
        <t>[Threaded comment]
Your version of Excel allows you to read this threaded comment; however, any edits to it will get removed if the file is opened in a newer version of Excel. Learn more: https://go.microsoft.com/fwlink/?linkid=870924
Comment:
    Visit till10:56 AM</t>
      </text>
    </comment>
    <comment ref="J12" authorId="3" shapeId="0" xr:uid="{6530B598-E7BA-48BE-9ACC-26B2BC41092E}">
      <text>
        <t>[Threaded comment]
Your version of Excel allows you to read this threaded comment; however, any edits to it will get removed if the file is opened in a newer version of Excel. Learn more: https://go.microsoft.com/fwlink/?linkid=870924
Comment:
    Claiming that market is closed bz of good friday</t>
      </text>
    </comment>
    <comment ref="W12" authorId="4" shapeId="0" xr:uid="{B70F70B0-8F9F-4071-8D68-1EB05A52D3F0}">
      <text>
        <t>[Threaded comment]
Your version of Excel allows you to read this threaded comment; however, any edits to it will get removed if the file is opened in a newer version of Excel. Learn more: https://go.microsoft.com/fwlink/?linkid=870924
Comment:
    Not added visits</t>
      </text>
    </comment>
    <comment ref="J13" authorId="5" shapeId="0" xr:uid="{BD8142FB-2954-49E2-A167-0669E5DC1C1A}">
      <text>
        <t>[Threaded comment]
Your version of Excel allows you to read this threaded comment; however, any edits to it will get removed if the file is opened in a newer version of Excel. Learn more: https://go.microsoft.com/fwlink/?linkid=870924
Comment:
    Left from the market at 13:37 PM</t>
      </text>
    </comment>
    <comment ref="Y14" authorId="6" shapeId="0" xr:uid="{5442E905-A45E-44BE-B458-CA0124918283}">
      <text>
        <t>[Threaded comment]
Your version of Excel allows you to read this threaded comment; however, any edits to it will get removed if the file is opened in a newer version of Excel. Learn more: https://go.microsoft.com/fwlink/?linkid=870924
Comment:
    Last punch at 15:00 pm</t>
      </text>
    </comment>
    <comment ref="X17" authorId="7" shapeId="0" xr:uid="{3C0C8DFC-1CBD-41DA-8365-CBC10E0C9B02}">
      <text>
        <t>[Threaded comment]
Your version of Excel allows you to read this threaded comment; however, any edits to it will get removed if the file is opened in a newer version of Excel. Learn more: https://go.microsoft.com/fwlink/?linkid=870924
Comment:
    Started market at 1:30 pm</t>
      </text>
    </comment>
    <comment ref="J23" authorId="8" shapeId="0" xr:uid="{E0CFFCBB-8113-44BF-9EF2-C3B635B25964}">
      <text>
        <t>[Threaded comment]
Your version of Excel allows you to read this threaded comment; however, any edits to it will get removed if the file is opened in a newer version of Excel. Learn more: https://go.microsoft.com/fwlink/?linkid=870924
Comment:
    Working not marked in the software</t>
      </text>
    </comment>
    <comment ref="Q26" authorId="9" shapeId="0" xr:uid="{581174AD-4028-40B4-A801-BF75F21F4AF7}">
      <text>
        <t>[Threaded comment]
Your version of Excel allows you to read this threaded comment; however, any edits to it will get removed if the file is opened in a newer version of Excel. Learn more: https://go.microsoft.com/fwlink/?linkid=870924
Comment:
    No proper working on the software asked for the report over the mail shared after the deadline , asked karthikan to verify the same still no reply</t>
      </text>
    </comment>
    <comment ref="R26" authorId="10" shapeId="0" xr:uid="{9B21EDB3-4203-4CC8-946B-820849946A3B}">
      <text>
        <t>[Threaded comment]
Your version of Excel allows you to read this threaded comment; however, any edits to it will get removed if the file is opened in a newer version of Excel. Learn more: https://go.microsoft.com/fwlink/?linkid=870924
Comment:
    No proper working on the software asked for the report over the mail shared after the deadline , asked karthikan to verify the same still no reply</t>
      </text>
    </comment>
    <comment ref="R29" authorId="11" shapeId="0" xr:uid="{722DC8F4-7C60-4380-BBDE-E69674AD5647}">
      <text>
        <t>[Threaded comment]
Your version of Excel allows you to read this threaded comment; however, any edits to it will get removed if the file is opened in a newer version of Excel. Learn more: https://go.microsoft.com/fwlink/?linkid=870924
Comment:
    confirmed personally in chat</t>
      </text>
    </comment>
    <comment ref="J39" authorId="12" shapeId="0" xr:uid="{A6796E51-E488-422F-B511-5710A119D652}">
      <text>
        <t>[Threaded comment]
Your version of Excel allows you to read this threaded comment; however, any edits to it will get removed if the file is opened in a newer version of Excel. Learn more: https://go.microsoft.com/fwlink/?linkid=870924
Comment:
    Asked her personally in the chat</t>
      </text>
    </comment>
    <comment ref="AG39" authorId="13" shapeId="0" xr:uid="{37994F4E-E102-40A9-AEB0-1F557EF02A2A}">
      <text>
        <t>[Threaded comment]
Your version of Excel allows you to read this threaded comment; however, any edits to it will get removed if the file is opened in a newer version of Excel. Learn more: https://go.microsoft.com/fwlink/?linkid=870924
Comment:
    Return from Jammu</t>
      </text>
    </comment>
    <comment ref="AB42" authorId="14" shapeId="0" xr:uid="{E5A6D835-380F-490C-86B7-CF6A9DA87792}">
      <text>
        <t>[Threaded comment]
Your version of Excel allows you to read this threaded comment; however, any edits to it will get removed if the file is opened in a newer version of Excel. Learn more: https://go.microsoft.com/fwlink/?linkid=870924
Comment:
    Worked till 3:52 PM</t>
      </text>
    </comment>
    <comment ref="AD46" authorId="15" shapeId="0" xr:uid="{BF93B971-7017-487F-BA4F-FF7474BC92C9}">
      <text>
        <t>[Threaded comment]
Your version of Excel allows you to read this threaded comment; however, any edits to it will get removed if the file is opened in a newer version of Excel. Learn more: https://go.microsoft.com/fwlink/?linkid=870924
Comment:
    Asked personally</t>
      </text>
    </comment>
    <comment ref="AE52" authorId="16" shapeId="0" xr:uid="{F61BE47F-47B0-4D01-8B8E-4E4C98299C7F}">
      <text>
        <t>[Threaded comment]
Your version of Excel allows you to read this threaded comment; however, any edits to it will get removed if the file is opened in a newer version of Excel. Learn more: https://go.microsoft.com/fwlink/?linkid=870924
Comment:
    Worked till 14:44 PM</t>
      </text>
    </comment>
    <comment ref="K62" authorId="17" shapeId="0" xr:uid="{BC9933E0-85FE-4D87-A075-8F269F120F55}">
      <text>
        <t xml:space="preserve">[Threaded comment]
Your version of Excel allows you to read this threaded comment; however, any edits to it will get removed if the file is opened in a newer version of Excel. Learn more: https://go.microsoft.com/fwlink/?linkid=870924
Comment:
    Worked till 3PM bz of heavy rain </t>
      </text>
    </comment>
    <comment ref="N62" authorId="18" shapeId="0" xr:uid="{007E1DBE-BB7B-4A03-976C-C245AF9AAC0F}">
      <text>
        <t xml:space="preserve">[Threaded comment]
Your version of Excel allows you to read this threaded comment; however, any edits to it will get removed if the file is opened in a newer version of Excel. Learn more: https://go.microsoft.com/fwlink/?linkid=870924
Comment:
    Worked till 3PM bz of heavy rain </t>
      </text>
    </comment>
    <comment ref="I69" authorId="19" shapeId="0" xr:uid="{CD2DCC8D-6C01-49F4-AB33-A2E4B428543F}">
      <text>
        <t>[Threaded comment]
Your version of Excel allows you to read this threaded comment; however, any edits to it will get removed if the file is opened in a newer version of Excel. Learn more: https://go.microsoft.com/fwlink/?linkid=870924
Comment:
    Taken leave in between</t>
      </text>
    </comment>
    <comment ref="H70" authorId="20" shapeId="0" xr:uid="{BE87B981-7C5B-4529-A8B9-CAB5DC27E9FF}">
      <text>
        <t>[Threaded comment]
Your version of Excel allows you to read this threaded comment; however, any edits to it will get removed if the file is opened in a newer version of Excel. Learn more: https://go.microsoft.com/fwlink/?linkid=870924
Comment:
    Mentioned in group</t>
      </text>
    </comment>
    <comment ref="Q70" authorId="21" shapeId="0" xr:uid="{7B924DB5-090F-4140-8615-59CC54D2BBCF}">
      <text>
        <t>[Threaded comment]
Your version of Excel allows you to read this threaded comment; however, any edits to it will get removed if the file is opened in a newer version of Excel. Learn more: https://go.microsoft.com/fwlink/?linkid=870924
Comment:
    Last visit at 12:00 pm</t>
      </text>
    </comment>
    <comment ref="X70" authorId="22" shapeId="0" xr:uid="{D84EAA04-2522-4FE6-9FB2-E7B20510031B}">
      <text>
        <t>[Threaded comment]
Your version of Excel allows you to read this threaded comment; however, any edits to it will get removed if the file is opened in a newer version of Excel. Learn more: https://go.microsoft.com/fwlink/?linkid=870924
Comment:
    Last working till 12:48 PM</t>
      </text>
    </comment>
    <comment ref="AE70" authorId="23" shapeId="0" xr:uid="{453E55E9-ABD8-4764-9FAF-CBAC35C4C340}">
      <text>
        <t>[Threaded comment]
Your version of Excel allows you to read this threaded comment; however, any edits to it will get removed if the file is opened in a newer version of Excel. Learn more: https://go.microsoft.com/fwlink/?linkid=870924
Comment:
    Working in software till 12pm in morning and claiming her recharge is ended neither proper evening report</t>
      </text>
    </comment>
    <comment ref="H73" authorId="24" shapeId="0" xr:uid="{23329EC3-9D0E-440D-BDD6-CCC16CA6B3D8}">
      <text>
        <t>[Threaded comment]
Your version of Excel allows you to read this threaded comment; however, any edits to it will get removed if the file is opened in a newer version of Excel. Learn more: https://go.microsoft.com/fwlink/?linkid=870924
Comment:
    Last salon checkout at  13:41 PM</t>
      </text>
    </comment>
    <comment ref="X73" authorId="25" shapeId="0" xr:uid="{29522F72-7378-4601-88C9-7066C80AE38E}">
      <text>
        <t>[Threaded comment]
Your version of Excel allows you to read this threaded comment; however, any edits to it will get removed if the file is opened in a newer version of Excel. Learn more: https://go.microsoft.com/fwlink/?linkid=870924
Comment:
    Worked last till 13:43 PM</t>
      </text>
    </comment>
    <comment ref="Y73" authorId="26" shapeId="0" xr:uid="{0D8DDF81-EB4F-4A30-B699-B4D294C494D2}">
      <text>
        <t>[Threaded comment]
Your version of Excel allows you to read this threaded comment; however, any edits to it will get removed if the file is opened in a newer version of Excel. Learn more: https://go.microsoft.com/fwlink/?linkid=870924
Comment:
    Last visit till 13:59 PM</t>
      </text>
    </comment>
    <comment ref="W75" authorId="27" shapeId="0" xr:uid="{32808B5D-03FC-416E-BAD4-5353DB34E3BA}">
      <text>
        <t>[Threaded comment]
Your version of Excel allows you to read this threaded comment; however, any edits to it will get removed if the file is opened in a newer version of Excel. Learn more: https://go.microsoft.com/fwlink/?linkid=870924
Comment:
    Hospitalized in EX- city</t>
      </text>
    </comment>
    <comment ref="AI79" authorId="28" shapeId="0" xr:uid="{3F8473B2-ABF8-4419-968D-A0B2B6290295}">
      <text>
        <t>[Threaded comment]
Your version of Excel allows you to read this threaded comment; however, any edits to it will get removed if the file is opened in a newer version of Excel. Learn more: https://go.microsoft.com/fwlink/?linkid=870924
Comment:
    Asked in wp group didn't reply, as worked till 15:07 PM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tc={6E188F9E-E0FC-4022-9F80-469CFAED6C57}</author>
    <author>tc={81C01608-3EF2-4E89-9627-5B336929C2BD}</author>
    <author>tc={37484C19-062F-4BBF-B006-60C41D941237}</author>
    <author>tc={93056598-D2C2-4CF4-9FAF-3F6F7EB608C4}</author>
    <author>tc={FAE63784-F048-4D3F-AB16-39519960BB51}</author>
    <author>tc={98C6BAC6-7547-4254-B712-FD0BDFF10F2F}</author>
    <author>tc={AAA59AC7-0FCB-45F1-8280-B030D5299C7D}</author>
    <author>tc={1A033A83-6770-4CF8-B22A-B5260A42A5BA}</author>
    <author>tc={A9D791A3-FD4E-4F40-951A-8387445E2A4A}</author>
    <author>tc={721CC8D7-C5C9-4C5E-AEC2-ADD0740A91FC}</author>
    <author>tc={33E12B71-CE58-4DA9-AF56-94D23506A64D}</author>
    <author>tc={E5F4CCA7-E666-468A-921B-36868F11AD75}</author>
    <author>tc={909621E4-54F0-471C-A13E-18D6BFED2F5B}</author>
    <author>tc={2632BC04-3177-4EC8-8C11-C299DCBB30BA}</author>
    <author>tc={8CC811AA-03E6-43AA-A2F9-38813B0043CB}</author>
    <author>tc={36C0A06E-EB7A-4873-ABAF-CCE73BD389B4}</author>
    <author>tc={1E2A96B8-3D72-4258-AF80-BE6ADAEE5DD8}</author>
    <author>tc={46E916AB-68A1-4F23-98F2-F8E9545653E7}</author>
    <author>tc={76AE5171-4800-4F52-8FE9-995A73EA02F4}</author>
    <author>tc={922EF18B-E00F-4EB8-BC59-298341DFA1BD}</author>
    <author>tc={BAC97505-5898-46B8-9AB4-7891710EA9C9}</author>
    <author>tc={BE24F3BD-459A-4EDB-83A0-6DB5D5E23CF0}</author>
    <author>tc={7E600778-8300-4AE7-B88D-5649439CD526}</author>
    <author>tc={3B724FF2-28FC-4358-9EDE-A2F40A5E8AE8}</author>
    <author>tc={C9EC1220-0A1E-4E0C-8C75-7AD3ED011774}</author>
    <author>tc={56780BCF-11C6-4260-88EC-F0D868A7FE72}</author>
    <author>tc={4AD1AD4A-4E97-4E2C-8FB9-5FFDE984D4F6}</author>
    <author>tc={A0AEFA90-7AEE-448D-A6AB-2CCE34D7AA69}</author>
    <author>tc={DB0A53DF-8187-4B14-A9FC-CA5E81F2F5F0}</author>
    <author>tc={E0C337B4-2AF3-4136-BC7F-58DC5D0F1C3E}</author>
    <author>tc={39A713DC-7307-4AC4-9D80-0B9DC74F17D9}</author>
    <author>tc={FB2352FE-D4B9-44D3-94D3-286BE8945EA4}</author>
    <author>tc={A334DEF6-7379-4C3D-BC82-BEF97652CDA7}</author>
    <author>tc={76A26A4B-84FA-497A-A020-4DF076023F4E}</author>
    <author>tc={964FF5DE-0D31-4B48-B561-3D796D3AE024}</author>
  </authors>
  <commentList>
    <comment ref="T6" authorId="0" shapeId="0" xr:uid="{6E188F9E-E0FC-4022-9F80-469CFAED6C57}">
      <text>
        <t>[Threaded comment]
Your version of Excel allows you to read this threaded comment; however, any edits to it will get removed if the file is opened in a newer version of Excel. Learn more: https://go.microsoft.com/fwlink/?linkid=870924
Comment:
    Due to fever</t>
      </text>
    </comment>
    <comment ref="V8" authorId="1" shapeId="0" xr:uid="{81C01608-3EF2-4E89-9627-5B336929C2BD}">
      <text>
        <t xml:space="preserve">[Threaded comment]
Your version of Excel allows you to read this threaded comment; however, any edits to it will get removed if the file is opened in a newer version of Excel. Learn more: https://go.microsoft.com/fwlink/?linkid=870924
Comment:
    visit started at 14:31 PM, claiming it was raining , ask to mail the report </t>
      </text>
    </comment>
    <comment ref="AH11" authorId="2" shapeId="0" xr:uid="{37484C19-062F-4BBF-B006-60C41D941237}">
      <text>
        <t>[Threaded comment]
Your version of Excel allows you to read this threaded comment; however, any edits to it will get removed if the file is opened in a newer version of Excel. Learn more: https://go.microsoft.com/fwlink/?linkid=870924
Comment:
    Fall ill</t>
      </text>
    </comment>
    <comment ref="AL11" authorId="3" shapeId="0" xr:uid="{93056598-D2C2-4CF4-9FAF-3F6F7EB608C4}">
      <text>
        <t>[Threaded comment]
Your version of Excel allows you to read this threaded comment; however, any edits to it will get removed if the file is opened in a newer version of Excel. Learn more: https://go.microsoft.com/fwlink/?linkid=870924
Comment:
    group report is their but no attendance and working in the software</t>
      </text>
    </comment>
    <comment ref="AD12" authorId="4" shapeId="0" xr:uid="{FAE63784-F048-4D3F-AB16-39519960BB51}">
      <text>
        <t xml:space="preserve">[Threaded comment]
Your version of Excel allows you to read this threaded comment; however, any edits to it will get removed if the file is opened in a newer version of Excel. Learn more: https://go.microsoft.com/fwlink/?linkid=870924
Comment:
    No report in the software </t>
      </text>
    </comment>
    <comment ref="L14" authorId="5" shapeId="0" xr:uid="{98C6BAC6-7547-4254-B712-FD0BDFF10F2F}">
      <text>
        <t>[Threaded comment]
Your version of Excel allows you to read this threaded comment; however, any edits to it will get removed if the file is opened in a newer version of Excel. Learn more: https://go.microsoft.com/fwlink/?linkid=870924
Comment:
    Worked last till 13:12 PM</t>
      </text>
    </comment>
    <comment ref="S16" authorId="6" shapeId="0" xr:uid="{AAA59AC7-0FCB-45F1-8280-B030D5299C7D}">
      <text>
        <t>[Threaded comment]
Your version of Excel allows you to read this threaded comment; however, any edits to it will get removed if the file is opened in a newer version of Excel. Learn more: https://go.microsoft.com/fwlink/?linkid=870924
Comment:
    No report in software and confirmed personally</t>
      </text>
    </comment>
    <comment ref="AD27" authorId="7" shapeId="0" xr:uid="{1A033A83-6770-4CF8-B22A-B5260A42A5BA}">
      <text>
        <t xml:space="preserve">[Threaded comment]
Your version of Excel allows you to read this threaded comment; however, any edits to it will get removed if the file is opened in a newer version of Excel. Learn more: https://go.microsoft.com/fwlink/?linkid=870924
Comment:
    Mentioned in group </t>
      </text>
    </comment>
    <comment ref="O28" authorId="8" shapeId="0" xr:uid="{A9D791A3-FD4E-4F40-951A-8387445E2A4A}">
      <text>
        <t xml:space="preserve">[Threaded comment]
Your version of Excel allows you to read this threaded comment; however, any edits to it will get removed if the file is opened in a newer version of Excel. Learn more: https://go.microsoft.com/fwlink/?linkid=870924
Comment:
    Excuse of postpaid bill was not paid marked him present this time </t>
      </text>
    </comment>
    <comment ref="R28" authorId="9" shapeId="0" xr:uid="{721CC8D7-C5C9-4C5E-AEC2-ADD0740A91FC}">
      <text>
        <t xml:space="preserve">[Threaded comment]
Your version of Excel allows you to read this threaded comment; however, any edits to it will get removed if the file is opened in a newer version of Excel. Learn more: https://go.microsoft.com/fwlink/?linkid=870924
Comment:
    Their is no proper working given excuse of software license got expired which is already  resolved by @10:30 am </t>
      </text>
    </comment>
    <comment ref="AN28" authorId="10" shapeId="0" xr:uid="{33E12B71-CE58-4DA9-AF56-94D23506A64D}">
      <text>
        <t xml:space="preserve">[Threaded comment]
Your version of Excel allows you to read this threaded comment; however, any edits to it will get removed if the file is opened in a newer version of Excel. Learn more: https://go.microsoft.com/fwlink/?linkid=870924
Comment:
    Traveled dist. 0.98 km only no visit is punched </t>
      </text>
    </comment>
    <comment ref="T29" authorId="11" shapeId="0" xr:uid="{E5F4CCA7-E666-468A-921B-36868F11AD75}">
      <text>
        <t xml:space="preserve">[Threaded comment]
Your version of Excel allows you to read this threaded comment; however, any edits to it will get removed if the file is opened in a newer version of Excel. Learn more: https://go.microsoft.com/fwlink/?linkid=870924
Comment:
    Asked personally also no reply </t>
      </text>
    </comment>
    <comment ref="AJ32" authorId="12" shapeId="0" xr:uid="{909621E4-54F0-471C-A13E-18D6BFED2F5B}">
      <text>
        <t>[Threaded comment]
Your version of Excel allows you to read this threaded comment; however, any edits to it will get removed if the file is opened in a newer version of Excel. Learn more: https://go.microsoft.com/fwlink/?linkid=870924
Comment:
    1st checkin at 14:52 PM no check out from the salon no other visit is marked</t>
      </text>
    </comment>
    <comment ref="Y33" authorId="13" shapeId="0" xr:uid="{2632BC04-3177-4EC8-8C11-C299DCBB30BA}">
      <text>
        <t xml:space="preserve">[Threaded comment]
Your version of Excel allows you to read this threaded comment; however, any edits to it will get removed if the file is opened in a newer version of Excel. Learn more: https://go.microsoft.com/fwlink/?linkid=870924
Comment:
    No report &amp; data </t>
      </text>
    </comment>
    <comment ref="Z33" authorId="14" shapeId="0" xr:uid="{8CC811AA-03E6-43AA-A2F9-38813B0043CB}">
      <text>
        <t xml:space="preserve">[Threaded comment]
Your version of Excel allows you to read this threaded comment; however, any edits to it will get removed if the file is opened in a newer version of Excel. Learn more: https://go.microsoft.com/fwlink/?linkid=870924
Comment:
    No report &amp; data </t>
      </text>
    </comment>
    <comment ref="AO34" authorId="15" shapeId="0" xr:uid="{36C0A06E-EB7A-4873-ABAF-CCE73BD389B4}">
      <text>
        <t>[Threaded comment]
Your version of Excel allows you to read this threaded comment; however, any edits to it will get removed if the file is opened in a newer version of Excel. Learn more: https://go.microsoft.com/fwlink/?linkid=870924
Comment:
    Last check out is at 13:02 PM</t>
      </text>
    </comment>
    <comment ref="L35" authorId="16" shapeId="0" xr:uid="{1E2A96B8-3D72-4258-AF80-BE6ADAEE5DD8}">
      <text>
        <t xml:space="preserve">[Threaded comment]
Your version of Excel allows you to read this threaded comment; however, any edits to it will get removed if the file is opened in a newer version of Excel. Learn more: https://go.microsoft.com/fwlink/?linkid=870924
Comment:
    Messaged me personally </t>
      </text>
    </comment>
    <comment ref="AO35" authorId="17" shapeId="0" xr:uid="{46E916AB-68A1-4F23-98F2-F8E9545653E7}">
      <text>
        <t xml:space="preserve">[Threaded comment]
Your version of Excel allows you to read this threaded comment; however, any edits to it will get removed if the file is opened in a newer version of Excel. Learn more: https://go.microsoft.com/fwlink/?linkid=870924
Comment:
    Single visit no checkout record </t>
      </text>
    </comment>
    <comment ref="AO43" authorId="18" shapeId="0" xr:uid="{76AE5171-4800-4F52-8FE9-995A73EA02F4}">
      <text>
        <t>[Threaded comment]
Your version of Excel allows you to read this threaded comment; however, any edits to it will get removed if the file is opened in a newer version of Excel. Learn more: https://go.microsoft.com/fwlink/?linkid=870924
Comment:
    Started market after 3PM</t>
      </text>
    </comment>
    <comment ref="O46" authorId="19" shapeId="0" xr:uid="{922EF18B-E00F-4EB8-BC59-298341DFA1BD}">
      <text>
        <t>[Threaded comment]
Your version of Excel allows you to read this threaded comment; however, any edits to it will get removed if the file is opened in a newer version of Excel. Learn more: https://go.microsoft.com/fwlink/?linkid=870924
Comment:
    Election result</t>
      </text>
    </comment>
    <comment ref="Z48" authorId="20" shapeId="0" xr:uid="{BAC97505-5898-46B8-9AB4-7891710EA9C9}">
      <text>
        <t>[Threaded comment]
Your version of Excel allows you to read this threaded comment; however, any edits to it will get removed if the file is opened in a newer version of Excel. Learn more: https://go.microsoft.com/fwlink/?linkid=870924
Comment:
    Not well</t>
      </text>
    </comment>
    <comment ref="O52" authorId="21" shapeId="0" xr:uid="{BE24F3BD-459A-4EDB-83A0-6DB5D5E23CF0}">
      <text>
        <t>[Threaded comment]
Your version of Excel allows you to read this threaded comment; however, any edits to it will get removed if the file is opened in a newer version of Excel. Learn more: https://go.microsoft.com/fwlink/?linkid=870924
Comment:
    Election result</t>
      </text>
    </comment>
    <comment ref="AO52" authorId="22" shapeId="0" xr:uid="{7E600778-8300-4AE7-B88D-5649439CD526}">
      <text>
        <t>[Threaded comment]
Your version of Excel allows you to read this threaded comment; however, any edits to it will get removed if the file is opened in a newer version of Excel. Learn more: https://go.microsoft.com/fwlink/?linkid=870924
Comment:
    Worked till 13:23 PM</t>
      </text>
    </comment>
    <comment ref="AO53" authorId="23" shapeId="0" xr:uid="{3B724FF2-28FC-4358-9EDE-A2F40A5E8AE8}">
      <text>
        <t>[Threaded comment]
Your version of Excel allows you to read this threaded comment; however, any edits to it will get removed if the file is opened in a newer version of Excel. Learn more: https://go.microsoft.com/fwlink/?linkid=870924
Comment:
    No record of visit in the software</t>
      </text>
    </comment>
    <comment ref="AA62" authorId="24" shapeId="0" xr:uid="{C9EC1220-0A1E-4E0C-8C75-7AD3ED011774}">
      <text>
        <t>[Threaded comment]
Your version of Excel allows you to read this threaded comment; however, any edits to it will get removed if the file is opened in a newer version of Excel. Learn more: https://go.microsoft.com/fwlink/?linkid=870924
Comment:
    Asked personally</t>
      </text>
    </comment>
    <comment ref="X64" authorId="25" shapeId="0" xr:uid="{56780BCF-11C6-4260-88EC-F0D868A7FE72}">
      <text>
        <t xml:space="preserve">[Threaded comment]
Your version of Excel allows you to read this threaded comment; however, any edits to it will get removed if the file is opened in a newer version of Excel. Learn more: https://go.microsoft.com/fwlink/?linkid=870924
Comment:
    No data in software </t>
      </text>
    </comment>
    <comment ref="Y64" authorId="26" shapeId="0" xr:uid="{4AD1AD4A-4E97-4E2C-8FB9-5FFDE984D4F6}">
      <text>
        <t xml:space="preserve">[Threaded comment]
Your version of Excel allows you to read this threaded comment; however, any edits to it will get removed if the file is opened in a newer version of Excel. Learn more: https://go.microsoft.com/fwlink/?linkid=870924
Comment:
    No data in software </t>
      </text>
    </comment>
    <comment ref="Z64" authorId="27" shapeId="0" xr:uid="{A0AEFA90-7AEE-448D-A6AB-2CCE34D7AA69}">
      <text>
        <t xml:space="preserve">[Threaded comment]
Your version of Excel allows you to read this threaded comment; however, any edits to it will get removed if the file is opened in a newer version of Excel. Learn more: https://go.microsoft.com/fwlink/?linkid=870924
Comment:
    No data in software </t>
      </text>
    </comment>
    <comment ref="AH71" authorId="28" shapeId="0" xr:uid="{DB0A53DF-8187-4B14-A9FC-CA5E81F2F5F0}">
      <text>
        <t>[Threaded comment]
Your version of Excel allows you to read this threaded comment; however, any edits to it will get removed if the file is opened in a newer version of Excel. Learn more: https://go.microsoft.com/fwlink/?linkid=870924
Comment:
    Start work after 1 pm</t>
      </text>
    </comment>
    <comment ref="M72" authorId="29" shapeId="0" xr:uid="{E0C337B4-2AF3-4136-BC7F-58DC5D0F1C3E}">
      <text>
        <t>[Threaded comment]
Your version of Excel allows you to read this threaded comment; however, any edits to it will get removed if the file is opened in a newer version of Excel. Learn more: https://go.microsoft.com/fwlink/?linkid=870924
Comment:
    Asked on call</t>
      </text>
    </comment>
    <comment ref="V72" authorId="30" shapeId="0" xr:uid="{39A713DC-7307-4AC4-9D80-0B9DC74F17D9}">
      <text>
        <t>[Threaded comment]
Your version of Excel allows you to read this threaded comment; however, any edits to it will get removed if the file is opened in a newer version of Excel. Learn more: https://go.microsoft.com/fwlink/?linkid=870924
Comment:
    Message by kiran , that having health issues</t>
      </text>
    </comment>
    <comment ref="Y72" authorId="31" shapeId="0" xr:uid="{FB2352FE-D4B9-44D3-94D3-286BE8945EA4}">
      <text>
        <t xml:space="preserve">[Threaded comment]
Your version of Excel allows you to read this threaded comment; however, any edits to it will get removed if the file is opened in a newer version of Excel. Learn more: https://go.microsoft.com/fwlink/?linkid=870924
Comment:
    Last vist 12:04 PM and no check out </t>
      </text>
    </comment>
    <comment ref="AA73" authorId="32" shapeId="0" xr:uid="{A334DEF6-7379-4C3D-BC82-BEF97652CDA7}">
      <text>
        <t>[Threaded comment]
Your version of Excel allows you to read this threaded comment; however, any edits to it will get removed if the file is opened in a newer version of Excel. Learn more: https://go.microsoft.com/fwlink/?linkid=870924
Comment:
    Shariq sir asked to mark</t>
      </text>
    </comment>
    <comment ref="O75" authorId="33" shapeId="0" xr:uid="{76A26A4B-84FA-497A-A020-4DF076023F4E}">
      <text>
        <t>[Threaded comment]
Your version of Excel allows you to read this threaded comment; however, any edits to it will get removed if the file is opened in a newer version of Excel. Learn more: https://go.microsoft.com/fwlink/?linkid=870924
Comment:
    Election result</t>
      </text>
    </comment>
    <comment ref="W76" authorId="34" shapeId="0" xr:uid="{964FF5DE-0D31-4B48-B561-3D796D3AE024}">
      <text>
        <t xml:space="preserve">[Threaded comment]
Your version of Excel allows you to read this threaded comment; however, any edits to it will get removed if the file is opened in a newer version of Excel. Learn more: https://go.microsoft.com/fwlink/?linkid=870924
Comment:
    No report , no working in the software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tc={BFDF261F-4AD8-4D26-B727-38ADDF65A278}</author>
    <author>tc={23A2B3A5-4430-425C-9FE6-98C3C2A246C6}</author>
    <author>tc={F2873A41-EFDD-4722-8F15-8310FCCC5771}</author>
    <author>tc={72781288-753A-4DF9-8727-8388A3C1B492}</author>
    <author>tc={DC566F1E-74D3-4952-A3DF-545BC91AB28D}</author>
    <author>tc={2830D563-FF7B-4E71-973C-F2C2866FF322}</author>
    <author>tc={03ECF20D-6D43-4363-8704-253D33FF0F96}</author>
    <author>tc={C5C142E0-DA59-483A-B8C7-C894D75A8F2A}</author>
    <author>tc={1B2685FB-4952-41D4-8DB1-D1CCF158AC5A}</author>
    <author>tc={CAE2ED24-7249-4B94-953A-070DAE152BE2}</author>
    <author>tc={CCAF500E-5A91-498C-A56C-EF061D0867F6}</author>
    <author>tc={83C6933F-073A-4C32-B070-03A40D8022BF}</author>
    <author>tc={4D136DF6-EC32-4AD0-A7AE-02BC0F1D5DEA}</author>
    <author>tc={E1E851EE-8780-49B6-B1B3-CAB449D15754}</author>
    <author>tc={2697BFD9-C980-4757-95E2-9DA3F9203A52}</author>
    <author>tc={292470B6-55FE-438E-87BA-CFFFE82BB3B4}</author>
    <author>tc={24CC796C-81AF-4997-81B6-500CECDB2A9C}</author>
    <author>tc={7B16B136-F522-4546-8344-E128D068CE1D}</author>
    <author>tc={9EE09B63-5A36-43D3-8B05-C715F80D2C38}</author>
    <author>tc={9ABD2462-6572-4FB2-9F83-FD4979B3DD15}</author>
    <author>tc={188EE681-CE23-4AE6-A781-C00D0DE27B46}</author>
    <author>tc={0EB4CFF5-E597-402C-A24A-5CF87179765A}</author>
    <author>tc={DB9E545B-1641-4090-A59D-20D7B5301003}</author>
    <author>tc={180A9391-C4EA-4BB3-B71A-D293259228B8}</author>
    <author>tc={51DB94C4-FC60-4BB7-97B3-59E2B15E99F9}</author>
    <author>tc={A82AC9A9-0E29-4FC4-A88A-2D09427B7888}</author>
    <author>tc={E821E449-5B48-4AD7-AE4E-835C6E537671}</author>
    <author>tc={150E0B9B-B8BE-4C57-8A5B-B5EB01B39049}</author>
    <author>tc={CFD41F7A-08C4-4655-861B-38AD88D91871}</author>
    <author>tc={5C371282-0663-4721-95E7-D3601015BEBB}</author>
    <author>tc={74964287-DCED-4D56-B00E-DF3B19B4A6DD}</author>
    <author>tc={3BF6864C-06D1-4935-96AB-C7F77D8D3A72}</author>
    <author>tc={F843B211-4263-4A3C-B198-846BD999E864}</author>
    <author>tc={545A8342-8B78-42FC-BD79-54ED37B70C93}</author>
    <author>tc={35205306-F50E-47F7-9310-56B111B2790E}</author>
    <author>tc={AE0E3B7C-28AF-487E-9209-8A1D29AD2C48}</author>
    <author>tc={2929356C-A5F9-406E-88D6-EE0E020A53CE}</author>
    <author>tc={05C4CD27-F867-40C2-8DC0-5DA5BFA03D62}</author>
    <author>tc={6B028B1C-1E4F-43AC-AF8B-C510798A3705}</author>
    <author>tc={4ADF6602-0D03-4B28-A5E9-D30EE51FA9FD}</author>
    <author>tc={F3DBE081-672D-420D-B9B9-7B032B885DAC}</author>
    <author>tc={66F064E6-20FE-4B9B-8A2E-0E1393A4F7E4}</author>
    <author>tc={36502322-3001-4E19-85A0-0EF35A208D3B}</author>
    <author>tc={959DA5F0-BB2E-4BF7-9F3C-59845C63E8D5}</author>
    <author>tc={F2EC90BB-E561-4A3E-9243-6DD1207347E7}</author>
    <author>tc={6CB6BCA3-28C7-4264-9E25-C3045F76CB1E}</author>
    <author>tc={18CF8CA4-F9BD-4660-B299-4C009F2A0CA7}</author>
    <author>tc={B1D90E32-7D49-4225-9C10-2B054F5E1AE9}</author>
    <author>tc={FF14C4BB-BD55-434E-85BC-25674999C0C8}</author>
    <author>tc={116ABBB5-7FC4-4B1A-A802-E9F7AB541186}</author>
    <author>tc={E9DC3F49-F46F-4634-92AE-875CDA4F90FA}</author>
    <author>tc={8D8076BC-40F3-4AED-B5B0-593FCCE42198}</author>
    <author>tc={18643CB3-8F6D-4915-BC98-B1062AB23A6F}</author>
    <author>tc={16863395-69E7-4DFB-9B23-33B58A886933}</author>
    <author>tc={204941A4-F982-4313-BA13-FEA697487777}</author>
    <author>tc={5E2BD6D6-0834-4AA2-8691-DEE31197404B}</author>
    <author>tc={A058F27B-1EE9-4261-900C-943A3EFF93B9}</author>
    <author>tc={5C3A3966-F924-416F-81F3-C7E96C8B945A}</author>
    <author>tc={A3D55A95-D3B3-4505-9DAB-FBFA46762B1A}</author>
    <author>tc={2830B523-2727-4748-9FC0-EF715C6D83EC}</author>
    <author>tc={F830FD29-7A12-409C-A60D-D6EC35DE773A}</author>
    <author>tc={3CC32085-29F3-419E-8494-8FF294781036}</author>
    <author>tc={45765E79-4832-4A99-BE35-8D7A999B0699}</author>
    <author>tc={4B078920-97B7-46BC-A1A2-FC22DFF02E5C}</author>
    <author>tc={3AF1079D-F8E4-4D0B-B593-454D16E5A613}</author>
    <author>tc={CB4673BA-06CA-47A1-8C33-963238593CCD}</author>
    <author>tc={172FDA46-E3BC-462B-9750-4726E6132971}</author>
  </authors>
  <commentList>
    <comment ref="AK3" authorId="0" shapeId="0" xr:uid="{BFDF261F-4AD8-4D26-B727-38ADDF65A278}">
      <text>
        <t>[Threaded comment]
Your version of Excel allows you to read this threaded comment; however, any edits to it will get removed if the file is opened in a newer version of Excel. Learn more: https://go.microsoft.com/fwlink/?linkid=870924
Comment:
    No visit after 13:10 PM</t>
      </text>
    </comment>
    <comment ref="X8" authorId="1" shapeId="0" xr:uid="{23A2B3A5-4430-425C-9FE6-98C3C2A246C6}">
      <text>
        <t>[Threaded comment]
Your version of Excel allows you to read this threaded comment; however, any edits to it will get removed if the file is opened in a newer version of Excel. Learn more: https://go.microsoft.com/fwlink/?linkid=870924
Comment:
    Started work at 15:08 PM</t>
      </text>
    </comment>
    <comment ref="AD8" authorId="2" shapeId="0" xr:uid="{F2873A41-EFDD-4722-8F15-8310FCCC5771}">
      <text>
        <t>[Threaded comment]
Your version of Excel allows you to read this threaded comment; however, any edits to it will get removed if the file is opened in a newer version of Excel. Learn more: https://go.microsoft.com/fwlink/?linkid=870924
Comment:
    Started work at 15:02 PM</t>
      </text>
    </comment>
    <comment ref="AF8" authorId="3" shapeId="0" xr:uid="{72781288-753A-4DF9-8727-8388A3C1B492}">
      <text>
        <t>[Threaded comment]
Your version of Excel allows you to read this threaded comment; however, any edits to it will get removed if the file is opened in a newer version of Excel. Learn more: https://go.microsoft.com/fwlink/?linkid=870924
Comment:
    Single visit in software at 13:17 PM</t>
      </text>
    </comment>
    <comment ref="AH8" authorId="4" shapeId="0" xr:uid="{DC566F1E-74D3-4952-A3DF-545BC91AB28D}">
      <text>
        <t>[Threaded comment]
Your version of Excel allows you to read this threaded comment; however, any edits to it will get removed if the file is opened in a newer version of Excel. Learn more: https://go.microsoft.com/fwlink/?linkid=870924
Comment:
    Work started at 14:09 PM</t>
      </text>
    </comment>
    <comment ref="AD9" authorId="5" shapeId="0" xr:uid="{2830D563-FF7B-4E71-973C-F2C2866FF322}">
      <text>
        <t>[Threaded comment]
Your version of Excel allows you to read this threaded comment; however, any edits to it will get removed if the file is opened in a newer version of Excel. Learn more: https://go.microsoft.com/fwlink/?linkid=870924
Comment:
    Last working till 15:03 PM</t>
      </text>
    </comment>
    <comment ref="AG10" authorId="6" shapeId="0" xr:uid="{03ECF20D-6D43-4363-8704-253D33FF0F96}">
      <text>
        <t>[Threaded comment]
Your version of Excel allows you to read this threaded comment; however, any edits to it will get removed if the file is opened in a newer version of Excel. Learn more: https://go.microsoft.com/fwlink/?linkid=870924
Comment:
    Working till 15:39 PM</t>
      </text>
    </comment>
    <comment ref="AH10" authorId="7" shapeId="0" xr:uid="{C5C142E0-DA59-483A-B8C7-C894D75A8F2A}">
      <text>
        <t>[Threaded comment]
Your version of Excel allows you to read this threaded comment; however, any edits to it will get removed if the file is opened in a newer version of Excel. Learn more: https://go.microsoft.com/fwlink/?linkid=870924
Comment:
    Working till 15:10 PM</t>
      </text>
    </comment>
    <comment ref="P12" authorId="8" shapeId="0" xr:uid="{1B2685FB-4952-41D4-8DB1-D1CCF158AC5A}">
      <text>
        <t>[Threaded comment]
Your version of Excel allows you to read this threaded comment; however, any edits to it will get removed if the file is opened in a newer version of Excel. Learn more: https://go.microsoft.com/fwlink/?linkid=870924
Comment:
    No record of visits</t>
      </text>
    </comment>
    <comment ref="AE13" authorId="9" shapeId="0" xr:uid="{CAE2ED24-7249-4B94-953A-070DAE152BE2}">
      <text>
        <t>[Threaded comment]
Your version of Excel allows you to read this threaded comment; however, any edits to it will get removed if the file is opened in a newer version of Excel. Learn more: https://go.microsoft.com/fwlink/?linkid=870924
Comment:
    Work started at 17:22 PM</t>
      </text>
    </comment>
    <comment ref="AF16" authorId="10" shapeId="0" xr:uid="{CCAF500E-5A91-498C-A56C-EF061D0867F6}">
      <text>
        <t>[Threaded comment]
Your version of Excel allows you to read this threaded comment; however, any edits to it will get removed if the file is opened in a newer version of Excel. Learn more: https://go.microsoft.com/fwlink/?linkid=870924
Comment:
    Working till 15:47 PM</t>
      </text>
    </comment>
    <comment ref="AH18" authorId="11" shapeId="0" xr:uid="{83C6933F-073A-4C32-B070-03A40D8022BF}">
      <text>
        <t>[Threaded comment]
Your version of Excel allows you to read this threaded comment; however, any edits to it will get removed if the file is opened in a newer version of Excel. Learn more: https://go.microsoft.com/fwlink/?linkid=870924
Comment:
    Last working till 13:42 PM</t>
      </text>
    </comment>
    <comment ref="Q19" authorId="12" shapeId="0" xr:uid="{4D136DF6-EC32-4AD0-A7AE-02BC0F1D5DEA}">
      <text>
        <t>[Threaded comment]
Your version of Excel allows you to read this threaded comment; however, any edits to it will get removed if the file is opened in a newer version of Excel. Learn more: https://go.microsoft.com/fwlink/?linkid=870924
Comment:
    Last checkout at 11:41 AM</t>
      </text>
    </comment>
    <comment ref="AF19" authorId="13" shapeId="0" xr:uid="{E1E851EE-8780-49B6-B1B3-CAB449D15754}">
      <text>
        <t>[Threaded comment]
Your version of Excel allows you to read this threaded comment; however, any edits to it will get removed if the file is opened in a newer version of Excel. Learn more: https://go.microsoft.com/fwlink/?linkid=870924
Comment:
    Working last till 15:58 PM</t>
      </text>
    </comment>
    <comment ref="AG19" authorId="14" shapeId="0" xr:uid="{2697BFD9-C980-4757-95E2-9DA3F9203A52}">
      <text>
        <t>[Threaded comment]
Your version of Excel allows you to read this threaded comment; however, any edits to it will get removed if the file is opened in a newer version of Excel. Learn more: https://go.microsoft.com/fwlink/?linkid=870924
Comment:
    working till 12:26 PM</t>
      </text>
    </comment>
    <comment ref="AF23" authorId="15" shapeId="0" xr:uid="{292470B6-55FE-438E-87BA-CFFFE82BB3B4}">
      <text>
        <t>[Threaded comment]
Your version of Excel allows you to read this threaded comment; however, any edits to it will get removed if the file is opened in a newer version of Excel. Learn more: https://go.microsoft.com/fwlink/?linkid=870924
Comment:
    working last till 14:34 PM</t>
      </text>
    </comment>
    <comment ref="O24" authorId="16" shapeId="0" xr:uid="{24CC796C-81AF-4997-81B6-500CECDB2A9C}">
      <text>
        <t>[Threaded comment]
Your version of Excel allows you to read this threaded comment; however, any edits to it will get removed if the file is opened in a newer version of Excel. Learn more: https://go.microsoft.com/fwlink/?linkid=870924
Comment:
    No record in software...given report in group</t>
      </text>
    </comment>
    <comment ref="Y26" authorId="17" shapeId="0" xr:uid="{7B16B136-F522-4546-8344-E128D068CE1D}">
      <text>
        <t>[Threaded comment]
Your version of Excel allows you to read this threaded comment; however, any edits to it will get removed if the file is opened in a newer version of Excel. Learn more: https://go.microsoft.com/fwlink/?linkid=870924
Comment:
    First punch is at 13:02 PM and last checkout at 14:30 PM</t>
      </text>
    </comment>
    <comment ref="AF26" authorId="18" shapeId="0" xr:uid="{9EE09B63-5A36-43D3-8B05-C715F80D2C38}">
      <text>
        <t>[Threaded comment]
Your version of Excel allows you to read this threaded comment; however, any edits to it will get removed if the file is opened in a newer version of Excel. Learn more: https://go.microsoft.com/fwlink/?linkid=870924
Comment:
    last visit till 15:36 PM</t>
      </text>
    </comment>
    <comment ref="AJ26" authorId="19" shapeId="0" xr:uid="{9ABD2462-6572-4FB2-9F83-FD4979B3DD15}">
      <text>
        <t>[Threaded comment]
Your version of Excel allows you to read this threaded comment; however, any edits to it will get removed if the file is opened in a newer version of Excel. Learn more: https://go.microsoft.com/fwlink/?linkid=870924
Comment:
    Working till 15:16 PM</t>
      </text>
    </comment>
    <comment ref="S29" authorId="20" shapeId="0" xr:uid="{188EE681-CE23-4AE6-A781-C00D0DE27B46}">
      <text>
        <t>[Threaded comment]
Your version of Excel allows you to read this threaded comment; however, any edits to it will get removed if the file is opened in a newer version of Excel. Learn more: https://go.microsoft.com/fwlink/?linkid=870924
Comment:
    Single visit at 14:45 PM</t>
      </text>
    </comment>
    <comment ref="W29" authorId="21" shapeId="0" xr:uid="{0EB4CFF5-E597-402C-A24A-5CF87179765A}">
      <text>
        <t>[Threaded comment]
Your version of Excel allows you to read this threaded comment; however, any edits to it will get removed if the file is opened in a newer version of Excel. Learn more: https://go.microsoft.com/fwlink/?linkid=870924
Comment:
    Single visit at 14:38 PM</t>
      </text>
    </comment>
    <comment ref="AC29" authorId="22" shapeId="0" xr:uid="{DB9E545B-1641-4090-A59D-20D7B5301003}">
      <text>
        <t>[Threaded comment]
Your version of Excel allows you to read this threaded comment; however, any edits to it will get removed if the file is opened in a newer version of Excel. Learn more: https://go.microsoft.com/fwlink/?linkid=870924
Comment:
    Visit start at 15:22 PM</t>
      </text>
    </comment>
    <comment ref="AF29" authorId="23" shapeId="0" xr:uid="{180A9391-C4EA-4BB3-B71A-D293259228B8}">
      <text>
        <t>[Threaded comment]
Your version of Excel allows you to read this threaded comment; however, any edits to it will get removed if the file is opened in a newer version of Excel. Learn more: https://go.microsoft.com/fwlink/?linkid=870924
Comment:
    single visit at distributor at 16:31 PM</t>
      </text>
    </comment>
    <comment ref="Y30" authorId="24" shapeId="0" xr:uid="{51DB94C4-FC60-4BB7-97B3-59E2B15E99F9}">
      <text>
        <t>[Threaded comment]
Your version of Excel allows you to read this threaded comment; however, any edits to it will get removed if the file is opened in a newer version of Excel. Learn more: https://go.microsoft.com/fwlink/?linkid=870924
Comment:
    Single visit at 14:23 PM</t>
      </text>
    </comment>
    <comment ref="Q33" authorId="25" shapeId="0" xr:uid="{A82AC9A9-0E29-4FC4-A88A-2D09427B7888}">
      <text>
        <t>[Threaded comment]
Your version of Excel allows you to read this threaded comment; however, any edits to it will get removed if the file is opened in a newer version of Excel. Learn more: https://go.microsoft.com/fwlink/?linkid=870924
Comment:
    Single visit only from13:36 PM to 16:43 PM</t>
      </text>
    </comment>
    <comment ref="AG33" authorId="26" shapeId="0" xr:uid="{E821E449-5B48-4AD7-AE4E-835C6E537671}">
      <text>
        <t>[Threaded comment]
Your version of Excel allows you to read this threaded comment; however, any edits to it will get removed if the file is opened in a newer version of Excel. Learn more: https://go.microsoft.com/fwlink/?linkid=870924
Comment:
    Single visit at 17:13 PM</t>
      </text>
    </comment>
    <comment ref="AJ34" authorId="27" shapeId="0" xr:uid="{150E0B9B-B8BE-4C57-8A5B-B5EB01B39049}">
      <text>
        <t>[Threaded comment]
Your version of Excel allows you to read this threaded comment; however, any edits to it will get removed if the file is opened in a newer version of Excel. Learn more: https://go.microsoft.com/fwlink/?linkid=870924
Comment:
    Started work at 1 pm</t>
      </text>
    </comment>
    <comment ref="W38" authorId="28" shapeId="0" xr:uid="{CFD41F7A-08C4-4655-861B-38AD88D91871}">
      <text>
        <t>[Threaded comment]
Your version of Excel allows you to read this threaded comment; however, any edits to it will get removed if the file is opened in a newer version of Excel. Learn more: https://go.microsoft.com/fwlink/?linkid=870924
Comment:
    Working hours from 11:57 AM to 15:20 PM</t>
      </text>
    </comment>
    <comment ref="W40" authorId="29" shapeId="0" xr:uid="{5C371282-0663-4721-95E7-D3601015BEBB}">
      <text>
        <t>[Threaded comment]
Your version of Excel allows you to read this threaded comment; however, any edits to it will get removed if the file is opened in a newer version of Excel. Learn more: https://go.microsoft.com/fwlink/?linkid=870924
Comment:
    last working from 14:51 PM to 15:05 PM Involved in expences and meeting later on</t>
      </text>
    </comment>
    <comment ref="AK41" authorId="30" shapeId="0" xr:uid="{74964287-DCED-4D56-B00E-DF3B19B4A6DD}">
      <text>
        <t>[Threaded comment]
Your version of Excel allows you to read this threaded comment; however, any edits to it will get removed if the file is opened in a newer version of Excel. Learn more: https://go.microsoft.com/fwlink/?linkid=870924
Comment:
    Last working at 14:41 PM</t>
      </text>
    </comment>
    <comment ref="AF46" authorId="31" shapeId="0" xr:uid="{3BF6864C-06D1-4935-96AB-C7F77D8D3A72}">
      <text>
        <t>[Threaded comment]
Your version of Excel allows you to read this threaded comment; however, any edits to it will get removed if the file is opened in a newer version of Excel. Learn more: https://go.microsoft.com/fwlink/?linkid=870924
Comment:
    worked till 14:57 PM</t>
      </text>
    </comment>
    <comment ref="W48" authorId="32" shapeId="0" xr:uid="{F843B211-4263-4A3C-B198-846BD999E864}">
      <text>
        <t>[Threaded comment]
Your version of Excel allows you to read this threaded comment; however, any edits to it will get removed if the file is opened in a newer version of Excel. Learn more: https://go.microsoft.com/fwlink/?linkid=870924
Comment:
    Working till 13:12 PM to 15:22 PM</t>
      </text>
    </comment>
    <comment ref="AE48" authorId="33" shapeId="0" xr:uid="{545A8342-8B78-42FC-BD79-54ED37B70C93}">
      <text>
        <t>[Threaded comment]
Your version of Excel allows you to read this threaded comment; however, any edits to it will get removed if the file is opened in a newer version of Excel. Learn more: https://go.microsoft.com/fwlink/?linkid=870924
Comment:
    Single demo 12:13 PM to 15:07 PM</t>
      </text>
    </comment>
    <comment ref="S49" authorId="34" shapeId="0" xr:uid="{35205306-F50E-47F7-9310-56B111B2790E}">
      <text>
        <t>[Threaded comment]
Your version of Excel allows you to read this threaded comment; however, any edits to it will get removed if the file is opened in a newer version of Excel. Learn more: https://go.microsoft.com/fwlink/?linkid=870924
Comment:
    Only TA and DA no salarly</t>
      </text>
    </comment>
    <comment ref="T52" authorId="35" shapeId="0" xr:uid="{AE0E3B7C-28AF-487E-9209-8A1D29AD2C48}">
      <text>
        <t>[Threaded comment]
Your version of Excel allows you to read this threaded comment; however, any edits to it will get removed if the file is opened in a newer version of Excel. Learn more: https://go.microsoft.com/fwlink/?linkid=870924
Comment:
    Last visit till 13:51 PM</t>
      </text>
    </comment>
    <comment ref="AF52" authorId="36" shapeId="0" xr:uid="{2929356C-A5F9-406E-88D6-EE0E020A53CE}">
      <text>
        <t>[Threaded comment]
Your version of Excel allows you to read this threaded comment; however, any edits to it will get removed if the file is opened in a newer version of Excel. Learn more: https://go.microsoft.com/fwlink/?linkid=870924
Comment:
    visit start at 15:00 PM</t>
      </text>
    </comment>
    <comment ref="AG54" authorId="37" shapeId="0" xr:uid="{05C4CD27-F867-40C2-8DC0-5DA5BFA03D62}">
      <text>
        <t>[Threaded comment]
Your version of Excel allows you to read this threaded comment; however, any edits to it will get removed if the file is opened in a newer version of Excel. Learn more: https://go.microsoft.com/fwlink/?linkid=870924
Comment:
    Working till 15:41 PM</t>
      </text>
    </comment>
    <comment ref="I55" authorId="38" shapeId="0" xr:uid="{6B028B1C-1E4F-43AC-AF8B-C510798A3705}">
      <text>
        <t>[Threaded comment]
Your version of Excel allows you to read this threaded comment; however, any edits to it will get removed if the file is opened in a newer version of Excel. Learn more: https://go.microsoft.com/fwlink/?linkid=870924
Comment:
    No visit punced and no report in the group</t>
      </text>
    </comment>
    <comment ref="M55" authorId="39" shapeId="0" xr:uid="{4ADF6602-0D03-4B28-A5E9-D30EE51FA9FD}">
      <text>
        <t>[Threaded comment]
Your version of Excel allows you to read this threaded comment; however, any edits to it will get removed if the file is opened in a newer version of Excel. Learn more: https://go.microsoft.com/fwlink/?linkid=870924
Comment:
    No record of working in the software</t>
      </text>
    </comment>
    <comment ref="O55" authorId="40" shapeId="0" xr:uid="{F3DBE081-672D-420D-B9B9-7B032B885DAC}">
      <text>
        <t>[Threaded comment]
Your version of Excel allows you to read this threaded comment; however, any edits to it will get removed if the file is opened in a newer version of Excel. Learn more: https://go.microsoft.com/fwlink/?linkid=870924
Comment:
    Single visit at 15:08 PM</t>
      </text>
    </comment>
    <comment ref="R55" authorId="41" shapeId="0" xr:uid="{66F064E6-20FE-4B9B-8A2E-0E1393A4F7E4}">
      <text>
        <t>[Threaded comment]
Your version of Excel allows you to read this threaded comment; however, any edits to it will get removed if the file is opened in a newer version of Excel. Learn more: https://go.microsoft.com/fwlink/?linkid=870924
Comment:
    No visit record only attendance is marked and traveled 0 km</t>
      </text>
    </comment>
    <comment ref="T55" authorId="42" shapeId="0" xr:uid="{36502322-3001-4E19-85A0-0EF35A208D3B}">
      <text>
        <t>[Threaded comment]
Your version of Excel allows you to read this threaded comment; however, any edits to it will get removed if the file is opened in a newer version of Excel. Learn more: https://go.microsoft.com/fwlink/?linkid=870924
Comment:
    Fake visit marked hardly travelled 0.06 Km , GPS was off from 15:45 - 23:59pm for 8hr</t>
      </text>
    </comment>
    <comment ref="V55" authorId="43" shapeId="0" xr:uid="{959DA5F0-BB2E-4BF7-9F3C-59845C63E8D5}">
      <text>
        <t>[Threaded comment]
Your version of Excel allows you to read this threaded comment; however, any edits to it will get removed if the file is opened in a newer version of Excel. Learn more: https://go.microsoft.com/fwlink/?linkid=870924
Comment:
    11:41 am -21:59pm for 12hr GPS off</t>
      </text>
    </comment>
    <comment ref="AC55" authorId="44" shapeId="0" xr:uid="{F2EC90BB-E561-4A3E-9243-6DD1207347E7}">
      <text>
        <t>[Threaded comment]
Your version of Excel allows you to read this threaded comment; however, any edits to it will get removed if the file is opened in a newer version of Excel. Learn more: https://go.microsoft.com/fwlink/?linkid=870924
Comment:
    11:38 -23:59 PM for 12hr GPS was off</t>
      </text>
    </comment>
    <comment ref="AE55" authorId="45" shapeId="0" xr:uid="{6CB6BCA3-28C7-4264-9E25-C3045F76CB1E}">
      <text>
        <t>[Threaded comment]
Your version of Excel allows you to read this threaded comment; however, any edits to it will get removed if the file is opened in a newer version of Excel. Learn more: https://go.microsoft.com/fwlink/?linkid=870924
Comment:
    No record of visit only attendance is marked not even travelled 1km</t>
      </text>
    </comment>
    <comment ref="AK55" authorId="46" shapeId="0" xr:uid="{18CF8CA4-F9BD-4660-B299-4C009F2A0CA7}">
      <text>
        <t>[Threaded comment]
Your version of Excel allows you to read this threaded comment; however, any edits to it will get removed if the file is opened in a newer version of Excel. Learn more: https://go.microsoft.com/fwlink/?linkid=870924
Comment:
    Fake visit</t>
      </text>
    </comment>
    <comment ref="AK57" authorId="47" shapeId="0" xr:uid="{B1D90E32-7D49-4225-9C10-2B054F5E1AE9}">
      <text>
        <t>[Threaded comment]
Your version of Excel allows you to read this threaded comment; however, any edits to it will get removed if the file is opened in a newer version of Excel. Learn more: https://go.microsoft.com/fwlink/?linkid=870924
Comment:
    Last visit at 14:29 PM</t>
      </text>
    </comment>
    <comment ref="AA59" authorId="48" shapeId="0" xr:uid="{FF14C4BB-BD55-434E-85BC-25674999C0C8}">
      <text>
        <t>[Threaded comment]
Your version of Excel allows you to read this threaded comment; however, any edits to it will get removed if the file is opened in a newer version of Excel. Learn more: https://go.microsoft.com/fwlink/?linkid=870924
Comment:
    No report and attendance</t>
      </text>
    </comment>
    <comment ref="AK59" authorId="49" shapeId="0" xr:uid="{116ABBB5-7FC4-4B1A-A802-E9F7AB541186}">
      <text>
        <t>[Threaded comment]
Your version of Excel allows you to read this threaded comment; however, any edits to it will get removed if the file is opened in a newer version of Excel. Learn more: https://go.microsoft.com/fwlink/?linkid=870924
Comment:
    Working start at 15:55 PM , BZ of rain</t>
      </text>
    </comment>
    <comment ref="Z64" authorId="50" shapeId="0" xr:uid="{E9DC3F49-F46F-4634-92AE-875CDA4F90FA}">
      <text>
        <t>[Threaded comment]
Your version of Excel allows you to read this threaded comment; however, any edits to it will get removed if the file is opened in a newer version of Excel. Learn more: https://go.microsoft.com/fwlink/?linkid=870924
Comment:
    Started work at 14:33 PM</t>
      </text>
    </comment>
    <comment ref="M65" authorId="51" shapeId="0" xr:uid="{8D8076BC-40F3-4AED-B5B0-593FCCE42198}">
      <text>
        <t xml:space="preserve">[Threaded comment]
Your version of Excel allows you to read this threaded comment; however, any edits to it will get removed if the file is opened in a newer version of Excel. Learn more: https://go.microsoft.com/fwlink/?linkid=870924
Comment:
    Single visit 0.54km is travelled </t>
      </text>
    </comment>
    <comment ref="AG65" authorId="52" shapeId="0" xr:uid="{18643CB3-8F6D-4915-BC98-B1062AB23A6F}">
      <text>
        <t>[Threaded comment]
Your version of Excel allows you to read this threaded comment; however, any edits to it will get removed if the file is opened in a newer version of Excel. Learn more: https://go.microsoft.com/fwlink/?linkid=870924
Comment:
    Last visit at 15:53 PM</t>
      </text>
    </comment>
    <comment ref="AH65" authorId="53" shapeId="0" xr:uid="{16863395-69E7-4DFB-9B23-33B58A886933}">
      <text>
        <t>[Threaded comment]
Your version of Excel allows you to read this threaded comment; however, any edits to it will get removed if the file is opened in a newer version of Excel. Learn more: https://go.microsoft.com/fwlink/?linkid=870924
Comment:
    Only single visit at 13:52 PM</t>
      </text>
    </comment>
    <comment ref="AJ65" authorId="54" shapeId="0" xr:uid="{204941A4-F982-4313-BA13-FEA697487777}">
      <text>
        <t>[Threaded comment]
Your version of Excel allows you to read this threaded comment; however, any edits to it will get removed if the file is opened in a newer version of Excel. Learn more: https://go.microsoft.com/fwlink/?linkid=870924
Comment:
    Working last till 12:50 PM</t>
      </text>
    </comment>
    <comment ref="AK65" authorId="55" shapeId="0" xr:uid="{5E2BD6D6-0834-4AA2-8691-DEE31197404B}">
      <text>
        <t>[Threaded comment]
Your version of Excel allows you to read this threaded comment; however, any edits to it will get removed if the file is opened in a newer version of Excel. Learn more: https://go.microsoft.com/fwlink/?linkid=870924
Comment:
    Single visit at 15:16 PM</t>
      </text>
    </comment>
    <comment ref="AD66" authorId="56" shapeId="0" xr:uid="{A058F27B-1EE9-4261-900C-943A3EFF93B9}">
      <text>
        <t>[Threaded comment]
Your version of Excel allows you to read this threaded comment; however, any edits to it will get removed if the file is opened in a newer version of Excel. Learn more: https://go.microsoft.com/fwlink/?linkid=870924
Comment:
    Single visit with no address</t>
      </text>
    </comment>
    <comment ref="AE66" authorId="57" shapeId="0" xr:uid="{5C3A3966-F924-416F-81F3-C7E96C8B945A}">
      <text>
        <t>[Threaded comment]
Your version of Excel allows you to read this threaded comment; however, any edits to it will get removed if the file is opened in a newer version of Excel. Learn more: https://go.microsoft.com/fwlink/?linkid=870924
Comment:
    Last visit at 12:36 PM</t>
      </text>
    </comment>
    <comment ref="P67" authorId="58" shapeId="0" xr:uid="{A3D55A95-D3B3-4505-9DAB-FBFA46762B1A}">
      <text>
        <t>[Threaded comment]
Your version of Excel allows you to read this threaded comment; however, any edits to it will get removed if the file is opened in a newer version of Excel. Learn more: https://go.microsoft.com/fwlink/?linkid=870924
Comment:
    Last working till 13:38 PM</t>
      </text>
    </comment>
    <comment ref="AA69" authorId="59" shapeId="0" xr:uid="{2830B523-2727-4748-9FC0-EF715C6D83EC}">
      <text>
        <t xml:space="preserve">[Threaded comment]
Your version of Excel allows you to read this threaded comment; however, any edits to it will get removed if the file is opened in a newer version of Excel. Learn more: https://go.microsoft.com/fwlink/?linkid=870924
Comment:
    No visit was punched </t>
      </text>
    </comment>
    <comment ref="W71" authorId="60" shapeId="0" xr:uid="{F830FD29-7A12-409C-A60D-D6EC35DE773A}">
      <text>
        <t>[Threaded comment]
Your version of Excel allows you to read this threaded comment; however, any edits to it will get removed if the file is opened in a newer version of Excel. Learn more: https://go.microsoft.com/fwlink/?linkid=870924
Comment:
    Work punched at 16:16 PM</t>
      </text>
    </comment>
    <comment ref="X71" authorId="61" shapeId="0" xr:uid="{3CC32085-29F3-419E-8494-8FF294781036}">
      <text>
        <t>[Threaded comment]
Your version of Excel allows you to read this threaded comment; however, any edits to it will get removed if the file is opened in a newer version of Excel. Learn more: https://go.microsoft.com/fwlink/?linkid=870924
Comment:
    Work punched at 15:48 PM</t>
      </text>
    </comment>
    <comment ref="AA71" authorId="62" shapeId="0" xr:uid="{45765E79-4832-4A99-BE35-8D7A999B0699}">
      <text>
        <t>[Threaded comment]
Your version of Excel allows you to read this threaded comment; however, any edits to it will get removed if the file is opened in a newer version of Excel. Learn more: https://go.microsoft.com/fwlink/?linkid=870924
Comment:
    No visit</t>
      </text>
    </comment>
    <comment ref="K73" authorId="63" shapeId="0" xr:uid="{4B078920-97B7-46BC-A1A2-FC22DFF02E5C}">
      <text>
        <t xml:space="preserve">[Threaded comment]
Your version of Excel allows you to read this threaded comment; however, any edits to it will get removed if the file is opened in a newer version of Excel. Learn more: https://go.microsoft.com/fwlink/?linkid=870924
Comment:
    No record in software </t>
      </text>
    </comment>
    <comment ref="Q74" authorId="64" shapeId="0" xr:uid="{3AF1079D-F8E4-4D0B-B593-454D16E5A613}">
      <text>
        <t>[Threaded comment]
Your version of Excel allows you to read this threaded comment; however, any edits to it will get removed if the file is opened in a newer version of Excel. Learn more: https://go.microsoft.com/fwlink/?linkid=870924
Comment:
    worked till 12:49 PM</t>
      </text>
    </comment>
    <comment ref="Z74" authorId="65" shapeId="0" xr:uid="{CB4673BA-06CA-47A1-8C33-963238593CCD}">
      <text>
        <t>[Threaded comment]
Your version of Excel allows you to read this threaded comment; however, any edits to it will get removed if the file is opened in a newer version of Excel. Learn more: https://go.microsoft.com/fwlink/?linkid=870924
Comment:
    No visit are punched</t>
      </text>
    </comment>
    <comment ref="AA74" authorId="66" shapeId="0" xr:uid="{172FDA46-E3BC-462B-9750-4726E6132971}">
      <text>
        <t>[Threaded comment]
Your version of Excel allows you to read this threaded comment; however, any edits to it will get removed if the file is opened in a newer version of Excel. Learn more: https://go.microsoft.com/fwlink/?linkid=870924
Comment:
    last visit till 15:38 PM</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tc={875C5E3A-6051-4296-9671-6AD8E9A4E8F0}</author>
    <author>tc={8538E133-E99D-43B3-AA93-5F09A0276BAC}</author>
    <author>tc={D7AE8EE9-259F-448B-AC5F-20A775C98067}</author>
    <author>tc={9C7BB754-84E5-43AB-AA58-8704BECF8182}</author>
    <author>tc={CF724AFF-37C3-44FE-B850-204C859BCAA1}</author>
    <author>tc={CE54F7EB-D286-4412-B51B-58D47DE59695}</author>
    <author>tc={6059DC2D-C1CB-46CB-A726-9CFD5EE4A2D0}</author>
    <author>tc={A5EC105F-1583-4F12-88A6-823A0A1ECB4F}</author>
    <author>tc={59289EE3-FB76-4E1E-BA5E-E24714CD9E3F}</author>
    <author>tc={CF77F53A-23DC-4786-8B74-47E5A7890C2E}</author>
    <author>tc={873B4C8A-8876-4784-8D65-CADAE3C0EEEB}</author>
    <author>tc={352F32B9-A287-46D0-BA1B-008189A6F382}</author>
    <author>tc={0C96F075-7C63-4BC8-B39B-6367C2F03219}</author>
    <author>tc={4DAD7A48-99C4-44C9-A040-CA047F0645ED}</author>
    <author>tc={0C0ABE55-E1E6-4F01-9EA3-1EF60673EBAD}</author>
    <author>tc={8E6EAB13-AD83-4876-962E-43C0182A5B5F}</author>
    <author>tc={51D35B77-E963-4A66-96E5-3DDDFB0BF0F3}</author>
    <author>tc={237F068D-2551-41AA-9AF2-030FB4CAA751}</author>
    <author>tc={C904A510-4F54-41D9-A1D6-2BFA928A5616}</author>
    <author>tc={6E34C04A-2B67-4DBE-ADDF-A3FFE82F1C14}</author>
    <author>tc={57221FE5-B8A6-425A-91BE-6E9736EF514B}</author>
    <author>tc={6440C5AD-0231-49EB-ACF4-F3DAAAE933BA}</author>
    <author>tc={53F1D7D4-E01F-45A3-818A-C7A75F40F481}</author>
    <author>tc={F0769B94-BD04-4DB3-B8D2-B8C757E12FF9}</author>
    <author>tc={3D27126E-15AC-49F2-AD5B-55A258687154}</author>
    <author>tc={7F6C3B43-C5FA-4C11-8BA4-E62D2078B3A5}</author>
    <author>tc={61B241AA-CA0F-420C-90B5-FA069BC88C30}</author>
    <author>tc={DDC0B5DE-C499-4332-ABB6-7087E75BFBCF}</author>
    <author>tc={78A903AA-0FA7-4AA2-8742-BD987691A5D3}</author>
    <author>tc={CA278FBC-7534-47F1-B6E3-5D656346FB9E}</author>
    <author>tc={6CE662B7-0461-45DE-98DF-BCD672B1AFF4}</author>
    <author>tc={5EF324C7-88D1-4D9C-9E1C-C406DF6B7D85}</author>
    <author>tc={434075A5-E6BD-4781-9959-5F8FFC8F4FC2}</author>
    <author>tc={C118FC67-A724-45A5-8174-F83EDF520564}</author>
    <author>tc={06C1241D-ADF4-40CC-A2CB-60E7B3D9B773}</author>
    <author>tc={DD631FF1-8351-4D60-B9C8-EAFD26E867FE}</author>
    <author>tc={A784E309-5F5A-4070-95B8-ACC43C5B1449}</author>
    <author>tc={846A726F-4C35-4BB9-A8EC-FAA431C8341D}</author>
    <author>tc={021EA782-9268-4B50-A8B2-8ADEA050FB76}</author>
    <author>tc={483E3FE8-7DF0-4C4F-9AC9-4FF25067E925}</author>
    <author>tc={15B8E4C3-5F81-49F1-88EC-81B43D28C154}</author>
    <author>tc={71E31A28-C3A6-48CE-B322-E55430D81991}</author>
    <author>tc={BED52D54-13EF-48AB-8CE7-FEE3C5A661F2}</author>
    <author>tc={460605B1-2369-4C14-BB39-C30FBF0D025E}</author>
    <author>tc={EFA7575B-426F-4EFE-8D5A-C0B026B48929}</author>
    <author>tc={DC912BE3-2F60-45DC-B9C6-5C17492001E8}</author>
    <author>tc={DB956E79-432C-43A5-8ED2-E4CC9C05E57E}</author>
    <author>tc={337AE2FF-F989-47D2-91F8-D87160DBC6E7}</author>
    <author>tc={146E3873-31C3-42D0-A725-5B8F3D87850C}</author>
    <author>tc={C7F247BA-E34E-4683-9FB8-5788444A105D}</author>
    <author>tc={C25EE1BD-6514-4B1B-A6AC-A8E8DDA4BD83}</author>
    <author>tc={0C159F1F-EEB5-49A3-A8A7-FD5FA78D884F}</author>
    <author>tc={30D61FBE-EE99-481E-9779-D7BEDE2CB6B0}</author>
    <author>tc={05C02DE7-9632-4D62-A41F-13EF9F3BCA05}</author>
    <author>tc={6F0D8788-4806-43AD-AF4A-482A1839BBEF}</author>
    <author>tc={6433040D-70B7-404B-927B-926FEE38CB45}</author>
    <author>tc={FAE90D0B-BF3F-4D8B-BFFF-A6E09A35FA11}</author>
    <author>tc={E43BF03B-F49E-4B54-B33E-3EB835DEA3AA}</author>
    <author>tc={FC4F4CBC-0821-4130-AE90-5FFE93EF0832}</author>
    <author>tc={D57284CA-F432-4F9B-B13C-AD9036F2A502}</author>
    <author>tc={01C454D2-16CF-46E8-8B38-9E9B61525732}</author>
    <author>tc={7ECB3125-2005-476B-A5F0-BF1EDBFFB907}</author>
    <author>tc={61BDD829-4782-49EB-BE5F-210A88BF8C56}</author>
    <author>tc={5F203107-B241-46F3-A1AF-8D20CD2E2E98}</author>
    <author>tc={FD16D053-F54D-4CED-AEEE-0A9A864A3768}</author>
    <author>tc={83B4DABC-5F73-48E5-81C8-70AC1FD694A4}</author>
    <author>tc={01833809-4C5F-456F-8A20-98033740B4EA}</author>
    <author>tc={0C5AE7A8-11ED-4C01-884B-CFC99ACA500C}</author>
    <author>tc={05E3AD1F-1330-44D8-9298-F99970A83943}</author>
    <author>tc={F9B7541F-C8D6-4FDC-A95E-D1154D9F82A7}</author>
    <author>tc={E9005C34-68B7-4275-B927-027AF92E03E4}</author>
    <author>tc={E1452C21-5C51-4946-8085-C9376946070B}</author>
    <author>tc={83A4C8CA-460E-4B82-A92A-6FBF98C8B9DA}</author>
    <author>tc={7663DD49-C955-48BC-B6F7-87CD0C5558F1}</author>
    <author>tc={8C9120C0-7E1E-4993-8638-6A67069FE44C}</author>
    <author>tc={1B68F4E2-9268-4C44-91F4-980B3F5F2417}</author>
    <author>tc={B361C598-54EE-43CC-9030-5BECCA69ABE1}</author>
    <author>tc={A5CF0CF7-855F-4ED3-86AD-2E84EE5E4BA5}</author>
    <author>tc={74A0B7DC-92E8-484B-8998-B6D0F2B66C01}</author>
    <author>tc={B9BBB58F-2433-49EB-855B-7602E2B79D7E}</author>
    <author>tc={87DF0360-ADC3-4A9B-AB1C-5489EA2C5429}</author>
    <author>tc={F505679C-01E0-40EA-8957-9C1D7DD0863B}</author>
    <author>tc={2D257EF4-50F7-4EE6-B6A9-6466AB801329}</author>
    <author>tc={3FFA3150-506D-447A-A613-70CA7CB781C0}</author>
    <author>tc={3A5E8D59-245A-403D-B3F2-DA0C7F064D86}</author>
    <author>tc={493A79B2-0023-4285-B86E-3755AFE2EEB9}</author>
    <author>tc={29E38B8E-444F-4403-994E-D74A8B8305FD}</author>
    <author>tc={0F9505A8-7317-4FDF-AC54-B8C960BBD533}</author>
    <author>tc={B1963E5E-001B-4B48-B261-AFE5032C2BA7}</author>
    <author>tc={4FA3A529-BDFE-4014-B5B3-81021C14DC35}</author>
    <author>tc={DD8EC4CF-0FFB-4FB8-B05F-DA670554E3A4}</author>
    <author>tc={E26B379D-037B-4429-A4E3-E92D298A5395}</author>
    <author>tc={CB1593D6-96E2-49E7-B935-9A0FB1058304}</author>
    <author>tc={5DA3596B-3AAB-4732-8540-63FE2FF6ECB7}</author>
    <author>tc={E0A9D045-87C1-4D78-82E2-2EFD338F92CA}</author>
    <author>tc={C19DE520-19A1-4281-9F78-0CC38F034EEA}</author>
    <author>tc={EEC0B939-DB57-4C32-922D-47C03395B84D}</author>
    <author>tc={12D6CAE5-7169-4232-898E-2D9B4E6CD089}</author>
    <author>tc={C0A8AAC5-4021-4B67-9133-F8D53F437E7D}</author>
    <author>tc={AAA778EE-2808-4467-A7A6-1755D1D34824}</author>
    <author>tc={04126A18-0C24-49A5-A027-29546BCD68D3}</author>
    <author>tc={F05F6E7B-DC6B-4C6C-BB1E-5B9CB1E43ED6}</author>
    <author>tc={9549E7CE-D49F-40FB-A49E-697A613D4B3F}</author>
    <author>tc={CE2A8F79-2685-47FB-A5E7-97F9BA8F027E}</author>
    <author>tc={4E142B54-9BE9-40CF-827B-C971C96D360C}</author>
    <author>tc={92052B3F-5738-4E48-A49E-59D0FC1288CF}</author>
  </authors>
  <commentList>
    <comment ref="O2" authorId="0" shapeId="0" xr:uid="{875C5E3A-6051-4296-9671-6AD8E9A4E8F0}">
      <text>
        <t>[Threaded comment]
Your version of Excel allows you to read this threaded comment; however, any edits to it will get removed if the file is opened in a newer version of Excel. Learn more: https://go.microsoft.com/fwlink/?linkid=870924
Comment:
    No record and attendance only report in the group</t>
      </text>
    </comment>
    <comment ref="I3" authorId="1" shapeId="0" xr:uid="{8538E133-E99D-43B3-AA93-5F09A0276BAC}">
      <text>
        <t>[Threaded comment]
Your version of Excel allows you to read this threaded comment; however, any edits to it will get removed if the file is opened in a newer version of Excel. Learn more: https://go.microsoft.com/fwlink/?linkid=870924
Comment:
    Last working till 15:31 PM</t>
      </text>
    </comment>
    <comment ref="Q7" authorId="2" shapeId="0" xr:uid="{D7AE8EE9-259F-448B-AC5F-20A775C98067}">
      <text>
        <t>[Threaded comment]
Your version of Excel allows you to read this threaded comment; however, any edits to it will get removed if the file is opened in a newer version of Excel. Learn more: https://go.microsoft.com/fwlink/?linkid=870924
Comment:
    Started at 12:26 PM Last working till 13:46 PM</t>
      </text>
    </comment>
    <comment ref="V7" authorId="3" shapeId="0" xr:uid="{9C7BB754-84E5-43AB-AA58-8704BECF8182}">
      <text>
        <t>[Threaded comment]
Your version of Excel allows you to read this threaded comment; however, any edits to it will get removed if the file is opened in a newer version of Excel. Learn more: https://go.microsoft.com/fwlink/?linkid=870924
Comment:
    Working till 16:30 PM</t>
      </text>
    </comment>
    <comment ref="AK7" authorId="4" shapeId="0" xr:uid="{CF724AFF-37C3-44FE-B850-204C859BCAA1}">
      <text>
        <t>[Threaded comment]
Your version of Excel allows you to read this threaded comment; however, any edits to it will get removed if the file is opened in a newer version of Excel. Learn more: https://go.microsoft.com/fwlink/?linkid=870924
Comment:
    Working start at 13:32 PM</t>
      </text>
    </comment>
    <comment ref="AL7" authorId="5" shapeId="0" xr:uid="{CE54F7EB-D286-4412-B51B-58D47DE59695}">
      <text>
        <t>[Threaded comment]
Your version of Excel allows you to read this threaded comment; however, any edits to it will get removed if the file is opened in a newer version of Excel. Learn more: https://go.microsoft.com/fwlink/?linkid=870924
Comment:
    No visit after 3 pm</t>
      </text>
    </comment>
    <comment ref="U8" authorId="6" shapeId="0" xr:uid="{6059DC2D-C1CB-46CB-A726-9CFD5EE4A2D0}">
      <text>
        <t>[Threaded comment]
Your version of Excel allows you to read this threaded comment; however, any edits to it will get removed if the file is opened in a newer version of Excel. Learn more: https://go.microsoft.com/fwlink/?linkid=870924
Comment:
    Single visit punched at 12:04 PM with no check out hardly travelled 0.32km</t>
      </text>
    </comment>
    <comment ref="U9" authorId="7" shapeId="0" xr:uid="{A5EC105F-1583-4F12-88A6-823A0A1ECB4F}">
      <text>
        <t>[Threaded comment]
Your version of Excel allows you to read this threaded comment; however, any edits to it will get removed if the file is opened in a newer version of Excel. Learn more: https://go.microsoft.com/fwlink/?linkid=870924
Comment:
    Working start at 14:00 PM</t>
      </text>
    </comment>
    <comment ref="V9" authorId="8" shapeId="0" xr:uid="{59289EE3-FB76-4E1E-BA5E-E24714CD9E3F}">
      <text>
        <t>[Threaded comment]
Your version of Excel allows you to read this threaded comment; however, any edits to it will get removed if the file is opened in a newer version of Excel. Learn more: https://go.microsoft.com/fwlink/?linkid=870924
Comment:
    working started at 14:15 PM</t>
      </text>
    </comment>
    <comment ref="U10" authorId="9" shapeId="0" xr:uid="{CF77F53A-23DC-4786-8B74-47E5A7890C2E}">
      <text>
        <t>[Threaded comment]
Your version of Excel allows you to read this threaded comment; however, any edits to it will get removed if the file is opened in a newer version of Excel. Learn more: https://go.microsoft.com/fwlink/?linkid=870924
Comment:
    Last working till 15:39 PM</t>
      </text>
    </comment>
    <comment ref="X10" authorId="10" shapeId="0" xr:uid="{873B4C8A-8876-4784-8D65-CADAE3C0EEEB}">
      <text>
        <t>[Threaded comment]
Your version of Excel allows you to read this threaded comment; however, any edits to it will get removed if the file is opened in a newer version of Excel. Learn more: https://go.microsoft.com/fwlink/?linkid=870924
Comment:
    Last working till 15:37 PM</t>
      </text>
    </comment>
    <comment ref="V12" authorId="11" shapeId="0" xr:uid="{352F32B9-A287-46D0-BA1B-008189A6F382}">
      <text>
        <t>[Threaded comment]
Your version of Excel allows you to read this threaded comment; however, any edits to it will get removed if the file is opened in a newer version of Excel. Learn more: https://go.microsoft.com/fwlink/?linkid=870924
Comment:
    Last working till 16:19 PM</t>
      </text>
    </comment>
    <comment ref="AC12" authorId="12" shapeId="0" xr:uid="{0C96F075-7C63-4BC8-B39B-6367C2F03219}">
      <text>
        <t>[Threaded comment]
Your version of Excel allows you to read this threaded comment; however, any edits to it will get removed if the file is opened in a newer version of Excel. Learn more: https://go.microsoft.com/fwlink/?linkid=870924
Comment:
    Visit started at 15:06 PM</t>
      </text>
    </comment>
    <comment ref="P14" authorId="13" shapeId="0" xr:uid="{4DAD7A48-99C4-44C9-A040-CA047F0645ED}">
      <text>
        <t>[Threaded comment]
Your version of Excel allows you to read this threaded comment; however, any edits to it will get removed if the file is opened in a newer version of Excel. Learn more: https://go.microsoft.com/fwlink/?linkid=870924
Comment:
    Last working till 16:32 PM</t>
      </text>
    </comment>
    <comment ref="U14" authorId="14" shapeId="0" xr:uid="{0C0ABE55-E1E6-4F01-9EA3-1EF60673EBAD}">
      <text>
        <t>[Threaded comment]
Your version of Excel allows you to read this threaded comment; however, any edits to it will get removed if the file is opened in a newer version of Excel. Learn more: https://go.microsoft.com/fwlink/?linkid=870924
Comment:
    Last working till 15:59 PM</t>
      </text>
    </comment>
    <comment ref="L15" authorId="15" shapeId="0" xr:uid="{8E6EAB13-AD83-4876-962E-43C0182A5B5F}">
      <text>
        <t>[Threaded comment]
Your version of Excel allows you to read this threaded comment; however, any edits to it will get removed if the file is opened in a newer version of Excel. Learn more: https://go.microsoft.com/fwlink/?linkid=870924
Comment:
    Single visit from 10:47 AM to 11:50 AM</t>
      </text>
    </comment>
    <comment ref="AB15" authorId="16" shapeId="0" xr:uid="{51D35B77-E963-4A66-96E5-3DDDFB0BF0F3}">
      <text>
        <t>[Threaded comment]
Your version of Excel allows you to read this threaded comment; however, any edits to it will get removed if the file is opened in a newer version of Excel. Learn more: https://go.microsoft.com/fwlink/?linkid=870924
Comment:
    Work started at 14:23 PM</t>
      </text>
    </comment>
    <comment ref="AK15" authorId="17" shapeId="0" xr:uid="{237F068D-2551-41AA-9AF2-030FB4CAA751}">
      <text>
        <t>[Threaded comment]
Your version of Excel allows you to read this threaded comment; however, any edits to it will get removed if the file is opened in a newer version of Excel. Learn more: https://go.microsoft.com/fwlink/?linkid=870924
Comment:
    Working start at 13:04 PM</t>
      </text>
    </comment>
    <comment ref="L16" authorId="18" shapeId="0" xr:uid="{C904A510-4F54-41D9-A1D6-2BFA928A5616}">
      <text>
        <t>[Threaded comment]
Your version of Excel allows you to read this threaded comment; however, any edits to it will get removed if the file is opened in a newer version of Excel. Learn more: https://go.microsoft.com/fwlink/?linkid=870924
Comment:
    Single visit from 11:21 AM to 16:14 PM</t>
      </text>
    </comment>
    <comment ref="P16" authorId="19" shapeId="0" xr:uid="{6E34C04A-2B67-4DBE-ADDF-A3FFE82F1C14}">
      <text>
        <t>[Threaded comment]
Your version of Excel allows you to read this threaded comment; however, any edits to it will get removed if the file is opened in a newer version of Excel. Learn more: https://go.microsoft.com/fwlink/?linkid=870924
Comment:
    single visit from 2pm to 4:30 pm</t>
      </text>
    </comment>
    <comment ref="S16" authorId="20" shapeId="0" xr:uid="{57221FE5-B8A6-425A-91BE-6E9736EF514B}">
      <text>
        <t>[Threaded comment]
Your version of Excel allows you to read this threaded comment; however, any edits to it will get removed if the file is opened in a newer version of Excel. Learn more: https://go.microsoft.com/fwlink/?linkid=870924
Comment:
    GPS was off 1:49pm -20:28pm</t>
      </text>
    </comment>
    <comment ref="U16" authorId="21" shapeId="0" xr:uid="{6440C5AD-0231-49EB-ACF4-F3DAAAE933BA}">
      <text>
        <t xml:space="preserve">[Threaded comment]
Your version of Excel allows you to read this threaded comment; however, any edits to it will get removed if the file is opened in a newer version of Excel. Learn more: https://go.microsoft.com/fwlink/?linkid=870924
Comment:
    1st visit punched is fake , 2nd visit started at 1:00 pm </t>
      </text>
    </comment>
    <comment ref="X16" authorId="22" shapeId="0" xr:uid="{53F1D7D4-E01F-45A3-818A-C7A75F40F481}">
      <text>
        <t xml:space="preserve">[Threaded comment]
Your version of Excel allows you to read this threaded comment; however, any edits to it will get removed if the file is opened in a newer version of Excel. Learn more: https://go.microsoft.com/fwlink/?linkid=870924
Comment:
    Single visit from 12 pm - 2 pm </t>
      </text>
    </comment>
    <comment ref="Y16" authorId="23" shapeId="0" xr:uid="{F0769B94-BD04-4DB3-B8D2-B8C757E12FF9}">
      <text>
        <t>[Threaded comment]
Your version of Excel allows you to read this threaded comment; however, any edits to it will get removed if the file is opened in a newer version of Excel. Learn more: https://go.microsoft.com/fwlink/?linkid=870924
Comment:
    Single visit from 12pm  to 2pm &amp; 2nd visit added is fake</t>
      </text>
    </comment>
    <comment ref="AE16" authorId="24" shapeId="0" xr:uid="{3D27126E-15AC-49F2-AD5B-55A258687154}">
      <text>
        <t>[Threaded comment]
Your version of Excel allows you to read this threaded comment; however, any edits to it will get removed if the file is opened in a newer version of Excel. Learn more: https://go.microsoft.com/fwlink/?linkid=870924
Comment:
    Single visit from 12:00 PM to1:20 PM</t>
      </text>
    </comment>
    <comment ref="AG16" authorId="25" shapeId="0" xr:uid="{7F6C3B43-C5FA-4C11-8BA4-E62D2078B3A5}">
      <text>
        <t xml:space="preserve">[Threaded comment]
Your version of Excel allows you to read this threaded comment; however, any edits to it will get removed if the file is opened in a newer version of Excel. Learn more: https://go.microsoft.com/fwlink/?linkid=870924
Comment:
    Fake visit marked at home location </t>
      </text>
    </comment>
    <comment ref="AM16" authorId="26" shapeId="0" xr:uid="{61B241AA-CA0F-420C-90B5-FA069BC88C30}">
      <text>
        <t xml:space="preserve">[Threaded comment]
Your version of Excel allows you to read this threaded comment; however, any edits to it will get removed if the file is opened in a newer version of Excel. Learn more: https://go.microsoft.com/fwlink/?linkid=870924
Comment:
    Just did the product trial at home </t>
      </text>
    </comment>
    <comment ref="K18" authorId="27" shapeId="0" xr:uid="{DDC0B5DE-C499-4332-ABB6-7087E75BFBCF}">
      <text>
        <t>[Threaded comment]
Your version of Excel allows you to read this threaded comment; however, any edits to it will get removed if the file is opened in a newer version of Excel. Learn more: https://go.microsoft.com/fwlink/?linkid=870924
Comment:
    Last working till 14:59 PM</t>
      </text>
    </comment>
    <comment ref="N18" authorId="28" shapeId="0" xr:uid="{78A903AA-0FA7-4AA2-8742-BD987691A5D3}">
      <text>
        <t>[Threaded comment]
Your version of Excel allows you to read this threaded comment; however, any edits to it will get removed if the file is opened in a newer version of Excel. Learn more: https://go.microsoft.com/fwlink/?linkid=870924
Comment:
    Last working till 16:29 PM</t>
      </text>
    </comment>
    <comment ref="AM20" authorId="29" shapeId="0" xr:uid="{CA278FBC-7534-47F1-B6E3-5D656346FB9E}">
      <text>
        <t>[Threaded comment]
Your version of Excel allows you to read this threaded comment; however, any edits to it will get removed if the file is opened in a newer version of Excel. Learn more: https://go.microsoft.com/fwlink/?linkid=870924
Comment:
    No visit after 15:02 PM RAINING</t>
      </text>
    </comment>
    <comment ref="V22" authorId="30" shapeId="0" xr:uid="{6CE662B7-0461-45DE-98DF-BCD672B1AFF4}">
      <text>
        <t>[Threaded comment]
Your version of Excel allows you to read this threaded comment; however, any edits to it will get removed if the file is opened in a newer version of Excel. Learn more: https://go.microsoft.com/fwlink/?linkid=870924
Comment:
    Work started at 13:01 PM</t>
      </text>
    </comment>
    <comment ref="AK23" authorId="31" shapeId="0" xr:uid="{5EF324C7-88D1-4D9C-9E1C-C406DF6B7D85}">
      <text>
        <t>[Threaded comment]
Your version of Excel allows you to read this threaded comment; however, any edits to it will get removed if the file is opened in a newer version of Excel. Learn more: https://go.microsoft.com/fwlink/?linkid=870924
Comment:
    No visit after 12:40 PM</t>
      </text>
    </comment>
    <comment ref="K27" authorId="32" shapeId="0" xr:uid="{434075A5-E6BD-4781-9959-5F8FFC8F4FC2}">
      <text>
        <t xml:space="preserve">[Threaded comment]
Your version of Excel allows you to read this threaded comment; however, any edits to it will get removed if the file is opened in a newer version of Excel. Learn more: https://go.microsoft.com/fwlink/?linkid=870924
Comment:
    No working record in the software only attendance is marked hardly travelled 2km </t>
      </text>
    </comment>
    <comment ref="Q27" authorId="33" shapeId="0" xr:uid="{C118FC67-A724-45A5-8174-F83EDF520564}">
      <text>
        <t>[Threaded comment]
Your version of Excel allows you to read this threaded comment; however, any edits to it will get removed if the file is opened in a newer version of Excel. Learn more: https://go.microsoft.com/fwlink/?linkid=870924
Comment:
    Single visit 12:57 PM15:59 PM ,travelled to Tiroda But its raining</t>
      </text>
    </comment>
    <comment ref="AG27" authorId="34" shapeId="0" xr:uid="{06C1241D-ADF4-40CC-A2CB-60E7B3D9B773}">
      <text>
        <t>[Threaded comment]
Your version of Excel allows you to read this threaded comment; however, any edits to it will get removed if the file is opened in a newer version of Excel. Learn more: https://go.microsoft.com/fwlink/?linkid=870924
Comment:
    No vist after 15:35 PM</t>
      </text>
    </comment>
    <comment ref="J28" authorId="35" shapeId="0" xr:uid="{DD631FF1-8351-4D60-B9C8-EAFD26E867FE}">
      <text>
        <t>[Threaded comment]
Your version of Excel allows you to read this threaded comment; however, any edits to it will get removed if the file is opened in a newer version of Excel. Learn more: https://go.microsoft.com/fwlink/?linkid=870924
Comment:
    Single visit 2:42 PM - 16:32 PM</t>
      </text>
    </comment>
    <comment ref="L28" authorId="36" shapeId="0" xr:uid="{A784E309-5F5A-4070-95B8-ACC43C5B1449}">
      <text>
        <t>[Threaded comment]
Your version of Excel allows you to read this threaded comment; however, any edits to it will get removed if the file is opened in a newer version of Excel. Learn more: https://go.microsoft.com/fwlink/?linkid=870924
Comment:
    Single Visit from 13:19 PM to 16:48 PM</t>
      </text>
    </comment>
    <comment ref="X28" authorId="37" shapeId="0" xr:uid="{846A726F-4C35-4BB9-A8EC-FAA431C8341D}">
      <text>
        <t>[Threaded comment]
Your version of Excel allows you to read this threaded comment; however, any edits to it will get removed if the file is opened in a newer version of Excel. Learn more: https://go.microsoft.com/fwlink/?linkid=870924
Comment:
    Work started at 14:23 PM</t>
      </text>
    </comment>
    <comment ref="Y28" authorId="38" shapeId="0" xr:uid="{021EA782-9268-4B50-A8B2-8ADEA050FB76}">
      <text>
        <t>[Threaded comment]
Your version of Excel allows you to read this threaded comment; however, any edits to it will get removed if the file is opened in a newer version of Excel. Learn more: https://go.microsoft.com/fwlink/?linkid=870924
Comment:
    single punch at 17:34 PM</t>
      </text>
    </comment>
    <comment ref="AB28" authorId="39" shapeId="0" xr:uid="{483E3FE8-7DF0-4C4F-9AC9-4FF25067E925}">
      <text>
        <t>[Threaded comment]
Your version of Excel allows you to read this threaded comment; however, any edits to it will get removed if the file is opened in a newer version of Excel. Learn more: https://go.microsoft.com/fwlink/?linkid=870924
Comment:
    Work started at 14:34 PM</t>
      </text>
    </comment>
    <comment ref="AD28" authorId="40" shapeId="0" xr:uid="{15B8E4C3-5F81-49F1-88EC-81B43D28C154}">
      <text>
        <t>[Threaded comment]
Your version of Excel allows you to read this threaded comment; however, any edits to it will get removed if the file is opened in a newer version of Excel. Learn more: https://go.microsoft.com/fwlink/?linkid=870924
Comment:
    Work start at 14:07 PM</t>
      </text>
    </comment>
    <comment ref="AE28" authorId="41" shapeId="0" xr:uid="{71E31A28-C3A6-48CE-B322-E55430D81991}">
      <text>
        <t>[Threaded comment]
Your version of Excel allows you to read this threaded comment; however, any edits to it will get removed if the file is opened in a newer version of Excel. Learn more: https://go.microsoft.com/fwlink/?linkid=870924
Comment:
    Work start at 14:18 PM</t>
      </text>
    </comment>
    <comment ref="AF28" authorId="42" shapeId="0" xr:uid="{BED52D54-13EF-48AB-8CE7-FEE3C5A661F2}">
      <text>
        <t>[Threaded comment]
Your version of Excel allows you to read this threaded comment; however, any edits to it will get removed if the file is opened in a newer version of Excel. Learn more: https://go.microsoft.com/fwlink/?linkid=870924
Comment:
    Single visit at 17:51 PM</t>
      </text>
    </comment>
    <comment ref="AL28" authorId="43" shapeId="0" xr:uid="{460605B1-2369-4C14-BB39-C30FBF0D025E}">
      <text>
        <t>[Threaded comment]
Your version of Excel allows you to read this threaded comment; however, any edits to it will get removed if the file is opened in a newer version of Excel. Learn more: https://go.microsoft.com/fwlink/?linkid=870924
Comment:
    No visist after 14:44 PM</t>
      </text>
    </comment>
    <comment ref="AM28" authorId="44" shapeId="0" xr:uid="{EFA7575B-426F-4EFE-8D5A-C0B026B48929}">
      <text>
        <t>[Threaded comment]
Your version of Excel allows you to read this threaded comment; however, any edits to it will get removed if the file is opened in a newer version of Excel. Learn more: https://go.microsoft.com/fwlink/?linkid=870924
Comment:
    visit started at 15:02 PM</t>
      </text>
    </comment>
    <comment ref="K29" authorId="45" shapeId="0" xr:uid="{DC912BE3-2F60-45DC-B9C6-5C17492001E8}">
      <text>
        <t>[Threaded comment]
Your version of Excel allows you to read this threaded comment; however, any edits to it will get removed if the file is opened in a newer version of Excel. Learn more: https://go.microsoft.com/fwlink/?linkid=870924
Comment:
    Single visit in whole day from 13:59 PM to 16:41 PM</t>
      </text>
    </comment>
    <comment ref="AB29" authorId="46" shapeId="0" xr:uid="{DB956E79-432C-43A5-8ED2-E4CC9C05E57E}">
      <text>
        <t>[Threaded comment]
Your version of Excel allows you to read this threaded comment; however, any edits to it will get removed if the file is opened in a newer version of Excel. Learn more: https://go.microsoft.com/fwlink/?linkid=870924
Comment:
    No visit punched after 13:04 PM</t>
      </text>
    </comment>
    <comment ref="AD29" authorId="47" shapeId="0" xr:uid="{337AE2FF-F989-47D2-91F8-D87160DBC6E7}">
      <text>
        <t>[Threaded comment]
Your version of Excel allows you to read this threaded comment; however, any edits to it will get removed if the file is opened in a newer version of Excel. Learn more: https://go.microsoft.com/fwlink/?linkid=870924
Comment:
    No visit is punched only attendance is marked</t>
      </text>
    </comment>
    <comment ref="AE29" authorId="48" shapeId="0" xr:uid="{146E3873-31C3-42D0-A725-5B8F3D87850C}">
      <text>
        <t>[Threaded comment]
Your version of Excel allows you to read this threaded comment; however, any edits to it will get removed if the file is opened in a newer version of Excel. Learn more: https://go.microsoft.com/fwlink/?linkid=870924
Comment:
    Last visit till 14:43 pm</t>
      </text>
    </comment>
    <comment ref="AM29" authorId="49" shapeId="0" xr:uid="{C7F247BA-E34E-4683-9FB8-5788444A105D}">
      <text>
        <t>[Threaded comment]
Your version of Excel allows you to read this threaded comment; however, any edits to it will get removed if the file is opened in a newer version of Excel. Learn more: https://go.microsoft.com/fwlink/?linkid=870924
Comment:
    No visit is marked</t>
      </text>
    </comment>
    <comment ref="I30" authorId="50" shapeId="0" xr:uid="{C25EE1BD-6514-4B1B-A6AC-A8E8DDA4BD83}">
      <text>
        <t>[Threaded comment]
Your version of Excel allows you to read this threaded comment; however, any edits to it will get removed if the file is opened in a newer version of Excel. Learn more: https://go.microsoft.com/fwlink/?linkid=870924
Comment:
    Work started at 13:12 PM</t>
      </text>
    </comment>
    <comment ref="J30" authorId="51" shapeId="0" xr:uid="{0C159F1F-EEB5-49A3-A8A7-FD5FA78D884F}">
      <text>
        <t>[Threaded comment]
Your version of Excel allows you to read this threaded comment; however, any edits to it will get removed if the file is opened in a newer version of Excel. Learn more: https://go.microsoft.com/fwlink/?linkid=870924
Comment:
    Last working till 16:34 PM</t>
      </text>
    </comment>
    <comment ref="L30" authorId="52" shapeId="0" xr:uid="{30D61FBE-EE99-481E-9779-D7BEDE2CB6B0}">
      <text>
        <t>[Threaded comment]
Your version of Excel allows you to read this threaded comment; however, any edits to it will get removed if the file is opened in a newer version of Excel. Learn more: https://go.microsoft.com/fwlink/?linkid=870924
Comment:
    Last working till 13:18 PM to 14:06 PM</t>
      </text>
    </comment>
    <comment ref="AC30" authorId="53" shapeId="0" xr:uid="{05C02DE7-9632-4D62-A41F-13EF9F3BCA05}">
      <text>
        <t>[Threaded comment]
Your version of Excel allows you to read this threaded comment; however, any edits to it will get removed if the file is opened in a newer version of Excel. Learn more: https://go.microsoft.com/fwlink/?linkid=870924
Comment:
    First visit 13:42 PM</t>
      </text>
    </comment>
    <comment ref="I31" authorId="54" shapeId="0" xr:uid="{6F0D8788-4806-43AD-AF4A-482A1839BBEF}">
      <text>
        <t>[Threaded comment]
Your version of Excel allows you to read this threaded comment; however, any edits to it will get removed if the file is opened in a newer version of Excel. Learn more: https://go.microsoft.com/fwlink/?linkid=870924
Comment:
    Working last till 15:47 PM</t>
      </text>
    </comment>
    <comment ref="AJ32" authorId="55" shapeId="0" xr:uid="{6433040D-70B7-404B-927B-926FEE38CB45}">
      <text>
        <t>[Threaded comment]
Your version of Excel allows you to read this threaded comment; however, any edits to it will get removed if the file is opened in a newer version of Excel. Learn more: https://go.microsoft.com/fwlink/?linkid=870924
Comment:
    Single visit at 17:34 PM</t>
      </text>
    </comment>
    <comment ref="AK32" authorId="56" shapeId="0" xr:uid="{FAE90D0B-BF3F-4D8B-BFFF-A6E09A35FA11}">
      <text>
        <t>[Threaded comment]
Your version of Excel allows you to read this threaded comment; however, any edits to it will get removed if the file is opened in a newer version of Excel. Learn more: https://go.microsoft.com/fwlink/?linkid=870924
Comment:
    Single visit at 16:02 PM</t>
      </text>
    </comment>
    <comment ref="U35" authorId="57" shapeId="0" xr:uid="{E43BF03B-F49E-4B54-B33E-3EB835DEA3AA}">
      <text>
        <t>[Threaded comment]
Your version of Excel allows you to read this threaded comment; however, any edits to it will get removed if the file is opened in a newer version of Excel. Learn more: https://go.microsoft.com/fwlink/?linkid=870924
Comment:
    Last visit visit till 16:10 PM</t>
      </text>
    </comment>
    <comment ref="I36" authorId="58" shapeId="0" xr:uid="{FC4F4CBC-0821-4130-AE90-5FFE93EF0832}">
      <text>
        <t>[Threaded comment]
Your version of Excel allows you to read this threaded comment; however, any edits to it will get removed if the file is opened in a newer version of Excel. Learn more: https://go.microsoft.com/fwlink/?linkid=870924
Comment:
    Work started at 15:54 PM</t>
      </text>
    </comment>
    <comment ref="U36" authorId="59" shapeId="0" xr:uid="{D57284CA-F432-4F9B-B13C-AD9036F2A502}">
      <text>
        <t>[Threaded comment]
Your version of Excel allows you to read this threaded comment; however, any edits to it will get removed if the file is opened in a newer version of Excel. Learn more: https://go.microsoft.com/fwlink/?linkid=870924
Comment:
    No visit after 14:47 PM</t>
      </text>
    </comment>
    <comment ref="AL36" authorId="60" shapeId="0" xr:uid="{01C454D2-16CF-46E8-8B38-9E9B61525732}">
      <text>
        <t>[Threaded comment]
Your version of Excel allows you to read this threaded comment; however, any edits to it will get removed if the file is opened in a newer version of Excel. Learn more: https://go.microsoft.com/fwlink/?linkid=870924
Comment:
    Working start at 14:42 PM</t>
      </text>
    </comment>
    <comment ref="J38" authorId="61" shapeId="0" xr:uid="{7ECB3125-2005-476B-A5F0-BF1EDBFFB907}">
      <text>
        <t>[Threaded comment]
Your version of Excel allows you to read this threaded comment; however, any edits to it will get removed if the file is opened in a newer version of Excel. Learn more: https://go.microsoft.com/fwlink/?linkid=870924
Comment:
    Started work at 14:04 PM</t>
      </text>
    </comment>
    <comment ref="AM41" authorId="62" shapeId="0" xr:uid="{61BDD829-4782-49EB-BE5F-210A88BF8C56}">
      <text>
        <t>[Threaded comment]
Your version of Excel allows you to read this threaded comment; however, any edits to it will get removed if the file is opened in a newer version of Excel. Learn more: https://go.microsoft.com/fwlink/?linkid=870924
Comment:
    No visit after 15:29 PM</t>
      </text>
    </comment>
    <comment ref="AL43" authorId="63" shapeId="0" xr:uid="{5F203107-B241-46F3-A1AF-8D20CD2E2E98}">
      <text>
        <t>[Threaded comment]
Your version of Excel allows you to read this threaded comment; however, any edits to it will get removed if the file is opened in a newer version of Excel. Learn more: https://go.microsoft.com/fwlink/?linkid=870924
Comment:
    No visit after 14:28 PM</t>
      </text>
    </comment>
    <comment ref="N46" authorId="64" shapeId="0" xr:uid="{FD16D053-F54D-4CED-AEEE-0A9A864A3768}">
      <text>
        <t>[Threaded comment]
Your version of Excel allows you to read this threaded comment; however, any edits to it will get removed if the file is opened in a newer version of Excel. Learn more: https://go.microsoft.com/fwlink/?linkid=870924
Comment:
    Work Started at 13:36 PM and ended at 15:16 PM</t>
      </text>
    </comment>
    <comment ref="V46" authorId="65" shapeId="0" xr:uid="{83B4DABC-5F73-48E5-81C8-70AC1FD694A4}">
      <text>
        <t>[Threaded comment]
Your version of Excel allows you to read this threaded comment; however, any edits to it will get removed if the file is opened in a newer version of Excel. Learn more: https://go.microsoft.com/fwlink/?linkid=870924
Comment:
    Single demo in whole day 15:21PM -17:33 PM</t>
      </text>
    </comment>
    <comment ref="AG47" authorId="66" shapeId="0" xr:uid="{01833809-4C5F-456F-8A20-98033740B4EA}">
      <text>
        <t>[Threaded comment]
Your version of Excel allows you to read this threaded comment; however, any edits to it will get removed if the file is opened in a newer version of Excel. Learn more: https://go.microsoft.com/fwlink/?linkid=870924
Comment:
    No record of visit only attendance is punced</t>
      </text>
    </comment>
    <comment ref="AI47" authorId="67" shapeId="0" xr:uid="{0C5AE7A8-11ED-4C01-884B-CFC99ACA500C}">
      <text>
        <t>[Threaded comment]
Your version of Excel allows you to read this threaded comment; however, any edits to it will get removed if the file is opened in a newer version of Excel. Learn more: https://go.microsoft.com/fwlink/?linkid=870924
Comment:
    No visit after 15:38 PM</t>
      </text>
    </comment>
    <comment ref="I48" authorId="68" shapeId="0" xr:uid="{05E3AD1F-1330-44D8-9298-F99970A83943}">
      <text>
        <t>[Threaded comment]
Your version of Excel allows you to read this threaded comment; however, any edits to it will get removed if the file is opened in a newer version of Excel. Learn more: https://go.microsoft.com/fwlink/?linkid=870924
Comment:
    Started at 12:19 PM Ended work at 16:07 PM</t>
      </text>
    </comment>
    <comment ref="N48" authorId="69" shapeId="0" xr:uid="{F9B7541F-C8D6-4FDC-A95E-D1154D9F82A7}">
      <text>
        <t>[Threaded comment]
Your version of Excel allows you to read this threaded comment; however, any edits to it will get removed if the file is opened in a newer version of Excel. Learn more: https://go.microsoft.com/fwlink/?linkid=870924
Comment:
    Work started at 12:31 PM and ended at 12:31 PM</t>
      </text>
    </comment>
    <comment ref="AK48" authorId="70" shapeId="0" xr:uid="{E9005C34-68B7-4275-B927-027AF92E03E4}">
      <text>
        <t>[Threaded comment]
Your version of Excel allows you to read this threaded comment; however, any edits to it will get removed if the file is opened in a newer version of Excel. Learn more: https://go.microsoft.com/fwlink/?linkid=870924
Comment:
    No visit after 15:26 PM- Raining</t>
      </text>
    </comment>
    <comment ref="I49" authorId="71" shapeId="0" xr:uid="{E1452C21-5C51-4946-8085-C9376946070B}">
      <text>
        <t>[Threaded comment]
Your version of Excel allows you to read this threaded comment; however, any edits to it will get removed if the file is opened in a newer version of Excel. Learn more: https://go.microsoft.com/fwlink/?linkid=870924
Comment:
    Started work at 11:51 AM ended work at 16:04 PM</t>
      </text>
    </comment>
    <comment ref="O49" authorId="72" shapeId="0" xr:uid="{83A4C8CA-460E-4B82-A92A-6FBF98C8B9DA}">
      <text>
        <t>[Threaded comment]
Your version of Excel allows you to read this threaded comment; however, any edits to it will get removed if the file is opened in a newer version of Excel. Learn more: https://go.microsoft.com/fwlink/?linkid=870924
Comment:
    Last working till 14:57 PM</t>
      </text>
    </comment>
    <comment ref="P49" authorId="73" shapeId="0" xr:uid="{7663DD49-C955-48BC-B6F7-87CD0C5558F1}">
      <text>
        <t>[Threaded comment]
Your version of Excel allows you to read this threaded comment; however, any edits to it will get removed if the file is opened in a newer version of Excel. Learn more: https://go.microsoft.com/fwlink/?linkid=870924
Comment:
    Last working till 13:49 PM , claimed that she is not well</t>
      </text>
    </comment>
    <comment ref="I51" authorId="74" shapeId="0" xr:uid="{8C9120C0-7E1E-4993-8638-6A67069FE44C}">
      <text>
        <t>[Threaded comment]
Your version of Excel allows you to read this threaded comment; however, any edits to it will get removed if the file is opened in a newer version of Excel. Learn more: https://go.microsoft.com/fwlink/?linkid=870924
Comment:
    Last working 16:31 PM</t>
      </text>
    </comment>
    <comment ref="J51" authorId="75" shapeId="0" xr:uid="{1B68F4E2-9268-4C44-91F4-980B3F5F2417}">
      <text>
        <t>[Threaded comment]
Your version of Excel allows you to read this threaded comment; however, any edits to it will get removed if the file is opened in a newer version of Excel. Learn more: https://go.microsoft.com/fwlink/?linkid=870924
Comment:
    Last visit till 14:13 PM to 14:14 PM</t>
      </text>
    </comment>
    <comment ref="L51" authorId="76" shapeId="0" xr:uid="{B361C598-54EE-43CC-9030-5BECCA69ABE1}">
      <text>
        <t>[Threaded comment]
Your version of Excel allows you to read this threaded comment; however, any edits to it will get removed if the file is opened in a newer version of Excel. Learn more: https://go.microsoft.com/fwlink/?linkid=870924
Comment:
    Heavy Rain</t>
      </text>
    </comment>
    <comment ref="AG52" authorId="77" shapeId="0" xr:uid="{A5CF0CF7-855F-4ED3-86AD-2E84EE5E4BA5}">
      <text>
        <t>[Threaded comment]
Your version of Excel allows you to read this threaded comment; however, any edits to it will get removed if the file is opened in a newer version of Excel. Learn more: https://go.microsoft.com/fwlink/?linkid=870924
Comment:
    No visit after 13:41 PM</t>
      </text>
    </comment>
    <comment ref="O54" authorId="78" shapeId="0" xr:uid="{74A0B7DC-92E8-484B-8998-B6D0F2B66C01}">
      <text>
        <t>[Threaded comment]
Your version of Excel allows you to read this threaded comment; however, any edits to it will get removed if the file is opened in a newer version of Excel. Learn more: https://go.microsoft.com/fwlink/?linkid=870924
Comment:
    GPS off from 12:51 to 23:59 pm &amp; 9:57 to 12:49 pm</t>
      </text>
    </comment>
    <comment ref="P54" authorId="79" shapeId="0" xr:uid="{B9BBB58F-2433-49EB-855B-7602E2B79D7E}">
      <text>
        <t xml:space="preserve">[Threaded comment]
Your version of Excel allows you to read this threaded comment; however, any edits to it will get removed if the file is opened in a newer version of Excel. Learn more: https://go.microsoft.com/fwlink/?linkid=870924
Comment:
    GPS off From 13:04 to 16:04 &amp; 12:31 to13:04 </t>
      </text>
    </comment>
    <comment ref="AK54" authorId="80" shapeId="0" xr:uid="{87DF0360-ADC3-4A9B-AB1C-5489EA2C5429}">
      <text>
        <t>[Threaded comment]
Your version of Excel allows you to read this threaded comment; however, any edits to it will get removed if the file is opened in a newer version of Excel. Learn more: https://go.microsoft.com/fwlink/?linkid=870924
Comment:
    Single visit till 12:14:02 PM</t>
      </text>
    </comment>
    <comment ref="AK55" authorId="81" shapeId="0" xr:uid="{F505679C-01E0-40EA-8957-9C1D7DD0863B}">
      <text>
        <t>[Threaded comment]
Your version of Excel allows you to read this threaded comment; however, any edits to it will get removed if the file is opened in a newer version of Excel. Learn more: https://go.microsoft.com/fwlink/?linkid=870924
Comment:
    No visit after 12:58 PM , as per the rohit sir order marked absent</t>
      </text>
    </comment>
    <comment ref="L56" authorId="82" shapeId="0" xr:uid="{2D257EF4-50F7-4EE6-B6A9-6466AB801329}">
      <text>
        <t>[Threaded comment]
Your version of Excel allows you to read this threaded comment; however, any edits to it will get removed if the file is opened in a newer version of Excel. Learn more: https://go.microsoft.com/fwlink/?linkid=870924
Comment:
    Last working till 16:10 PM</t>
      </text>
    </comment>
    <comment ref="AG57" authorId="83" shapeId="0" xr:uid="{3FFA3150-506D-447A-A613-70CA7CB781C0}">
      <text>
        <t>[Threaded comment]
Your version of Excel allows you to read this threaded comment; however, any edits to it will get removed if the file is opened in a newer version of Excel. Learn more: https://go.microsoft.com/fwlink/?linkid=870924
Comment:
    No visit after 14:20 PM</t>
      </text>
    </comment>
    <comment ref="I58" authorId="84" shapeId="0" xr:uid="{3A5E8D59-245A-403D-B3F2-DA0C7F064D86}">
      <text>
        <t>[Threaded comment]
Your version of Excel allows you to read this threaded comment; however, any edits to it will get removed if the file is opened in a newer version of Excel. Learn more: https://go.microsoft.com/fwlink/?linkid=870924
Comment:
    Last working at 15:54 PM</t>
      </text>
    </comment>
    <comment ref="L59" authorId="85" shapeId="0" xr:uid="{493A79B2-0023-4285-B86E-3755AFE2EEB9}">
      <text>
        <t>[Threaded comment]
Your version of Excel allows you to read this threaded comment; however, any edits to it will get removed if the file is opened in a newer version of Excel. Learn more: https://go.microsoft.com/fwlink/?linkid=870924
Comment:
    Last working till 16:24 PM</t>
      </text>
    </comment>
    <comment ref="O59" authorId="86" shapeId="0" xr:uid="{29E38B8E-444F-4403-994E-D74A8B8305FD}">
      <text>
        <t>[Threaded comment]
Your version of Excel allows you to read this threaded comment; however, any edits to it will get removed if the file is opened in a newer version of Excel. Learn more: https://go.microsoft.com/fwlink/?linkid=870924
Comment:
    Started at 13:19 PM &amp; last visit till 15:05 PM</t>
      </text>
    </comment>
    <comment ref="AE59" authorId="87" shapeId="0" xr:uid="{0F9505A8-7317-4FDF-AC54-B8C960BBD533}">
      <text>
        <t>[Threaded comment]
Your version of Excel allows you to read this threaded comment; however, any edits to it will get removed if the file is opened in a newer version of Excel. Learn more: https://go.microsoft.com/fwlink/?linkid=870924
Comment:
    Last working till 14:36 PM</t>
      </text>
    </comment>
    <comment ref="AI59" authorId="88" shapeId="0" xr:uid="{B1963E5E-001B-4B48-B261-AFE5032C2BA7}">
      <text>
        <t>[Threaded comment]
Your version of Excel allows you to read this threaded comment; however, any edits to it will get removed if the file is opened in a newer version of Excel. Learn more: https://go.microsoft.com/fwlink/?linkid=870924
Comment:
    Last working till 13:31 PM</t>
      </text>
    </comment>
    <comment ref="L60" authorId="89" shapeId="0" xr:uid="{4FA3A529-BDFE-4014-B5B3-81021C14DC35}">
      <text>
        <t>[Threaded comment]
Your version of Excel allows you to read this threaded comment; however, any edits to it will get removed if the file is opened in a newer version of Excel. Learn more: https://go.microsoft.com/fwlink/?linkid=870924
Comment:
    Heavy rain</t>
      </text>
    </comment>
    <comment ref="N60" authorId="90" shapeId="0" xr:uid="{DD8EC4CF-0FFB-4FB8-B05F-DA670554E3A4}">
      <text>
        <t>[Threaded comment]
Your version of Excel allows you to read this threaded comment; however, any edits to it will get removed if the file is opened in a newer version of Excel. Learn more: https://go.microsoft.com/fwlink/?linkid=870924
Comment:
    Heavy rain</t>
      </text>
    </comment>
    <comment ref="AJ60" authorId="91" shapeId="0" xr:uid="{E26B379D-037B-4429-A4E3-E92D298A5395}">
      <text>
        <t>[Threaded comment]
Your version of Excel allows you to read this threaded comment; however, any edits to it will get removed if the file is opened in a newer version of Excel. Learn more: https://go.microsoft.com/fwlink/?linkid=870924
Comment:
    Working start at 14:03 PM</t>
      </text>
    </comment>
    <comment ref="R62" authorId="92" shapeId="0" xr:uid="{CB1593D6-96E2-49E7-B935-9A0FB1058304}">
      <text>
        <t>[Threaded comment]
Your version of Excel allows you to read this threaded comment; however, any edits to it will get removed if the file is opened in a newer version of Excel. Learn more: https://go.microsoft.com/fwlink/?linkid=870924
Comment:
    Only Attendance is marked no record of vizits</t>
      </text>
    </comment>
    <comment ref="J64" authorId="93" shapeId="0" xr:uid="{5DA3596B-3AAB-4732-8540-63FE2FF6ECB7}">
      <text>
        <t>[Threaded comment]
Your version of Excel allows you to read this threaded comment; however, any edits to it will get removed if the file is opened in a newer version of Excel. Learn more: https://go.microsoft.com/fwlink/?linkid=870924
Comment:
    Single visit at 13:16 PM to 14:30 PM-Fake Visit</t>
      </text>
    </comment>
    <comment ref="U64" authorId="94" shapeId="0" xr:uid="{E0A9D045-87C1-4D78-82E2-2EFD338F92CA}">
      <text>
        <t>[Threaded comment]
Your version of Excel allows you to read this threaded comment; however, any edits to it will get removed if the file is opened in a newer version of Excel. Learn more: https://go.microsoft.com/fwlink/?linkid=870924
Comment:
    13th no punch after 13:24 PM</t>
      </text>
    </comment>
    <comment ref="Y64" authorId="95" shapeId="0" xr:uid="{C19DE520-19A1-4281-9F78-0CC38F034EEA}">
      <text>
        <t>[Threaded comment]
Your version of Excel allows you to read this threaded comment; however, any edits to it will get removed if the file is opened in a newer version of Excel. Learn more: https://go.microsoft.com/fwlink/?linkid=870924
Comment:
    Single demo 12:43 PM13:42 PM</t>
      </text>
    </comment>
    <comment ref="AB64" authorId="96" shapeId="0" xr:uid="{EEC0B939-DB57-4C32-922D-47C03395B84D}">
      <text>
        <t>[Threaded comment]
Your version of Excel allows you to read this threaded comment; however, any edits to it will get removed if the file is opened in a newer version of Excel. Learn more: https://go.microsoft.com/fwlink/?linkid=870924
Comment:
    Only attendance is punned taken leave in between</t>
      </text>
    </comment>
    <comment ref="AD64" authorId="97" shapeId="0" xr:uid="{12D6CAE5-7169-4232-898E-2D9B4E6CD089}">
      <text>
        <t>[Threaded comment]
Your version of Excel allows you to read this threaded comment; however, any edits to it will get removed if the file is opened in a newer version of Excel. Learn more: https://go.microsoft.com/fwlink/?linkid=870924
Comment:
    No visit aqfter 13:59 PM</t>
      </text>
    </comment>
    <comment ref="AE64" authorId="98" shapeId="0" xr:uid="{C0A8AAC5-4021-4B67-9133-F8D53F437E7D}">
      <text>
        <t>[Threaded comment]
Your version of Excel allows you to read this threaded comment; however, any edits to it will get removed if the file is opened in a newer version of Excel. Learn more: https://go.microsoft.com/fwlink/?linkid=870924
Comment:
    No visit after 15:34 PM</t>
      </text>
    </comment>
    <comment ref="AJ64" authorId="99" shapeId="0" xr:uid="{AAA778EE-2808-4467-A7A6-1755D1D34824}">
      <text>
        <t>[Threaded comment]
Your version of Excel allows you to read this threaded comment; however, any edits to it will get removed if the file is opened in a newer version of Excel. Learn more: https://go.microsoft.com/fwlink/?linkid=870924
Comment:
    Working start at 13:42 PM</t>
      </text>
    </comment>
    <comment ref="O66" authorId="100" shapeId="0" xr:uid="{04126A18-0C24-49A5-A027-29546BCD68D3}">
      <text>
        <t xml:space="preserve">[Threaded comment]
Your version of Excel allows you to read this threaded comment; however, any edits to it will get removed if the file is opened in a newer version of Excel. Learn more: https://go.microsoft.com/fwlink/?linkid=870924
Comment:
    Heavy rainfall </t>
      </text>
    </comment>
    <comment ref="AC70" authorId="101" shapeId="0" xr:uid="{F05F6E7B-DC6B-4C6C-BB1E-5B9CB1E43ED6}">
      <text>
        <t>[Threaded comment]
Your version of Excel allows you to read this threaded comment; however, any edits to it will get removed if the file is opened in a newer version of Excel. Learn more: https://go.microsoft.com/fwlink/?linkid=870924
Comment:
    Last visit till 13:30 PM</t>
      </text>
    </comment>
    <comment ref="V71" authorId="102" shapeId="0" xr:uid="{9549E7CE-D49F-40FB-A49E-697A613D4B3F}">
      <text>
        <t>[Threaded comment]
Your version of Excel allows you to read this threaded comment; however, any edits to it will get removed if the file is opened in a newer version of Excel. Learn more: https://go.microsoft.com/fwlink/?linkid=870924
Comment:
    work started at 15:15 PM</t>
      </text>
    </comment>
    <comment ref="AG71" authorId="103" shapeId="0" xr:uid="{CE2A8F79-2685-47FB-A5E7-97F9BA8F027E}">
      <text>
        <t>[Threaded comment]
Your version of Excel allows you to read this threaded comment; however, any edits to it will get removed if the file is opened in a newer version of Excel. Learn more: https://go.microsoft.com/fwlink/?linkid=870924
Comment:
    First visit marked at 14:40 PM</t>
      </text>
    </comment>
    <comment ref="AI71" authorId="104" shapeId="0" xr:uid="{4E142B54-9BE9-40CF-827B-C971C96D360C}">
      <text>
        <t>[Threaded comment]
Your version of Excel allows you to read this threaded comment; however, any edits to it will get removed if the file is opened in a newer version of Excel. Learn more: https://go.microsoft.com/fwlink/?linkid=870924
Comment:
    First vsist marked at 14:33 PM</t>
      </text>
    </comment>
    <comment ref="AL71" authorId="105" shapeId="0" xr:uid="{92052B3F-5738-4E48-A49E-59D0FC1288CF}">
      <text>
        <t>[Threaded comment]
Your version of Excel allows you to read this threaded comment; however, any edits to it will get removed if the file is opened in a newer version of Excel. Learn more: https://go.microsoft.com/fwlink/?linkid=870924
Comment:
    Not a single visit is punched , travelled 0km</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tc={5476E4F8-4ABA-4E40-B914-30893E6A3A88}</author>
    <author>tc={54DC2938-2A69-4573-A1CE-F5DBB18DDC1B}</author>
    <author>tc={1C540761-5459-405F-A871-63347E9EB811}</author>
    <author>tc={5857AD59-6BFB-4C2C-B55F-052D1DD64320}</author>
    <author>tc={BD323CD4-5A91-4145-9B3C-16C43CE2F7EA}</author>
    <author>tc={A4128449-25F2-4C5E-A7CE-66138E4190C8}</author>
    <author>tc={62C05126-6B27-4645-AB9E-950363BB5394}</author>
    <author>tc={2736EEF3-F72D-4292-B794-5CBA3240F3DD}</author>
    <author>tc={6C6FBFF7-0F91-4753-9EE1-051F7F54DD7D}</author>
    <author>tc={7A38F8C3-A716-434C-A8F3-724F27C1F0C9}</author>
    <author>tc={E4702061-B50E-4B0C-8577-0B6DAA5F6E22}</author>
    <author>tc={E146343B-8E05-4E43-B5CF-F6F451EC7383}</author>
    <author>tc={DC9F4F23-231D-4053-9B1E-2D04C0FC0CAA}</author>
    <author>tc={D8782443-1870-48CA-84B3-FA2C044570B7}</author>
    <author>tc={3C80321E-8269-493D-B43C-05BFB62D9006}</author>
    <author>tc={88F6DC55-C9F2-4351-AEAF-1845383E9DE6}</author>
    <author>tc={1C9FEFF0-7C86-4055-94F1-3440A9F33E55}</author>
    <author>tc={4A222679-67CD-47E8-8567-4EDF737158C4}</author>
    <author>tc={C186BD95-DBC8-4866-A327-4799B87AAB45}</author>
    <author>tc={734040D0-3532-4740-9378-D44D8A49F510}</author>
    <author>tc={27E4D391-9BFD-4B0B-BD18-220DA31673B6}</author>
    <author>tc={34A3A557-E90F-448E-A46A-1AF037DB64D1}</author>
    <author>tc={827149EC-366E-4B51-A295-8292546E1849}</author>
    <author>tc={4E5F6F8C-9C43-4B6B-B676-475100CD92B7}</author>
    <author>tc={2AE75273-83D8-48CB-80AF-E668D8CDCBF9}</author>
    <author>tc={90A5BEBF-84BA-40AD-BBCC-1750C2D8B853}</author>
    <author>tc={979F25FB-A9F0-4232-8EB6-1CA5E6DB4FF4}</author>
    <author>tc={FEDBCCF5-3EDB-47DB-94CE-3B656665BF84}</author>
    <author>tc={85514BBE-C909-4D0F-9F80-29F9FD3F8870}</author>
  </authors>
  <commentList>
    <comment ref="I3" authorId="0" shapeId="0" xr:uid="{5476E4F8-4ABA-4E40-B914-30893E6A3A88}">
      <text>
        <t>[Threaded comment]
Your version of Excel allows you to read this threaded comment; however, any edits to it will get removed if the file is opened in a newer version of Excel. Learn more: https://go.microsoft.com/fwlink/?linkid=870924
Comment:
    Visit started at 15:03 PM</t>
      </text>
    </comment>
    <comment ref="AK7" authorId="1" shapeId="0" xr:uid="{54DC2938-2A69-4573-A1CE-F5DBB18DDC1B}">
      <text>
        <t>[Threaded comment]
Your version of Excel allows you to read this threaded comment; however, any edits to it will get removed if the file is opened in a newer version of Excel. Learn more: https://go.microsoft.com/fwlink/?linkid=870924
Comment:
    Working start at 13:32 PM</t>
      </text>
    </comment>
    <comment ref="AL7" authorId="2" shapeId="0" xr:uid="{1C540761-5459-405F-A871-63347E9EB811}">
      <text>
        <t>[Threaded comment]
Your version of Excel allows you to read this threaded comment; however, any edits to it will get removed if the file is opened in a newer version of Excel. Learn more: https://go.microsoft.com/fwlink/?linkid=870924
Comment:
    No visit after 3 pm</t>
      </text>
    </comment>
    <comment ref="I9" authorId="3" shapeId="0" xr:uid="{5857AD59-6BFB-4C2C-B55F-052D1DD64320}">
      <text>
        <t>[Threaded comment]
Your version of Excel allows you to read this threaded comment; however, any edits to it will get removed if the file is opened in a newer version of Excel. Learn more: https://go.microsoft.com/fwlink/?linkid=870924
Comment:
    Visit started at 15:10 PM</t>
      </text>
    </comment>
    <comment ref="I10" authorId="4" shapeId="0" xr:uid="{BD323CD4-5A91-4145-9B3C-16C43CE2F7EA}">
      <text>
        <t>[Threaded comment]
Your version of Excel allows you to read this threaded comment; however, any edits to it will get removed if the file is opened in a newer version of Excel. Learn more: https://go.microsoft.com/fwlink/?linkid=870924
Comment:
    Visit started at 15:20 PM</t>
      </text>
    </comment>
    <comment ref="I11" authorId="5" shapeId="0" xr:uid="{A4128449-25F2-4C5E-A7CE-66138E4190C8}">
      <text>
        <t>[Threaded comment]
Your version of Excel allows you to read this threaded comment; however, any edits to it will get removed if the file is opened in a newer version of Excel. Learn more: https://go.microsoft.com/fwlink/?linkid=870924
Comment:
    Visit start at 15:24 PM</t>
      </text>
    </comment>
    <comment ref="AK15" authorId="6" shapeId="0" xr:uid="{62C05126-6B27-4645-AB9E-950363BB5394}">
      <text>
        <t>[Threaded comment]
Your version of Excel allows you to read this threaded comment; however, any edits to it will get removed if the file is opened in a newer version of Excel. Learn more: https://go.microsoft.com/fwlink/?linkid=870924
Comment:
    Working start at 13:04 PM</t>
      </text>
    </comment>
    <comment ref="AM16" authorId="7" shapeId="0" xr:uid="{2736EEF3-F72D-4292-B794-5CBA3240F3DD}">
      <text>
        <t xml:space="preserve">[Threaded comment]
Your version of Excel allows you to read this threaded comment; however, any edits to it will get removed if the file is opened in a newer version of Excel. Learn more: https://go.microsoft.com/fwlink/?linkid=870924
Comment:
    Just did the product trial at home </t>
      </text>
    </comment>
    <comment ref="AM20" authorId="8" shapeId="0" xr:uid="{6C6FBFF7-0F91-4753-9EE1-051F7F54DD7D}">
      <text>
        <t>[Threaded comment]
Your version of Excel allows you to read this threaded comment; however, any edits to it will get removed if the file is opened in a newer version of Excel. Learn more: https://go.microsoft.com/fwlink/?linkid=870924
Comment:
    No visit after 15:02 PM</t>
      </text>
    </comment>
    <comment ref="AK23" authorId="9" shapeId="0" xr:uid="{7A38F8C3-A716-434C-A8F3-724F27C1F0C9}">
      <text>
        <t>[Threaded comment]
Your version of Excel allows you to read this threaded comment; however, any edits to it will get removed if the file is opened in a newer version of Excel. Learn more: https://go.microsoft.com/fwlink/?linkid=870924
Comment:
    No visit after 12:40 PM</t>
      </text>
    </comment>
    <comment ref="AL28" authorId="10" shapeId="0" xr:uid="{E4702061-B50E-4B0C-8577-0B6DAA5F6E22}">
      <text>
        <t>[Threaded comment]
Your version of Excel allows you to read this threaded comment; however, any edits to it will get removed if the file is opened in a newer version of Excel. Learn more: https://go.microsoft.com/fwlink/?linkid=870924
Comment:
    No visist after 14:44 PM</t>
      </text>
    </comment>
    <comment ref="AM28" authorId="11" shapeId="0" xr:uid="{E146343B-8E05-4E43-B5CF-F6F451EC7383}">
      <text>
        <t>[Threaded comment]
Your version of Excel allows you to read this threaded comment; however, any edits to it will get removed if the file is opened in a newer version of Excel. Learn more: https://go.microsoft.com/fwlink/?linkid=870924
Comment:
    visit started at 15:02 PM</t>
      </text>
    </comment>
    <comment ref="AM29" authorId="12" shapeId="0" xr:uid="{DC9F4F23-231D-4053-9B1E-2D04C0FC0CAA}">
      <text>
        <t>[Threaded comment]
Your version of Excel allows you to read this threaded comment; however, any edits to it will get removed if the file is opened in a newer version of Excel. Learn more: https://go.microsoft.com/fwlink/?linkid=870924
Comment:
    No visit is marked</t>
      </text>
    </comment>
    <comment ref="AJ32" authorId="13" shapeId="0" xr:uid="{D8782443-1870-48CA-84B3-FA2C044570B7}">
      <text>
        <t>[Threaded comment]
Your version of Excel allows you to read this threaded comment; however, any edits to it will get removed if the file is opened in a newer version of Excel. Learn more: https://go.microsoft.com/fwlink/?linkid=870924
Comment:
    Single visit at 17:34 PM</t>
      </text>
    </comment>
    <comment ref="AK32" authorId="14" shapeId="0" xr:uid="{3C80321E-8269-493D-B43C-05BFB62D9006}">
      <text>
        <t>[Threaded comment]
Your version of Excel allows you to read this threaded comment; however, any edits to it will get removed if the file is opened in a newer version of Excel. Learn more: https://go.microsoft.com/fwlink/?linkid=870924
Comment:
    Single visit at 16:02 PM</t>
      </text>
    </comment>
    <comment ref="I36" authorId="15" shapeId="0" xr:uid="{88F6DC55-C9F2-4351-AEAF-1845383E9DE6}">
      <text>
        <t>[Threaded comment]
Your version of Excel allows you to read this threaded comment; however, any edits to it will get removed if the file is opened in a newer version of Excel. Learn more: https://go.microsoft.com/fwlink/?linkid=870924
Comment:
    Work started at 15:54 PM</t>
      </text>
    </comment>
    <comment ref="AL36" authorId="16" shapeId="0" xr:uid="{1C9FEFF0-7C86-4055-94F1-3440A9F33E55}">
      <text>
        <t>[Threaded comment]
Your version of Excel allows you to read this threaded comment; however, any edits to it will get removed if the file is opened in a newer version of Excel. Learn more: https://go.microsoft.com/fwlink/?linkid=870924
Comment:
    Working start at 14:42 PM</t>
      </text>
    </comment>
    <comment ref="AM41" authorId="17" shapeId="0" xr:uid="{4A222679-67CD-47E8-8567-4EDF737158C4}">
      <text>
        <t>[Threaded comment]
Your version of Excel allows you to read this threaded comment; however, any edits to it will get removed if the file is opened in a newer version of Excel. Learn more: https://go.microsoft.com/fwlink/?linkid=870924
Comment:
    No visit after 15:29 PM</t>
      </text>
    </comment>
    <comment ref="AL43" authorId="18" shapeId="0" xr:uid="{C186BD95-DBC8-4866-A327-4799B87AAB45}">
      <text>
        <t>[Threaded comment]
Your version of Excel allows you to read this threaded comment; however, any edits to it will get removed if the file is opened in a newer version of Excel. Learn more: https://go.microsoft.com/fwlink/?linkid=870924
Comment:
    No visit after 14:28 PM</t>
      </text>
    </comment>
    <comment ref="AI47" authorId="19" shapeId="0" xr:uid="{734040D0-3532-4740-9378-D44D8A49F510}">
      <text>
        <t>[Threaded comment]
Your version of Excel allows you to read this threaded comment; however, any edits to it will get removed if the file is opened in a newer version of Excel. Learn more: https://go.microsoft.com/fwlink/?linkid=870924
Comment:
    No visit after 15:38 PM</t>
      </text>
    </comment>
    <comment ref="I48" authorId="20" shapeId="0" xr:uid="{27E4D391-9BFD-4B0B-BD18-220DA31673B6}">
      <text>
        <t>[Threaded comment]
Your version of Excel allows you to read this threaded comment; however, any edits to it will get removed if the file is opened in a newer version of Excel. Learn more: https://go.microsoft.com/fwlink/?linkid=870924
Comment:
    Started at 12:19 PM Ended work at 16:07 PM</t>
      </text>
    </comment>
    <comment ref="AK48" authorId="21" shapeId="0" xr:uid="{34A3A557-E90F-448E-A46A-1AF037DB64D1}">
      <text>
        <t>[Threaded comment]
Your version of Excel allows you to read this threaded comment; however, any edits to it will get removed if the file is opened in a newer version of Excel. Learn more: https://go.microsoft.com/fwlink/?linkid=870924
Comment:
    No visit after 15:26 PM- Raining</t>
      </text>
    </comment>
    <comment ref="I49" authorId="22" shapeId="0" xr:uid="{827149EC-366E-4B51-A295-8292546E1849}">
      <text>
        <t>[Threaded comment]
Your version of Excel allows you to read this threaded comment; however, any edits to it will get removed if the file is opened in a newer version of Excel. Learn more: https://go.microsoft.com/fwlink/?linkid=870924
Comment:
    Started work at 11:51 AM ended work at 16:04 PM</t>
      </text>
    </comment>
    <comment ref="AK54" authorId="23" shapeId="0" xr:uid="{4E5F6F8C-9C43-4B6B-B676-475100CD92B7}">
      <text>
        <t>[Threaded comment]
Your version of Excel allows you to read this threaded comment; however, any edits to it will get removed if the file is opened in a newer version of Excel. Learn more: https://go.microsoft.com/fwlink/?linkid=870924
Comment:
    Single visit till 12:14:02 PM</t>
      </text>
    </comment>
    <comment ref="AK55" authorId="24" shapeId="0" xr:uid="{2AE75273-83D8-48CB-80AF-E668D8CDCBF9}">
      <text>
        <t>[Threaded comment]
Your version of Excel allows you to read this threaded comment; however, any edits to it will get removed if the file is opened in a newer version of Excel. Learn more: https://go.microsoft.com/fwlink/?linkid=870924
Comment:
    No visit after 12:58 PM , as per the rohit sir order marked absent</t>
      </text>
    </comment>
    <comment ref="I58" authorId="25" shapeId="0" xr:uid="{90A5BEBF-84BA-40AD-BBCC-1750C2D8B853}">
      <text>
        <t>[Threaded comment]
Your version of Excel allows you to read this threaded comment; however, any edits to it will get removed if the file is opened in a newer version of Excel. Learn more: https://go.microsoft.com/fwlink/?linkid=870924
Comment:
    Last working at 15:54 PM</t>
      </text>
    </comment>
    <comment ref="AI59" authorId="26" shapeId="0" xr:uid="{979F25FB-A9F0-4232-8EB6-1CA5E6DB4FF4}">
      <text>
        <t>[Threaded comment]
Your version of Excel allows you to read this threaded comment; however, any edits to it will get removed if the file is opened in a newer version of Excel. Learn more: https://go.microsoft.com/fwlink/?linkid=870924
Comment:
    Last working till 13:31 PM</t>
      </text>
    </comment>
    <comment ref="AJ60" authorId="27" shapeId="0" xr:uid="{FEDBCCF5-3EDB-47DB-94CE-3B656665BF84}">
      <text>
        <t>[Threaded comment]
Your version of Excel allows you to read this threaded comment; however, any edits to it will get removed if the file is opened in a newer version of Excel. Learn more: https://go.microsoft.com/fwlink/?linkid=870924
Comment:
    Working start at 14:03 PM</t>
      </text>
    </comment>
    <comment ref="AJ64" authorId="28" shapeId="0" xr:uid="{85514BBE-C909-4D0F-9F80-29F9FD3F8870}">
      <text>
        <t>[Threaded comment]
Your version of Excel allows you to read this threaded comment; however, any edits to it will get removed if the file is opened in a newer version of Excel. Learn more: https://go.microsoft.com/fwlink/?linkid=870924
Comment:
    Working start at 13:42 PM</t>
      </text>
    </comment>
  </commentList>
</comments>
</file>

<file path=xl/sharedStrings.xml><?xml version="1.0" encoding="utf-8"?>
<sst xmlns="http://schemas.openxmlformats.org/spreadsheetml/2006/main" count="41813" uniqueCount="536">
  <si>
    <t>sr. no.</t>
  </si>
  <si>
    <t>Name</t>
  </si>
  <si>
    <t>Total Leaves</t>
  </si>
  <si>
    <t>Paid</t>
  </si>
  <si>
    <t>unpaid</t>
  </si>
  <si>
    <t>Aastha Yadav</t>
  </si>
  <si>
    <t>Abhinav S. Bahadure</t>
  </si>
  <si>
    <t>Ajay Gupta</t>
  </si>
  <si>
    <t>Ajay Mishra</t>
  </si>
  <si>
    <t>Amit Kashyap</t>
  </si>
  <si>
    <t>Anita Chandel</t>
  </si>
  <si>
    <t>Anju Sharma</t>
  </si>
  <si>
    <t>Anshu Mishra</t>
  </si>
  <si>
    <t>Chamta Kesarwani</t>
  </si>
  <si>
    <t>Chanchal Kataria</t>
  </si>
  <si>
    <t>Deepa B</t>
  </si>
  <si>
    <t>Devi Thapa</t>
  </si>
  <si>
    <t>Devitha</t>
  </si>
  <si>
    <t>Devkaran Bhudharjibhai Sagathiya</t>
  </si>
  <si>
    <t>Divya Kushwaha</t>
  </si>
  <si>
    <t>Geeta S Narayane</t>
  </si>
  <si>
    <t>Harsh Atal</t>
  </si>
  <si>
    <t>Hirak Jyoti Barman</t>
  </si>
  <si>
    <t>Jyanthi.R</t>
  </si>
  <si>
    <t>K. Raghupathi</t>
  </si>
  <si>
    <t>Kallol Sarkar</t>
  </si>
  <si>
    <t>Karthikan S</t>
  </si>
  <si>
    <t>Keerti Santosh Bagade</t>
  </si>
  <si>
    <t>Kiran Kumar Patel</t>
  </si>
  <si>
    <t>Korrayya Siva Kumar</t>
  </si>
  <si>
    <t>M Raju</t>
  </si>
  <si>
    <t>Mandeep Singh</t>
  </si>
  <si>
    <t>Manisha Ganesh Dagla</t>
  </si>
  <si>
    <t>Manohar.B. Bannigol</t>
  </si>
  <si>
    <t>Mehsara Sikandar Mahimkar</t>
  </si>
  <si>
    <t>Mohammad Naseema</t>
  </si>
  <si>
    <t>Mounika Kaithala</t>
  </si>
  <si>
    <t>Muhammed Ashique T S</t>
  </si>
  <si>
    <t>Nisha Bhatia</t>
  </si>
  <si>
    <t>Niva Rajbongshi</t>
  </si>
  <si>
    <t>Payal Das</t>
  </si>
  <si>
    <t>Pooja S</t>
  </si>
  <si>
    <t>R Anandakumar</t>
  </si>
  <si>
    <t>Rachna Joshi</t>
  </si>
  <si>
    <t>Rajan Thakur</t>
  </si>
  <si>
    <t>Rajesh Chennupati</t>
  </si>
  <si>
    <t>Ritu Ghosh</t>
  </si>
  <si>
    <t>Roshan Dinesh</t>
  </si>
  <si>
    <t>Sabina Mathew</t>
  </si>
  <si>
    <t>Sakthish S</t>
  </si>
  <si>
    <t>Santoshi Maruti Kadam</t>
  </si>
  <si>
    <t>Sensi Namratha</t>
  </si>
  <si>
    <t>Shariq Khan</t>
  </si>
  <si>
    <t>Sharon Stephen</t>
  </si>
  <si>
    <t>Simple Khanna</t>
  </si>
  <si>
    <t>Sonia S</t>
  </si>
  <si>
    <t>Sudha Yadav</t>
  </si>
  <si>
    <t>Suneyna Gavshinde</t>
  </si>
  <si>
    <t>Swati Pramod Belsare</t>
  </si>
  <si>
    <t>Tanisha Hans</t>
  </si>
  <si>
    <t>V.Sowbhagyavathi</t>
  </si>
  <si>
    <t>Vipins P S</t>
  </si>
  <si>
    <t>Vishakha V.Sawant.</t>
  </si>
  <si>
    <t>Yogita Bhavesh Shimpi</t>
  </si>
  <si>
    <t>S.N0.</t>
  </si>
  <si>
    <t>Names</t>
  </si>
  <si>
    <t>PAID</t>
  </si>
  <si>
    <t>UNPAID</t>
  </si>
  <si>
    <t>Absent</t>
  </si>
  <si>
    <t>P</t>
  </si>
  <si>
    <t>p</t>
  </si>
  <si>
    <t>OC</t>
  </si>
  <si>
    <t>AB</t>
  </si>
  <si>
    <t>H.D</t>
  </si>
  <si>
    <t>S.L</t>
  </si>
  <si>
    <t>Devkaran Sagathiya</t>
  </si>
  <si>
    <t>OR</t>
  </si>
  <si>
    <t xml:space="preserve">Mehsara Sikandar </t>
  </si>
  <si>
    <t>WFH</t>
  </si>
  <si>
    <t>Rajesh Chennupati -OR</t>
  </si>
  <si>
    <t xml:space="preserve">Suprit </t>
  </si>
  <si>
    <t>Tanisha Hans -OR</t>
  </si>
  <si>
    <t>Yogita Bhavesh Shimpi-OR</t>
  </si>
  <si>
    <t xml:space="preserve">ABBREVIATION - </t>
  </si>
  <si>
    <t>H.D. = Half day</t>
  </si>
  <si>
    <t>AB = Absent</t>
  </si>
  <si>
    <t>S.L = Short Leave</t>
  </si>
  <si>
    <t>OR = Off role</t>
  </si>
  <si>
    <t>OC = Occasion</t>
  </si>
  <si>
    <t>27th feb pay -Keerti</t>
  </si>
  <si>
    <t>paid days</t>
  </si>
  <si>
    <t>SUNDAY</t>
  </si>
  <si>
    <t>S.L.</t>
  </si>
  <si>
    <r>
      <rPr>
        <sz val="11"/>
        <color rgb="FF00B050"/>
        <rFont val="Calibri"/>
        <family val="2"/>
        <scheme val="minor"/>
      </rPr>
      <t>H.D.(</t>
    </r>
    <r>
      <rPr>
        <sz val="11"/>
        <color rgb="FFFF0000"/>
        <rFont val="Calibri"/>
        <family val="2"/>
        <scheme val="minor"/>
      </rPr>
      <t>-DA</t>
    </r>
    <r>
      <rPr>
        <sz val="11"/>
        <color rgb="FF00B050"/>
        <rFont val="Calibri"/>
        <family val="2"/>
        <scheme val="minor"/>
      </rPr>
      <t>)</t>
    </r>
  </si>
  <si>
    <t>H.D.</t>
  </si>
  <si>
    <t>Babu</t>
  </si>
  <si>
    <r>
      <rPr>
        <sz val="11"/>
        <color rgb="FF000000"/>
        <rFont val="Calibri"/>
        <family val="2"/>
        <scheme val="minor"/>
      </rPr>
      <t xml:space="preserve">P </t>
    </r>
    <r>
      <rPr>
        <sz val="11"/>
        <color rgb="FFFF0000"/>
        <rFont val="Calibri"/>
        <family val="2"/>
        <scheme val="minor"/>
      </rPr>
      <t>( -DA)</t>
    </r>
  </si>
  <si>
    <t>Hemant</t>
  </si>
  <si>
    <t xml:space="preserve">Manubhai </t>
  </si>
  <si>
    <t>Mohammad Asif</t>
  </si>
  <si>
    <t>Muhammed Ashique T S- OR</t>
  </si>
  <si>
    <t>Parav</t>
  </si>
  <si>
    <t>Rumki Das</t>
  </si>
  <si>
    <t>A B</t>
  </si>
  <si>
    <t xml:space="preserve">Sasidhar </t>
  </si>
  <si>
    <t>Sumana Gupta</t>
  </si>
  <si>
    <t>Vijay Jha</t>
  </si>
  <si>
    <t>paid</t>
  </si>
  <si>
    <t>Sunday</t>
  </si>
  <si>
    <t>Amit Kashyap- OR</t>
  </si>
  <si>
    <r>
      <rPr>
        <sz val="11"/>
        <color rgb="FF000000"/>
        <rFont val="Calibri"/>
        <family val="2"/>
        <scheme val="minor"/>
      </rPr>
      <t>P</t>
    </r>
    <r>
      <rPr>
        <sz val="11"/>
        <color rgb="FFFF0000"/>
        <rFont val="Calibri"/>
        <family val="2"/>
        <scheme val="minor"/>
      </rPr>
      <t>(-TA)</t>
    </r>
  </si>
  <si>
    <t>CL</t>
  </si>
  <si>
    <r>
      <rPr>
        <sz val="11"/>
        <color rgb="FF00B050"/>
        <rFont val="Calibri"/>
        <family val="2"/>
        <scheme val="minor"/>
      </rPr>
      <t>H.D.</t>
    </r>
    <r>
      <rPr>
        <sz val="11"/>
        <color rgb="FFFF0000"/>
        <rFont val="Calibri"/>
        <family val="2"/>
        <scheme val="minor"/>
      </rPr>
      <t>(-TA)</t>
    </r>
  </si>
  <si>
    <r>
      <rPr>
        <sz val="11"/>
        <color rgb="FF00B050"/>
        <rFont val="Calibri"/>
        <family val="2"/>
        <scheme val="minor"/>
      </rPr>
      <t>H.D</t>
    </r>
    <r>
      <rPr>
        <sz val="11"/>
        <color rgb="FFFF0000"/>
        <rFont val="Calibri"/>
        <family val="2"/>
        <scheme val="minor"/>
      </rPr>
      <t>.(-TA)</t>
    </r>
  </si>
  <si>
    <t>Kalashikam Ramesh</t>
  </si>
  <si>
    <t>Kallol Sarkar-OR</t>
  </si>
  <si>
    <t xml:space="preserve">khema parihar </t>
  </si>
  <si>
    <t>Manubhai -OR</t>
  </si>
  <si>
    <t>Mohammed Asif</t>
  </si>
  <si>
    <t>Rumki Das-OR</t>
  </si>
  <si>
    <t>Sensi Namratha-OR</t>
  </si>
  <si>
    <r>
      <rPr>
        <sz val="11"/>
        <color rgb="FF000000"/>
        <rFont val="Calibri"/>
        <family val="2"/>
        <scheme val="minor"/>
      </rPr>
      <t>P</t>
    </r>
    <r>
      <rPr>
        <sz val="11"/>
        <color rgb="FFFF0000"/>
        <rFont val="Calibri"/>
        <family val="2"/>
        <scheme val="minor"/>
      </rPr>
      <t>(-DA)</t>
    </r>
  </si>
  <si>
    <t>Sudha Yadav- OR</t>
  </si>
  <si>
    <t>Sumana Gupta-OR</t>
  </si>
  <si>
    <t>Vijay Jha-OR</t>
  </si>
  <si>
    <t>ABBREVIATION -</t>
  </si>
  <si>
    <t>CL -Company Leave</t>
  </si>
  <si>
    <t>S.L. - Short Leave</t>
  </si>
  <si>
    <t xml:space="preserve">WFH - Work from home </t>
  </si>
  <si>
    <t xml:space="preserve">OC - Occassion </t>
  </si>
  <si>
    <t xml:space="preserve">AB - Absent </t>
  </si>
  <si>
    <t>OR - Off-role</t>
  </si>
  <si>
    <t>H.D. - Half-day</t>
  </si>
  <si>
    <t>UP</t>
  </si>
  <si>
    <t>Aastha Yadav- OR</t>
  </si>
  <si>
    <t>Anita Chandel- OR</t>
  </si>
  <si>
    <t>Ansh kumar</t>
  </si>
  <si>
    <t>Arti Mishra</t>
  </si>
  <si>
    <t>Deep Jyoti Das</t>
  </si>
  <si>
    <t>Deepa B- OR</t>
  </si>
  <si>
    <t>Jayanthi.R</t>
  </si>
  <si>
    <t>khema parihar - OR</t>
  </si>
  <si>
    <t xml:space="preserve">Manjit Kaur </t>
  </si>
  <si>
    <t>Murali.M</t>
  </si>
  <si>
    <t>Ritu Ghosh-OR</t>
  </si>
  <si>
    <t>Shailja Sharma- OR</t>
  </si>
  <si>
    <t>Sneha</t>
  </si>
  <si>
    <t>Sunil</t>
  </si>
  <si>
    <t>PL</t>
  </si>
  <si>
    <t>UPL</t>
  </si>
  <si>
    <t>Ansh kumar- OR</t>
  </si>
  <si>
    <r>
      <rPr>
        <sz val="11"/>
        <color rgb="FF000000"/>
        <rFont val="Calibri"/>
        <family val="2"/>
      </rPr>
      <t>P</t>
    </r>
    <r>
      <rPr>
        <sz val="11"/>
        <color rgb="FFFF0000"/>
        <rFont val="Calibri"/>
        <family val="2"/>
      </rPr>
      <t>(-DA)</t>
    </r>
  </si>
  <si>
    <t xml:space="preserve">Bhuvaneswari -OR </t>
  </si>
  <si>
    <t>Deep Jyoti Das- OR</t>
  </si>
  <si>
    <t>Deepak</t>
  </si>
  <si>
    <t xml:space="preserve">Don Sebastian </t>
  </si>
  <si>
    <t>Harsh Atal-OR</t>
  </si>
  <si>
    <r>
      <rPr>
        <sz val="11"/>
        <color rgb="FF000000"/>
        <rFont val="Calibri"/>
        <family val="2"/>
        <scheme val="minor"/>
      </rPr>
      <t>P</t>
    </r>
    <r>
      <rPr>
        <sz val="11"/>
        <color rgb="FFFF0000"/>
        <rFont val="Calibri"/>
        <family val="2"/>
        <scheme val="minor"/>
      </rPr>
      <t>(1\2DA)</t>
    </r>
  </si>
  <si>
    <t>Mahendra Kumar Saroj</t>
  </si>
  <si>
    <t>Mehsara Sikandar - OR</t>
  </si>
  <si>
    <t>Prakhar Tanwar-OR</t>
  </si>
  <si>
    <t>R Roja</t>
  </si>
  <si>
    <t>Shobha Ranadive</t>
  </si>
  <si>
    <t>Sneha-OR</t>
  </si>
  <si>
    <t>Sumita Dave-OR</t>
  </si>
  <si>
    <r>
      <rPr>
        <sz val="11"/>
        <color rgb="FF000000"/>
        <rFont val="Calibri"/>
        <family val="2"/>
      </rPr>
      <t>P</t>
    </r>
    <r>
      <rPr>
        <sz val="11"/>
        <color rgb="FFFF0000"/>
        <rFont val="Calibri"/>
        <family val="2"/>
      </rPr>
      <t>(1\2DA)</t>
    </r>
  </si>
  <si>
    <r>
      <rPr>
        <sz val="11"/>
        <color rgb="FF000000"/>
        <rFont val="Calibri"/>
        <family val="2"/>
      </rPr>
      <t>P</t>
    </r>
    <r>
      <rPr>
        <sz val="11"/>
        <color rgb="FFFF0000"/>
        <rFont val="Calibri"/>
        <family val="2"/>
      </rPr>
      <t>(1</t>
    </r>
    <r>
      <rPr>
        <b/>
        <sz val="11"/>
        <color rgb="FFFF0000"/>
        <rFont val="Calibri"/>
        <family val="2"/>
      </rPr>
      <t>\2D</t>
    </r>
    <r>
      <rPr>
        <sz val="11"/>
        <color rgb="FFFF0000"/>
        <rFont val="Calibri"/>
        <family val="2"/>
      </rPr>
      <t>A)</t>
    </r>
  </si>
  <si>
    <t>P(-DA)</t>
  </si>
  <si>
    <r>
      <rPr>
        <sz val="11"/>
        <color rgb="FF000000"/>
        <rFont val="Calibri"/>
        <family val="2"/>
        <scheme val="minor"/>
      </rPr>
      <t>P</t>
    </r>
    <r>
      <rPr>
        <sz val="10"/>
        <color rgb="FFFF0000"/>
        <rFont val="Calibri"/>
        <family val="2"/>
        <scheme val="minor"/>
      </rPr>
      <t>(1\2DA)</t>
    </r>
  </si>
  <si>
    <r>
      <rPr>
        <sz val="11"/>
        <color rgb="FF000000"/>
        <rFont val="Calibri"/>
        <family val="2"/>
        <scheme val="minor"/>
      </rPr>
      <t>P(</t>
    </r>
    <r>
      <rPr>
        <sz val="11"/>
        <color rgb="FFFF0000"/>
        <rFont val="Calibri"/>
        <family val="2"/>
        <scheme val="minor"/>
      </rPr>
      <t>1\2DA)</t>
    </r>
  </si>
  <si>
    <t>Vinay Kumar Bangar-OR</t>
  </si>
  <si>
    <t>Viswam R</t>
  </si>
  <si>
    <t>Total leave</t>
  </si>
  <si>
    <t xml:space="preserve">paid </t>
  </si>
  <si>
    <t>Unpaid</t>
  </si>
  <si>
    <t>C.L.</t>
  </si>
  <si>
    <r>
      <rPr>
        <sz val="11"/>
        <color rgb="FF000000"/>
        <rFont val="Calibri"/>
        <family val="2"/>
        <scheme val="minor"/>
      </rPr>
      <t>P(</t>
    </r>
    <r>
      <rPr>
        <sz val="11"/>
        <color rgb="FFFF0000"/>
        <rFont val="Calibri"/>
        <family val="2"/>
        <scheme val="minor"/>
      </rPr>
      <t>1/2DA</t>
    </r>
    <r>
      <rPr>
        <sz val="11"/>
        <color rgb="FF000000"/>
        <rFont val="Calibri"/>
        <family val="2"/>
        <scheme val="minor"/>
      </rPr>
      <t>)</t>
    </r>
  </si>
  <si>
    <t>Chottu Debnath</t>
  </si>
  <si>
    <r>
      <rPr>
        <sz val="11"/>
        <color rgb="FF000000"/>
        <rFont val="Calibri"/>
        <family val="2"/>
        <scheme val="minor"/>
      </rPr>
      <t>P</t>
    </r>
    <r>
      <rPr>
        <sz val="11"/>
        <color rgb="FFFF0000"/>
        <rFont val="Calibri"/>
        <family val="2"/>
        <scheme val="minor"/>
      </rPr>
      <t>(1/2DA)</t>
    </r>
  </si>
  <si>
    <t xml:space="preserve"> Ishan Bhadauria</t>
  </si>
  <si>
    <t>l0</t>
  </si>
  <si>
    <t>Koushik Kar</t>
  </si>
  <si>
    <t>Loyla</t>
  </si>
  <si>
    <t>Madan Mohan</t>
  </si>
  <si>
    <t>Meena</t>
  </si>
  <si>
    <t>Salma Sulthana</t>
  </si>
  <si>
    <t>Selvi S</t>
  </si>
  <si>
    <t>Sharanya.R</t>
  </si>
  <si>
    <t>Sunil- OR</t>
  </si>
  <si>
    <t>Tanuj Rajput</t>
  </si>
  <si>
    <t>Vignesh</t>
  </si>
  <si>
    <t xml:space="preserve">Mahendra-process 2,6 &amp;26July salary                                      Shobha </t>
  </si>
  <si>
    <r>
      <rPr>
        <sz val="11"/>
        <color rgb="FF000000"/>
        <rFont val="Calibri"/>
        <family val="2"/>
        <scheme val="minor"/>
      </rPr>
      <t xml:space="preserve">P </t>
    </r>
    <r>
      <rPr>
        <sz val="11"/>
        <color rgb="FFFF0000"/>
        <rFont val="Calibri"/>
        <family val="2"/>
        <scheme val="minor"/>
      </rPr>
      <t>(-DA)</t>
    </r>
  </si>
  <si>
    <t>Anita</t>
  </si>
  <si>
    <t>Chetan Sharma</t>
  </si>
  <si>
    <t xml:space="preserve">AB </t>
  </si>
  <si>
    <t>Deepika Sharma - OR</t>
  </si>
  <si>
    <t>C.O.</t>
  </si>
  <si>
    <t>K. Raghupathi- OR</t>
  </si>
  <si>
    <t>Leave</t>
  </si>
  <si>
    <r>
      <rPr>
        <sz val="11"/>
        <color rgb="FF000000"/>
        <rFont val="Calibri"/>
        <family val="2"/>
      </rPr>
      <t>P</t>
    </r>
    <r>
      <rPr>
        <sz val="11"/>
        <color rgb="FFFF0000"/>
        <rFont val="Calibri"/>
        <family val="2"/>
      </rPr>
      <t>(1/2DA)</t>
    </r>
  </si>
  <si>
    <r>
      <rPr>
        <sz val="11"/>
        <color rgb="FF000000"/>
        <rFont val="Calibri"/>
        <family val="2"/>
        <scheme val="minor"/>
      </rPr>
      <t>P</t>
    </r>
    <r>
      <rPr>
        <sz val="11"/>
        <color rgb="FFFF0000"/>
        <rFont val="Calibri"/>
        <family val="2"/>
        <scheme val="minor"/>
      </rPr>
      <t>(-1\2 DA)</t>
    </r>
  </si>
  <si>
    <t>Mahendra Kumar Saroj-OR</t>
  </si>
  <si>
    <t>Saleen shaikh</t>
  </si>
  <si>
    <t>Simran Meghwal</t>
  </si>
  <si>
    <t>Vishal Sharma</t>
  </si>
  <si>
    <t>C.O. - Comp off</t>
  </si>
  <si>
    <t>HD</t>
  </si>
  <si>
    <t>Geeta S Narayane- OR</t>
  </si>
  <si>
    <t>Mehsara Sikandar -OR</t>
  </si>
  <si>
    <t>Neelu</t>
  </si>
  <si>
    <t xml:space="preserve">Shikha </t>
  </si>
  <si>
    <t>Vignesh -OR</t>
  </si>
  <si>
    <t>Yash</t>
  </si>
  <si>
    <t>Rakesh</t>
  </si>
  <si>
    <t>Peali</t>
  </si>
  <si>
    <t>Sahil Preet singh</t>
  </si>
  <si>
    <t>Subhan</t>
  </si>
  <si>
    <t>Nilofer sayed</t>
  </si>
  <si>
    <t>Devkaran</t>
  </si>
  <si>
    <t>Monday</t>
  </si>
  <si>
    <t>Honey</t>
  </si>
  <si>
    <t>Jerin Rajan Mathew</t>
  </si>
  <si>
    <t>Monika Verma</t>
  </si>
  <si>
    <t>C.O</t>
  </si>
  <si>
    <t>Neelu Soni</t>
  </si>
  <si>
    <t>Nilofer Sayed</t>
  </si>
  <si>
    <t>Peali Bepari</t>
  </si>
  <si>
    <t>Rajwinder kaur</t>
  </si>
  <si>
    <t>Rakesh Kumar P. Mishra</t>
  </si>
  <si>
    <t>Rakhi Mallick</t>
  </si>
  <si>
    <t>Sanjog Shinde</t>
  </si>
  <si>
    <t>Shabhaaz khan</t>
  </si>
  <si>
    <t>Shaik abdul Subhan</t>
  </si>
  <si>
    <t>Sunita Rai</t>
  </si>
  <si>
    <t>Sushmita</t>
  </si>
  <si>
    <t>OFF ROLL</t>
  </si>
  <si>
    <t>Bhupinder kaur</t>
  </si>
  <si>
    <t>Gourav Sharma</t>
  </si>
  <si>
    <t>Mousumi Sarkar</t>
  </si>
  <si>
    <t>Nilofer Sayed OR</t>
  </si>
  <si>
    <t>Priyanka Shinde</t>
  </si>
  <si>
    <t>Ritu OR</t>
  </si>
  <si>
    <t>Sabina Mathew OR</t>
  </si>
  <si>
    <t>Sanyog Shinde</t>
  </si>
  <si>
    <t>Shravan Samai</t>
  </si>
  <si>
    <t>Shilpa KM</t>
  </si>
  <si>
    <t>Susmita</t>
  </si>
  <si>
    <t>Ujjawal Kumar Pandey</t>
  </si>
  <si>
    <t>Abhishek Paul</t>
  </si>
  <si>
    <r>
      <rPr>
        <sz val="11"/>
        <color rgb="FF000000"/>
        <rFont val="Calibri"/>
        <family val="2"/>
        <scheme val="minor"/>
      </rPr>
      <t>P(</t>
    </r>
    <r>
      <rPr>
        <sz val="11"/>
        <color rgb="FFFF0000"/>
        <rFont val="Calibri"/>
        <family val="2"/>
        <scheme val="minor"/>
      </rPr>
      <t>1\2DA</t>
    </r>
    <r>
      <rPr>
        <sz val="11"/>
        <color rgb="FF000000"/>
        <rFont val="Calibri"/>
        <family val="2"/>
        <scheme val="minor"/>
      </rPr>
      <t>)</t>
    </r>
  </si>
  <si>
    <r>
      <rPr>
        <sz val="11"/>
        <color rgb="FF000000"/>
        <rFont val="Calibri"/>
        <family val="2"/>
      </rPr>
      <t>P(</t>
    </r>
    <r>
      <rPr>
        <sz val="11"/>
        <color rgb="FFFF0000"/>
        <rFont val="Calibri"/>
        <family val="2"/>
      </rPr>
      <t>1\2DA</t>
    </r>
    <r>
      <rPr>
        <sz val="11"/>
        <color rgb="FF000000"/>
        <rFont val="Calibri"/>
        <family val="2"/>
      </rPr>
      <t>)</t>
    </r>
  </si>
  <si>
    <t>Gajendra Shakywal</t>
  </si>
  <si>
    <t>Kalpana Sonone</t>
  </si>
  <si>
    <r>
      <rPr>
        <sz val="11"/>
        <color rgb="FF000000"/>
        <rFont val="Calibri"/>
        <family val="2"/>
      </rPr>
      <t>P(</t>
    </r>
    <r>
      <rPr>
        <sz val="11"/>
        <color rgb="FFFF0000"/>
        <rFont val="Calibri"/>
        <family val="2"/>
      </rPr>
      <t>-DA</t>
    </r>
    <r>
      <rPr>
        <sz val="11"/>
        <color rgb="FF000000"/>
        <rFont val="Calibri"/>
        <family val="2"/>
      </rPr>
      <t>)</t>
    </r>
  </si>
  <si>
    <t xml:space="preserve">Neha Singh </t>
  </si>
  <si>
    <t xml:space="preserve">Pathan Yasmin Nasir </t>
  </si>
  <si>
    <t>Rakesh Kumar Mishra</t>
  </si>
  <si>
    <t>LOP</t>
  </si>
  <si>
    <t>Sharanya.R OR</t>
  </si>
  <si>
    <t xml:space="preserve">Vivek Shikha </t>
  </si>
  <si>
    <t>Simran Meghwal OR</t>
  </si>
  <si>
    <t>CF</t>
  </si>
  <si>
    <t xml:space="preserve">Tapre Veena Shailesh </t>
  </si>
  <si>
    <t>Viswam R OR</t>
  </si>
  <si>
    <t xml:space="preserve">Abhishek Gajanan </t>
  </si>
  <si>
    <t>Abhinandan Mehra</t>
  </si>
  <si>
    <t>SL</t>
  </si>
  <si>
    <r>
      <rPr>
        <sz val="11"/>
        <color rgb="FF000000"/>
        <rFont val="Calibri"/>
        <family val="2"/>
        <scheme val="minor"/>
      </rPr>
      <t>P(</t>
    </r>
    <r>
      <rPr>
        <sz val="11"/>
        <color rgb="FFFF0000"/>
        <rFont val="Calibri"/>
        <family val="2"/>
        <scheme val="minor"/>
      </rPr>
      <t>-DA)</t>
    </r>
  </si>
  <si>
    <t>Manisha Satish Patil- OR</t>
  </si>
  <si>
    <r>
      <rPr>
        <sz val="11"/>
        <color rgb="FF000000"/>
        <rFont val="Calibri"/>
        <family val="2"/>
      </rPr>
      <t>P</t>
    </r>
    <r>
      <rPr>
        <sz val="11"/>
        <color rgb="FFFF0000"/>
        <rFont val="Calibri"/>
        <family val="2"/>
      </rPr>
      <t>(-TDA)</t>
    </r>
  </si>
  <si>
    <t>Meghna Khosla</t>
  </si>
  <si>
    <t>Neelu Soni-OR</t>
  </si>
  <si>
    <t>Shravan Samai OR</t>
  </si>
  <si>
    <t>Sherin K A</t>
  </si>
  <si>
    <t xml:space="preserve">som singh </t>
  </si>
  <si>
    <r>
      <rPr>
        <sz val="11"/>
        <color rgb="FF000000"/>
        <rFont val="Calibri"/>
        <family val="2"/>
        <scheme val="minor"/>
      </rPr>
      <t>P(</t>
    </r>
    <r>
      <rPr>
        <sz val="11"/>
        <color rgb="FFFF0000"/>
        <rFont val="Calibri"/>
        <family val="2"/>
        <scheme val="minor"/>
      </rPr>
      <t>1\2TA)</t>
    </r>
  </si>
  <si>
    <t>Susmita OR</t>
  </si>
  <si>
    <t>State</t>
  </si>
  <si>
    <t>Leaves</t>
  </si>
  <si>
    <t>Holiday</t>
  </si>
  <si>
    <t>Half Day</t>
  </si>
  <si>
    <t>CO</t>
  </si>
  <si>
    <t>Short Leave</t>
  </si>
  <si>
    <t>Maharashtra</t>
  </si>
  <si>
    <t>Assam</t>
  </si>
  <si>
    <t>Gujarat</t>
  </si>
  <si>
    <t>Delhi NCR</t>
  </si>
  <si>
    <t>Meghalaya</t>
  </si>
  <si>
    <t>Madhya Pradesh</t>
  </si>
  <si>
    <t>Babu P</t>
  </si>
  <si>
    <t>Tamil Nadu</t>
  </si>
  <si>
    <t>Punjab</t>
  </si>
  <si>
    <t>WB</t>
  </si>
  <si>
    <t>Deepak Rawat</t>
  </si>
  <si>
    <t>Rajasthan</t>
  </si>
  <si>
    <t>Kerala</t>
  </si>
  <si>
    <t>J&amp;K</t>
  </si>
  <si>
    <t xml:space="preserve">Inapakurthi Bala Tripura Sundari Devi </t>
  </si>
  <si>
    <t>Jasveer Singh Gehlot</t>
  </si>
  <si>
    <t>Karnataka</t>
  </si>
  <si>
    <t>Telangana</t>
  </si>
  <si>
    <t>CO.</t>
  </si>
  <si>
    <t>Andhra Pradesh</t>
  </si>
  <si>
    <t xml:space="preserve">jan 1 leave to be adjusted </t>
  </si>
  <si>
    <t>Pathan Yasmin Nasir -OR</t>
  </si>
  <si>
    <t>West Bengal</t>
  </si>
  <si>
    <t>Vikram Kumar</t>
  </si>
  <si>
    <t>Emp Code</t>
  </si>
  <si>
    <t>Emp Name</t>
  </si>
  <si>
    <t>VD0002</t>
  </si>
  <si>
    <t>VD0003</t>
  </si>
  <si>
    <t>VD0004</t>
  </si>
  <si>
    <t>VD0006</t>
  </si>
  <si>
    <t>VD0007</t>
  </si>
  <si>
    <t>VD0008</t>
  </si>
  <si>
    <t>VD0009</t>
  </si>
  <si>
    <t>VD0010</t>
  </si>
  <si>
    <t>VD0011</t>
  </si>
  <si>
    <t>VD0013</t>
  </si>
  <si>
    <t>VD0014</t>
  </si>
  <si>
    <t>P.L.</t>
  </si>
  <si>
    <t>VD0015</t>
  </si>
  <si>
    <t>Ajay Mishra -OR</t>
  </si>
  <si>
    <t>VD0016</t>
  </si>
  <si>
    <t>VD0017</t>
  </si>
  <si>
    <t>VD0018</t>
  </si>
  <si>
    <t>VD0019</t>
  </si>
  <si>
    <t>VD0020</t>
  </si>
  <si>
    <t>VD0021</t>
  </si>
  <si>
    <t>VD0022</t>
  </si>
  <si>
    <t>VD0025</t>
  </si>
  <si>
    <t>VD0027</t>
  </si>
  <si>
    <t>VD0028</t>
  </si>
  <si>
    <t>VD0029</t>
  </si>
  <si>
    <t>VD0030</t>
  </si>
  <si>
    <t>VD0031</t>
  </si>
  <si>
    <t>VD0032</t>
  </si>
  <si>
    <t>VD0033</t>
  </si>
  <si>
    <t>VD0034</t>
  </si>
  <si>
    <t>VD0035</t>
  </si>
  <si>
    <t>VD0036</t>
  </si>
  <si>
    <t>VD0037</t>
  </si>
  <si>
    <t>VD0038</t>
  </si>
  <si>
    <t>VD0039</t>
  </si>
  <si>
    <t>S.l.</t>
  </si>
  <si>
    <t>VD0041</t>
  </si>
  <si>
    <t>VD0042</t>
  </si>
  <si>
    <t>VD0043</t>
  </si>
  <si>
    <t>VD0044</t>
  </si>
  <si>
    <t>VD0047</t>
  </si>
  <si>
    <t>VD0048</t>
  </si>
  <si>
    <t>Don Sebastian -OR</t>
  </si>
  <si>
    <t>VD0049</t>
  </si>
  <si>
    <t>VD0050</t>
  </si>
  <si>
    <t>VD0051</t>
  </si>
  <si>
    <t>VD0052</t>
  </si>
  <si>
    <t>VD0053</t>
  </si>
  <si>
    <t>VD0055</t>
  </si>
  <si>
    <t>VD0056</t>
  </si>
  <si>
    <t>VD0057</t>
  </si>
  <si>
    <t>VD0058</t>
  </si>
  <si>
    <t>VD0060</t>
  </si>
  <si>
    <t>VD0061</t>
  </si>
  <si>
    <t>VD0063</t>
  </si>
  <si>
    <t>VD0064</t>
  </si>
  <si>
    <t>VD0065</t>
  </si>
  <si>
    <t>VD0067</t>
  </si>
  <si>
    <t>VD0068</t>
  </si>
  <si>
    <t>VD0069</t>
  </si>
  <si>
    <t>VD0070</t>
  </si>
  <si>
    <t>Honey -OR</t>
  </si>
  <si>
    <t>VD0071</t>
  </si>
  <si>
    <t>VD0072</t>
  </si>
  <si>
    <t>VD0073</t>
  </si>
  <si>
    <t>VD0075</t>
  </si>
  <si>
    <t>VD0076</t>
  </si>
  <si>
    <t>VD0077</t>
  </si>
  <si>
    <t>VD0078</t>
  </si>
  <si>
    <t>Mousumi Sarkar-OR</t>
  </si>
  <si>
    <t>VD0079</t>
  </si>
  <si>
    <t>Gajendra Shakywal -OR</t>
  </si>
  <si>
    <t>VD0080</t>
  </si>
  <si>
    <t>VD0081</t>
  </si>
  <si>
    <t xml:space="preserve">Neha Singh -OR </t>
  </si>
  <si>
    <t>VD0082</t>
  </si>
  <si>
    <t>VD0083</t>
  </si>
  <si>
    <t>VD0085</t>
  </si>
  <si>
    <t>VD0086</t>
  </si>
  <si>
    <t>VD0087</t>
  </si>
  <si>
    <t>VD0088</t>
  </si>
  <si>
    <t>VD0089</t>
  </si>
  <si>
    <t>VD0091</t>
  </si>
  <si>
    <t>VD0092</t>
  </si>
  <si>
    <t>VD0095</t>
  </si>
  <si>
    <t xml:space="preserve"> Shivji Mishra</t>
  </si>
  <si>
    <t>Delhi</t>
  </si>
  <si>
    <t>VD0096</t>
  </si>
  <si>
    <t>Alok mehrotra</t>
  </si>
  <si>
    <t>VDR0004</t>
  </si>
  <si>
    <t>VDR0006</t>
  </si>
  <si>
    <t>VDR0007</t>
  </si>
  <si>
    <t>VDR008</t>
  </si>
  <si>
    <t xml:space="preserve">Priyanka </t>
  </si>
  <si>
    <t>Employee number</t>
  </si>
  <si>
    <t>Department</t>
  </si>
  <si>
    <t>Designation</t>
  </si>
  <si>
    <t>Location</t>
  </si>
  <si>
    <t>Employee Status</t>
  </si>
  <si>
    <t>OD</t>
  </si>
  <si>
    <t>LWP</t>
  </si>
  <si>
    <t>Total leaves</t>
  </si>
  <si>
    <t>Regional Sales &amp; Technical Team</t>
  </si>
  <si>
    <t>Business Development Manager</t>
  </si>
  <si>
    <t>Nagpur</t>
  </si>
  <si>
    <t>Active</t>
  </si>
  <si>
    <t>L</t>
  </si>
  <si>
    <t>Abbreviations to be used</t>
  </si>
  <si>
    <t>Business Development Executive</t>
  </si>
  <si>
    <t>Tinsukia</t>
  </si>
  <si>
    <t>Calendar leave/ Company allowed leave as per scenario</t>
  </si>
  <si>
    <t>Ahmedabad﻿</t>
  </si>
  <si>
    <t>Absence from work</t>
  </si>
  <si>
    <t>Abhishek Gajanan Ghode</t>
  </si>
  <si>
    <t>Sales Officer</t>
  </si>
  <si>
    <t>Amravati</t>
  </si>
  <si>
    <t>HD- L</t>
  </si>
  <si>
    <t>Half day leave</t>
  </si>
  <si>
    <t>Lucknow</t>
  </si>
  <si>
    <t>On Duty on any holiday/ weekend</t>
  </si>
  <si>
    <t>VD0097</t>
  </si>
  <si>
    <t>Alok Mehlotra</t>
  </si>
  <si>
    <t>Bareilly</t>
  </si>
  <si>
    <t>Short leave</t>
  </si>
  <si>
    <t>Shillong</t>
  </si>
  <si>
    <t>Leave without pay for the period person have not joined (shall be used only for new joiners or any unauthorized leave)</t>
  </si>
  <si>
    <t>Techno Sales</t>
  </si>
  <si>
    <t xml:space="preserve">Indore </t>
  </si>
  <si>
    <t>Madurai</t>
  </si>
  <si>
    <t>Chandigarh</t>
  </si>
  <si>
    <t>Allahabad</t>
  </si>
  <si>
    <t>Ludhiana</t>
  </si>
  <si>
    <t>Jorhat</t>
  </si>
  <si>
    <t>Area Sales Manager</t>
  </si>
  <si>
    <t>Jaipur</t>
  </si>
  <si>
    <t>Technical Trainer -Expert</t>
  </si>
  <si>
    <t>Chennai</t>
  </si>
  <si>
    <t>Rajkot</t>
  </si>
  <si>
    <t>VD0099</t>
  </si>
  <si>
    <t>Fahad K S</t>
  </si>
  <si>
    <t>Calicut</t>
  </si>
  <si>
    <t>Jammu</t>
  </si>
  <si>
    <t>Guwahati</t>
  </si>
  <si>
    <t>Bhopal</t>
  </si>
  <si>
    <t>Vizag</t>
  </si>
  <si>
    <t xml:space="preserve">Jaipur </t>
  </si>
  <si>
    <t>Senior Technical Trainer</t>
  </si>
  <si>
    <t>Bengaluru</t>
  </si>
  <si>
    <t>Pathanamthitta</t>
  </si>
  <si>
    <t>Hyderabad</t>
  </si>
  <si>
    <t>Technical Trainer (Skin &amp; Hair)</t>
  </si>
  <si>
    <t>Business Head</t>
  </si>
  <si>
    <t>Technical Trainer</t>
  </si>
  <si>
    <t>Visakhapatnam</t>
  </si>
  <si>
    <t>Kolkata</t>
  </si>
  <si>
    <t>Hubli</t>
  </si>
  <si>
    <t>Senior Techno Sales</t>
  </si>
  <si>
    <t>Kochi</t>
  </si>
  <si>
    <t>Kanpur</t>
  </si>
  <si>
    <t>Silchar</t>
  </si>
  <si>
    <t>VDR0008</t>
  </si>
  <si>
    <t>Priyanka Narnaware</t>
  </si>
  <si>
    <t>Amritsar</t>
  </si>
  <si>
    <t>Business head</t>
  </si>
  <si>
    <t>Mumbai</t>
  </si>
  <si>
    <t> </t>
  </si>
  <si>
    <t>Coimbatore</t>
  </si>
  <si>
    <t>Tvm</t>
  </si>
  <si>
    <t>Nashik</t>
  </si>
  <si>
    <t>Tamilselvi Selvam</t>
  </si>
  <si>
    <t>Palakkad</t>
  </si>
  <si>
    <t>Shivji Mishra</t>
  </si>
  <si>
    <t>Gurugram</t>
  </si>
  <si>
    <t>VDR0011</t>
  </si>
  <si>
    <t>Sumitaben Ramkumar Dave</t>
  </si>
  <si>
    <t>Ahemdabad</t>
  </si>
  <si>
    <t>som singh OR</t>
  </si>
  <si>
    <t>Inactive</t>
  </si>
  <si>
    <t>Vijaywada</t>
  </si>
  <si>
    <t>Baroda</t>
  </si>
  <si>
    <t>Varanasi</t>
  </si>
  <si>
    <t>Senior Skin Technical Trainer</t>
  </si>
  <si>
    <t>Senior Business Development Manager</t>
  </si>
  <si>
    <t>Thiruvananthapuram</t>
  </si>
  <si>
    <t>LEAVE TAKEN</t>
  </si>
  <si>
    <t>Bhupinder Kaur</t>
  </si>
  <si>
    <t>VD0104</t>
  </si>
  <si>
    <t>Chennam Madhavi</t>
  </si>
  <si>
    <t>Chetan﻿ Sharma</t>
  </si>
  <si>
    <t>Ishan Bhadauria</t>
  </si>
  <si>
    <t>Inapakurthi Bala Tripura Sundari Devi</t>
  </si>
  <si>
    <t>Jasveer Singh Gahlot</t>
  </si>
  <si>
    <t>Manjit Kaur</t>
  </si>
  <si>
    <t>VD0103</t>
  </si>
  <si>
    <t>Minakshi</t>
  </si>
  <si>
    <t>Mohammed Ashif PA</t>
  </si>
  <si>
    <t xml:space="preserve">Murali </t>
  </si>
  <si>
    <t>VD0100</t>
  </si>
  <si>
    <t>Ritu</t>
  </si>
  <si>
    <t>Roja R</t>
  </si>
  <si>
    <t>Shahbaaz Khan</t>
  </si>
  <si>
    <t>Vivek Shikha</t>
  </si>
  <si>
    <t>Vishakha V.Sawant</t>
  </si>
  <si>
    <t>Employee ID</t>
  </si>
  <si>
    <t>HD-L</t>
  </si>
  <si>
    <r>
      <rPr>
        <sz val="11"/>
        <color rgb="FF000000"/>
        <rFont val="Calibri"/>
        <family val="2"/>
        <scheme val="minor"/>
      </rPr>
      <t>P</t>
    </r>
    <r>
      <rPr>
        <sz val="11"/>
        <color rgb="FFFF0000"/>
        <rFont val="Calibri"/>
        <family val="2"/>
        <scheme val="minor"/>
      </rPr>
      <t>(1/2TADA)</t>
    </r>
  </si>
  <si>
    <r>
      <rPr>
        <sz val="11"/>
        <color rgb="FF000000"/>
        <rFont val="Calibri"/>
        <family val="2"/>
        <scheme val="minor"/>
      </rPr>
      <t>P</t>
    </r>
    <r>
      <rPr>
        <sz val="11"/>
        <color rgb="FFFF0000"/>
        <rFont val="Calibri"/>
        <family val="2"/>
        <scheme val="minor"/>
      </rPr>
      <t>(-TA/DA)</t>
    </r>
  </si>
  <si>
    <t>Fahad</t>
  </si>
  <si>
    <t>VD0106</t>
  </si>
  <si>
    <t>Gursevak Kaur</t>
  </si>
  <si>
    <r>
      <rPr>
        <sz val="11"/>
        <color rgb="FF000000"/>
        <rFont val="Calibri"/>
        <family val="2"/>
        <scheme val="minor"/>
      </rPr>
      <t>P</t>
    </r>
    <r>
      <rPr>
        <sz val="11"/>
        <color rgb="FFFF0000"/>
        <rFont val="Calibri"/>
        <family val="2"/>
        <scheme val="minor"/>
      </rPr>
      <t>(1/2TDA)</t>
    </r>
  </si>
  <si>
    <t>P(-TDA)</t>
  </si>
  <si>
    <t xml:space="preserve">Minakshi </t>
  </si>
  <si>
    <r>
      <rPr>
        <sz val="11"/>
        <color rgb="FF000000"/>
        <rFont val="Calibri"/>
        <family val="2"/>
        <scheme val="minor"/>
      </rPr>
      <t>P</t>
    </r>
    <r>
      <rPr>
        <sz val="11"/>
        <color rgb="FFFF0000"/>
        <rFont val="Calibri"/>
        <family val="2"/>
        <scheme val="minor"/>
      </rPr>
      <t>(-TA\DA)</t>
    </r>
  </si>
  <si>
    <r>
      <rPr>
        <sz val="11"/>
        <color rgb="FF000000"/>
        <rFont val="Calibri"/>
        <family val="2"/>
        <scheme val="minor"/>
      </rPr>
      <t>P</t>
    </r>
    <r>
      <rPr>
        <sz val="11"/>
        <color rgb="FFFF0000"/>
        <rFont val="Calibri"/>
        <family val="2"/>
        <scheme val="minor"/>
      </rPr>
      <t>(-TD/DA)</t>
    </r>
  </si>
  <si>
    <t>VDR0013</t>
  </si>
  <si>
    <t>Rishi Patharia</t>
  </si>
  <si>
    <t>Jabalpur</t>
  </si>
  <si>
    <t>VDR0015</t>
  </si>
  <si>
    <t>Saaz Sarkar</t>
  </si>
  <si>
    <t>Berhampore</t>
  </si>
  <si>
    <t>Sumita Dave</t>
  </si>
  <si>
    <r>
      <rPr>
        <sz val="11"/>
        <color rgb="FF000000"/>
        <rFont val="Calibri"/>
        <family val="2"/>
      </rPr>
      <t>P</t>
    </r>
    <r>
      <rPr>
        <sz val="11"/>
        <color rgb="FFFF0000"/>
        <rFont val="Calibri"/>
        <family val="2"/>
      </rPr>
      <t>(-TA/DA)</t>
    </r>
  </si>
  <si>
    <t>VD0105</t>
  </si>
  <si>
    <t>Sunil Sawlani</t>
  </si>
  <si>
    <t>Rajwinder Kaur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</si>
</sst>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0">
    <font>
      <sz val="11"/>
      <color theme="1"/>
      <name val="Calibri"/>
      <family val="2"/>
      <scheme val="minor"/>
    </font>
    <font>
      <sz val="11"/>
      <color theme="1"/>
      <name val="Calibri"/>
      <family val="2"/>
      <scheme val="minor"/>
    </font>
    <font>
      <sz val="12"/>
      <color rgb="FF000000"/>
      <name val="Calibri"/>
      <family val="2"/>
      <scheme val="minor"/>
    </font>
    <font>
      <sz val="11"/>
      <color rgb="FF000000"/>
      <name val="Calibri"/>
      <family val="2"/>
    </font>
    <font>
      <b/>
      <sz val="11"/>
      <color theme="1"/>
      <name val="Calibri"/>
      <family val="2"/>
      <scheme val="minor"/>
    </font>
    <font>
      <b/>
      <sz val="14"/>
      <color theme="1"/>
      <name val="Calibri"/>
      <family val="2"/>
      <scheme val="minor"/>
    </font>
    <font>
      <b/>
      <sz val="14"/>
      <color rgb="FF000000"/>
      <name val="Calibri"/>
      <family val="2"/>
      <scheme val="minor"/>
    </font>
    <font>
      <b/>
      <sz val="14"/>
      <color rgb="FFFF0000"/>
      <name val="Calibri (Body)"/>
    </font>
    <font>
      <sz val="11"/>
      <color rgb="FFFF0000"/>
      <name val="Calibri"/>
      <family val="2"/>
      <scheme val="minor"/>
    </font>
    <font>
      <b/>
      <sz val="14"/>
      <color rgb="FFFF0000"/>
      <name val="Calibri"/>
      <family val="2"/>
      <scheme val="minor"/>
    </font>
    <font>
      <sz val="11"/>
      <color rgb="FF4472C4"/>
      <name val="Calibri"/>
      <family val="2"/>
      <scheme val="minor"/>
    </font>
    <font>
      <b/>
      <sz val="11"/>
      <color rgb="FF000000"/>
      <name val="Calibri"/>
      <family val="2"/>
      <scheme val="minor"/>
    </font>
    <font>
      <b/>
      <sz val="11"/>
      <color rgb="FFFF0000"/>
      <name val="Calibri (Body)"/>
    </font>
    <font>
      <b/>
      <sz val="11"/>
      <color rgb="FFFF0000"/>
      <name val="Calibri"/>
      <family val="2"/>
      <scheme val="minor"/>
    </font>
    <font>
      <sz val="11"/>
      <color rgb="FF5B9BD5"/>
      <name val="Calibri"/>
      <family val="2"/>
      <scheme val="minor"/>
    </font>
    <font>
      <sz val="11"/>
      <color rgb="FF00B050"/>
      <name val="Calibri"/>
      <family val="2"/>
      <scheme val="minor"/>
    </font>
    <font>
      <sz val="11"/>
      <color rgb="FF00B0F0"/>
      <name val="Calibri"/>
      <family val="2"/>
      <scheme val="minor"/>
    </font>
    <font>
      <sz val="11"/>
      <color rgb="FFFF0000"/>
      <name val="Calibri"/>
      <family val="2"/>
      <scheme val="minor"/>
    </font>
    <font>
      <sz val="11"/>
      <color rgb="FF00B050"/>
      <name val="Calibri"/>
      <family val="2"/>
      <scheme val="minor"/>
    </font>
    <font>
      <sz val="11"/>
      <color rgb="FF000000"/>
      <name val="Calibri"/>
      <family val="2"/>
      <scheme val="minor"/>
    </font>
    <font>
      <sz val="11"/>
      <color rgb="FF0070C0"/>
      <name val="Calibri"/>
      <family val="2"/>
      <scheme val="minor"/>
    </font>
    <font>
      <b/>
      <sz val="14"/>
      <color rgb="FF000000"/>
      <name val="Calibri"/>
      <family val="2"/>
      <scheme val="minor"/>
    </font>
    <font>
      <sz val="11"/>
      <color rgb="FF000000"/>
      <name val="Calibri"/>
      <family val="2"/>
      <scheme val="minor"/>
    </font>
    <font>
      <sz val="11"/>
      <color theme="5" tint="-0.249977111117893"/>
      <name val="Calibri"/>
      <family val="2"/>
      <scheme val="minor"/>
    </font>
    <font>
      <sz val="11"/>
      <color rgb="FFFF0000"/>
      <name val="Calibri (Body)"/>
    </font>
    <font>
      <sz val="11"/>
      <color rgb="FFBF8F00"/>
      <name val="Calibri"/>
      <family val="2"/>
      <scheme val="minor"/>
    </font>
    <font>
      <sz val="11"/>
      <color rgb="FF00B050"/>
      <name val="Calibri (Body)"/>
    </font>
    <font>
      <sz val="11"/>
      <color rgb="FF00B0F0"/>
      <name val="Calibri (Body)"/>
    </font>
    <font>
      <sz val="11"/>
      <color rgb="FF806000"/>
      <name val="Calibri"/>
      <family val="2"/>
      <scheme val="minor"/>
    </font>
    <font>
      <sz val="11"/>
      <color rgb="FF548235"/>
      <name val="Calibri"/>
      <family val="2"/>
      <scheme val="minor"/>
    </font>
    <font>
      <sz val="11"/>
      <color theme="5" tint="-0.499984740745262"/>
      <name val="Calibri"/>
      <family val="2"/>
      <scheme val="minor"/>
    </font>
    <font>
      <sz val="11"/>
      <color rgb="FF0070C0"/>
      <name val="Calibri"/>
      <family val="2"/>
      <scheme val="minor"/>
    </font>
    <font>
      <sz val="11"/>
      <color theme="1"/>
      <name val="Calibri (Body)"/>
    </font>
    <font>
      <sz val="11"/>
      <color theme="7" tint="-0.249977111117893"/>
      <name val="Calibri (Body)"/>
    </font>
    <font>
      <sz val="11"/>
      <color theme="7" tint="-0.249977111117893"/>
      <name val="Calibri"/>
      <family val="2"/>
      <scheme val="minor"/>
    </font>
    <font>
      <sz val="11"/>
      <color rgb="FF305496"/>
      <name val="Calibri"/>
      <family val="2"/>
      <scheme val="minor"/>
    </font>
    <font>
      <b/>
      <sz val="11"/>
      <color rgb="FF305496"/>
      <name val="Calibri"/>
      <family val="2"/>
      <scheme val="minor"/>
    </font>
    <font>
      <b/>
      <sz val="12"/>
      <color theme="1"/>
      <name val="Calibri"/>
      <family val="2"/>
      <scheme val="minor"/>
    </font>
    <font>
      <sz val="11"/>
      <color theme="5"/>
      <name val="Calibri"/>
      <family val="2"/>
      <scheme val="minor"/>
    </font>
    <font>
      <sz val="11"/>
      <color rgb="FFED7D31"/>
      <name val="Calibri"/>
      <family val="2"/>
      <scheme val="minor"/>
    </font>
    <font>
      <sz val="11"/>
      <color rgb="FF000000"/>
      <name val="Calibri"/>
      <family val="2"/>
    </font>
    <font>
      <sz val="11"/>
      <color rgb="FF7030A0"/>
      <name val="Calibri"/>
      <family val="2"/>
      <scheme val="minor"/>
    </font>
    <font>
      <b/>
      <sz val="11"/>
      <color rgb="FF000000"/>
      <name val="Calibri"/>
      <family val="2"/>
      <scheme val="minor"/>
    </font>
    <font>
      <b/>
      <sz val="11"/>
      <color rgb="FF7030A0"/>
      <name val="Calibri"/>
      <family val="2"/>
      <scheme val="minor"/>
    </font>
    <font>
      <b/>
      <sz val="11"/>
      <color theme="8"/>
      <name val="Calibri"/>
      <family val="2"/>
      <scheme val="minor"/>
    </font>
    <font>
      <b/>
      <sz val="11"/>
      <color theme="8"/>
      <name val="Calibri"/>
      <family val="2"/>
      <scheme val="minor"/>
    </font>
    <font>
      <b/>
      <sz val="11"/>
      <color theme="8"/>
      <name val="Calibri"/>
      <family val="2"/>
    </font>
    <font>
      <sz val="11"/>
      <color rgb="FF2F75B5"/>
      <name val="Calibri"/>
      <family val="2"/>
      <scheme val="minor"/>
    </font>
    <font>
      <b/>
      <sz val="14"/>
      <color rgb="FFFF0000"/>
      <name val="Calibri"/>
      <family val="2"/>
      <scheme val="minor"/>
    </font>
    <font>
      <u/>
      <sz val="11"/>
      <color rgb="FF00B0F0"/>
      <name val="Calibri"/>
      <family val="2"/>
      <scheme val="minor"/>
    </font>
    <font>
      <sz val="11"/>
      <color rgb="FF000000"/>
      <name val="Calibri"/>
      <family val="2"/>
    </font>
    <font>
      <sz val="11"/>
      <color rgb="FFFF0000"/>
      <name val="Calibri"/>
      <family val="2"/>
    </font>
    <font>
      <b/>
      <sz val="11"/>
      <color rgb="FF00B0F0"/>
      <name val="Calibri"/>
      <family val="2"/>
      <scheme val="minor"/>
    </font>
    <font>
      <sz val="11"/>
      <color rgb="FF00B0F0"/>
      <name val="Calibri"/>
      <family val="2"/>
      <scheme val="minor"/>
    </font>
    <font>
      <sz val="10"/>
      <color rgb="FFFF0000"/>
      <name val="Calibri"/>
      <family val="2"/>
      <scheme val="minor"/>
    </font>
    <font>
      <b/>
      <sz val="11"/>
      <color rgb="FF000000"/>
      <name val="Calibri"/>
      <family val="2"/>
    </font>
    <font>
      <b/>
      <sz val="11"/>
      <color rgb="FFFF0000"/>
      <name val="Calibri"/>
      <family val="2"/>
    </font>
    <font>
      <sz val="11"/>
      <color rgb="FF00B050"/>
      <name val="Calibri"/>
      <family val="2"/>
    </font>
    <font>
      <b/>
      <sz val="11"/>
      <color rgb="FF00B050"/>
      <name val="Calibri"/>
      <family val="2"/>
      <scheme val="minor"/>
    </font>
    <font>
      <sz val="11"/>
      <color rgb="FFC65911"/>
      <name val="Calibri"/>
      <family val="2"/>
      <scheme val="minor"/>
    </font>
    <font>
      <sz val="11"/>
      <color rgb="FF0070C0"/>
      <name val="Calibri"/>
      <family val="2"/>
    </font>
    <font>
      <sz val="11"/>
      <color rgb="FF00B0F0"/>
      <name val="Calibri"/>
      <family val="2"/>
    </font>
    <font>
      <sz val="14"/>
      <color rgb="FF000000"/>
      <name val="Calibri"/>
      <family val="2"/>
      <scheme val="minor"/>
    </font>
    <font>
      <sz val="11"/>
      <color theme="5" tint="-0.249977111117893"/>
      <name val="Calibri"/>
      <family val="2"/>
      <scheme val="minor"/>
    </font>
    <font>
      <b/>
      <sz val="11"/>
      <color theme="5" tint="-0.249977111117893"/>
      <name val="Calibri"/>
      <family val="2"/>
      <scheme val="minor"/>
    </font>
    <font>
      <sz val="11"/>
      <color theme="7" tint="-0.499984740745262"/>
      <name val="Calibri"/>
      <family val="2"/>
      <scheme val="minor"/>
    </font>
    <font>
      <sz val="11"/>
      <color theme="7" tint="-0.249977111117893"/>
      <name val="Calibri"/>
      <family val="2"/>
      <scheme val="minor"/>
    </font>
    <font>
      <sz val="11"/>
      <color theme="1"/>
      <name val="Calibri"/>
      <family val="2"/>
    </font>
    <font>
      <sz val="11"/>
      <color rgb="FFBF8F00"/>
      <name val="Calibri"/>
      <family val="2"/>
    </font>
    <font>
      <sz val="11"/>
      <color rgb="FF161616"/>
      <name val="Calibri"/>
      <family val="2"/>
      <scheme val="minor"/>
    </font>
    <font>
      <b/>
      <sz val="16"/>
      <color rgb="FF000000"/>
      <name val="Calibri"/>
      <family val="2"/>
      <scheme val="minor"/>
    </font>
    <font>
      <b/>
      <sz val="16"/>
      <color theme="1"/>
      <name val="Calibri"/>
      <family val="2"/>
      <scheme val="minor"/>
    </font>
    <font>
      <sz val="11"/>
      <color rgb="FFF4B084"/>
      <name val="Calibri"/>
      <family val="2"/>
      <scheme val="minor"/>
    </font>
    <font>
      <sz val="11"/>
      <color rgb="FFF4B084"/>
      <name val="Calibri"/>
      <family val="2"/>
    </font>
    <font>
      <sz val="11"/>
      <color theme="5" tint="-0.249977111117893"/>
      <name val="Calibri"/>
      <family val="2"/>
    </font>
    <font>
      <sz val="11"/>
      <color rgb="FFC65911"/>
      <name val="Calibri"/>
      <family val="2"/>
    </font>
    <font>
      <sz val="11"/>
      <color theme="5" tint="-0.499984740745262"/>
      <name val="Calibri"/>
      <family val="2"/>
      <scheme val="minor"/>
    </font>
    <font>
      <sz val="11"/>
      <color rgb="FF833C0C"/>
      <name val="Calibri"/>
      <family val="2"/>
      <scheme val="minor"/>
    </font>
    <font>
      <b/>
      <sz val="11"/>
      <color rgb="FF4472C4"/>
      <name val="Calibri"/>
      <family val="2"/>
    </font>
    <font>
      <sz val="11"/>
      <color rgb="FF0D0D0D"/>
      <name val="Calibri"/>
      <family val="2"/>
      <scheme val="minor"/>
    </font>
    <font>
      <b/>
      <sz val="11"/>
      <color rgb="FF0070C0"/>
      <name val="Calibri"/>
      <family val="2"/>
      <scheme val="minor"/>
    </font>
    <font>
      <sz val="11"/>
      <color rgb="FFFF0000"/>
      <name val="Calibri"/>
      <family val="2"/>
    </font>
    <font>
      <sz val="11"/>
      <color theme="5" tint="-0.499984740745262"/>
      <name val="Calibri"/>
      <family val="2"/>
    </font>
    <font>
      <b/>
      <sz val="11"/>
      <color rgb="FF4472C4"/>
      <name val="Calibri"/>
      <family val="2"/>
    </font>
    <font>
      <sz val="11"/>
      <color theme="1"/>
      <name val="Calibri"/>
      <family val="2"/>
    </font>
    <font>
      <sz val="11"/>
      <color rgb="FF4472C4"/>
      <name val="Calibri"/>
      <family val="2"/>
    </font>
    <font>
      <sz val="11"/>
      <color theme="1"/>
      <name val="Calibri"/>
      <family val="2"/>
    </font>
    <font>
      <sz val="11"/>
      <color rgb="FFFF0000"/>
      <name val="Calibri"/>
      <family val="2"/>
    </font>
    <font>
      <b/>
      <sz val="11"/>
      <color rgb="FF5B9BD5"/>
      <name val="Calibri"/>
      <family val="2"/>
      <scheme val="minor"/>
    </font>
    <font>
      <b/>
      <sz val="11"/>
      <color rgb="FFFFC000"/>
      <name val="Calibri"/>
      <family val="2"/>
    </font>
    <font>
      <sz val="11"/>
      <color rgb="FFFFC000"/>
      <name val="Calibri"/>
      <family val="2"/>
      <scheme val="minor"/>
    </font>
    <font>
      <sz val="11"/>
      <color rgb="FF548235"/>
      <name val="Calibri"/>
      <family val="2"/>
    </font>
    <font>
      <b/>
      <sz val="11"/>
      <color rgb="FFFFC000"/>
      <name val="Calibri"/>
      <family val="2"/>
      <scheme val="minor"/>
    </font>
    <font>
      <b/>
      <sz val="11"/>
      <color rgb="FFFF0000"/>
      <name val="Calibri"/>
      <family val="2"/>
      <scheme val="minor"/>
    </font>
    <font>
      <b/>
      <sz val="11"/>
      <color rgb="FFC65911"/>
      <name val="Calibri"/>
      <family val="2"/>
      <scheme val="minor"/>
    </font>
    <font>
      <b/>
      <sz val="11"/>
      <color rgb="FF806000"/>
      <name val="Calibri"/>
      <family val="2"/>
      <scheme val="minor"/>
    </font>
    <font>
      <b/>
      <sz val="11"/>
      <color rgb="FF806000"/>
      <name val="Calibri"/>
      <family val="2"/>
    </font>
    <font>
      <b/>
      <sz val="11"/>
      <color rgb="FF0070C0"/>
      <name val="Calibri"/>
      <family val="2"/>
      <scheme val="minor"/>
    </font>
    <font>
      <sz val="11"/>
      <color rgb="FF002060"/>
      <name val="Calibri"/>
      <family val="2"/>
      <scheme val="minor"/>
    </font>
    <font>
      <b/>
      <sz val="11"/>
      <color theme="5"/>
      <name val="Calibri"/>
      <family val="2"/>
      <scheme val="minor"/>
    </font>
    <font>
      <b/>
      <sz val="14"/>
      <color theme="1"/>
      <name val="Calibri"/>
      <family val="2"/>
      <scheme val="minor"/>
    </font>
    <font>
      <sz val="12"/>
      <color theme="1"/>
      <name val="Calibri Light"/>
      <family val="2"/>
      <scheme val="major"/>
    </font>
    <font>
      <sz val="11"/>
      <color rgb="FF000000"/>
      <name val="Calibri Light"/>
      <family val="2"/>
      <scheme val="major"/>
    </font>
    <font>
      <sz val="11"/>
      <color theme="1"/>
      <name val="Calibri Light"/>
      <family val="2"/>
      <scheme val="major"/>
    </font>
    <font>
      <sz val="12"/>
      <color rgb="FF000000"/>
      <name val="Calibri Light"/>
      <family val="2"/>
      <scheme val="major"/>
    </font>
    <font>
      <b/>
      <sz val="11"/>
      <color rgb="FFED7D31"/>
      <name val="Calibri"/>
      <family val="2"/>
      <scheme val="minor"/>
    </font>
    <font>
      <b/>
      <sz val="11"/>
      <color rgb="FF7030A0"/>
      <name val="Calibri"/>
      <family val="2"/>
      <scheme val="minor"/>
    </font>
    <font>
      <b/>
      <sz val="11"/>
      <color rgb="FF70AD47"/>
      <name val="Calibri"/>
      <family val="2"/>
      <scheme val="minor"/>
    </font>
    <font>
      <b/>
      <sz val="11"/>
      <color rgb="FF00B050"/>
      <name val="Calibri"/>
      <family val="2"/>
      <scheme val="minor"/>
    </font>
    <font>
      <b/>
      <sz val="14"/>
      <color rgb="FF000000"/>
      <name val="Calibri"/>
      <family val="2"/>
    </font>
    <font>
      <b/>
      <sz val="14"/>
      <color rgb="FF000000"/>
      <name val="Calibri"/>
      <family val="2"/>
    </font>
    <font>
      <sz val="11"/>
      <color rgb="FF000000"/>
      <name val="Aptos Narrow"/>
      <family val="2"/>
    </font>
    <font>
      <sz val="11"/>
      <color rgb="FF000000"/>
      <name val="Aptos Narrow"/>
      <family val="2"/>
    </font>
    <font>
      <sz val="12"/>
      <color rgb="FF000000"/>
      <name val="Calibri Light"/>
      <family val="2"/>
    </font>
    <font>
      <b/>
      <sz val="11"/>
      <color rgb="FF0070C0"/>
      <name val="Calibri"/>
      <family val="2"/>
    </font>
    <font>
      <sz val="11"/>
      <color rgb="FF000000"/>
      <name val="Calibri Light"/>
      <family val="2"/>
    </font>
    <font>
      <sz val="14"/>
      <color rgb="FF000000"/>
      <name val="Calibri"/>
      <family val="2"/>
    </font>
    <font>
      <sz val="11"/>
      <color rgb="FF70AD47"/>
      <name val="Calibri"/>
      <family val="2"/>
    </font>
    <font>
      <b/>
      <sz val="14"/>
      <color rgb="FFFF0000"/>
      <name val="Calibri"/>
      <family val="2"/>
    </font>
    <font>
      <sz val="12"/>
      <color rgb="FF000000"/>
      <name val="Calibri Light"/>
      <family val="2"/>
    </font>
    <font>
      <sz val="11"/>
      <color rgb="FF000000"/>
      <name val="Calibri Light"/>
      <family val="2"/>
    </font>
    <font>
      <sz val="10"/>
      <color rgb="FF000000"/>
      <name val="Arial"/>
      <family val="2"/>
    </font>
    <font>
      <b/>
      <sz val="11"/>
      <color rgb="FF000000"/>
      <name val="Calibri"/>
      <family val="2"/>
    </font>
    <font>
      <b/>
      <sz val="11"/>
      <color rgb="FF0070C0"/>
      <name val="Calibri"/>
      <family val="2"/>
    </font>
    <font>
      <sz val="11"/>
      <color rgb="FF00B050"/>
      <name val="Calibri"/>
      <family val="2"/>
    </font>
    <font>
      <sz val="10"/>
      <color rgb="FF000000"/>
      <name val="Arial"/>
      <family val="2"/>
    </font>
    <font>
      <sz val="11"/>
      <color rgb="FF0070C0"/>
      <name val="Calibri"/>
      <family val="2"/>
    </font>
    <font>
      <sz val="11"/>
      <color rgb="FF00B0F0"/>
      <name val="Calibri"/>
      <family val="2"/>
    </font>
    <font>
      <sz val="11"/>
      <color rgb="FFC00000"/>
      <name val="Calibri"/>
      <family val="2"/>
      <scheme val="minor"/>
    </font>
    <font>
      <sz val="10"/>
      <color theme="1"/>
      <name val="Arial"/>
      <family val="2"/>
    </font>
  </fonts>
  <fills count="12">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rgb="FFE7E6E6"/>
        <bgColor rgb="FF000000"/>
      </patternFill>
    </fill>
    <fill>
      <patternFill patternType="solid">
        <fgColor rgb="FFFFFFFF"/>
        <bgColor rgb="FF000000"/>
      </patternFill>
    </fill>
    <fill>
      <patternFill patternType="solid">
        <fgColor rgb="FF0070C0"/>
        <bgColor indexed="64"/>
      </patternFill>
    </fill>
    <fill>
      <patternFill patternType="solid">
        <fgColor rgb="FFFF0000"/>
        <bgColor indexed="64"/>
      </patternFill>
    </fill>
    <fill>
      <patternFill patternType="solid">
        <fgColor rgb="FFDDEBF7"/>
        <bgColor rgb="FF000000"/>
      </patternFill>
    </fill>
    <fill>
      <patternFill patternType="solid">
        <fgColor rgb="FF9BC2E6"/>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style="thin">
        <color indexed="64"/>
      </bottom>
      <diagonal/>
    </border>
  </borders>
  <cellStyleXfs count="1">
    <xf numFmtId="0" fontId="0" fillId="0" borderId="0"/>
  </cellStyleXfs>
  <cellXfs count="699">
    <xf numFmtId="0" fontId="0" fillId="0" borderId="0" xfId="0"/>
    <xf numFmtId="0" fontId="2" fillId="0" borderId="1" xfId="0" applyFont="1" applyBorder="1" applyAlignment="1">
      <alignment horizontal="left"/>
    </xf>
    <xf numFmtId="0" fontId="0" fillId="0" borderId="1" xfId="0" applyBorder="1"/>
    <xf numFmtId="0" fontId="3" fillId="0" borderId="0" xfId="0" applyFont="1"/>
    <xf numFmtId="0" fontId="0" fillId="0" borderId="0" xfId="0" applyAlignment="1">
      <alignment horizontal="left"/>
    </xf>
    <xf numFmtId="0" fontId="4" fillId="4" borderId="2" xfId="0" applyFont="1" applyFill="1" applyBorder="1"/>
    <xf numFmtId="0" fontId="0" fillId="4" borderId="2" xfId="0" applyFill="1" applyBorder="1"/>
    <xf numFmtId="0" fontId="0" fillId="0" borderId="2" xfId="0" applyBorder="1"/>
    <xf numFmtId="0" fontId="4" fillId="4" borderId="5" xfId="0" applyFont="1" applyFill="1" applyBorder="1"/>
    <xf numFmtId="0" fontId="0" fillId="0" borderId="2" xfId="0" applyBorder="1" applyAlignment="1">
      <alignment horizontal="center"/>
    </xf>
    <xf numFmtId="0" fontId="0" fillId="5" borderId="0" xfId="0" applyFill="1"/>
    <xf numFmtId="0" fontId="4" fillId="4" borderId="4" xfId="0" applyFont="1" applyFill="1" applyBorder="1"/>
    <xf numFmtId="0" fontId="4" fillId="4" borderId="1" xfId="0" applyFont="1" applyFill="1" applyBorder="1"/>
    <xf numFmtId="0" fontId="5" fillId="3"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4" borderId="5" xfId="0" applyFont="1" applyFill="1" applyBorder="1" applyAlignment="1">
      <alignment horizontal="left"/>
    </xf>
    <xf numFmtId="0" fontId="6" fillId="4" borderId="2" xfId="0" applyFont="1" applyFill="1" applyBorder="1" applyAlignment="1">
      <alignment horizontal="left"/>
    </xf>
    <xf numFmtId="0" fontId="6" fillId="4" borderId="2" xfId="0" applyFont="1" applyFill="1" applyBorder="1"/>
    <xf numFmtId="0" fontId="6" fillId="4" borderId="3" xfId="0" applyFont="1" applyFill="1" applyBorder="1"/>
    <xf numFmtId="0" fontId="6" fillId="4" borderId="3" xfId="0" applyFont="1" applyFill="1" applyBorder="1" applyAlignment="1">
      <alignment horizontal="left" wrapText="1"/>
    </xf>
    <xf numFmtId="0" fontId="6" fillId="4" borderId="3" xfId="0" applyFont="1" applyFill="1" applyBorder="1" applyAlignment="1">
      <alignment horizontal="left"/>
    </xf>
    <xf numFmtId="0" fontId="7" fillId="4" borderId="3" xfId="0" applyFont="1" applyFill="1" applyBorder="1" applyAlignment="1">
      <alignment horizontal="left"/>
    </xf>
    <xf numFmtId="0" fontId="7" fillId="4" borderId="6" xfId="0" applyFont="1" applyFill="1" applyBorder="1" applyAlignment="1">
      <alignment horizontal="left"/>
    </xf>
    <xf numFmtId="0" fontId="2" fillId="2" borderId="1" xfId="0" applyFont="1" applyFill="1" applyBorder="1"/>
    <xf numFmtId="0" fontId="2" fillId="0" borderId="1" xfId="0" applyFont="1" applyBorder="1"/>
    <xf numFmtId="0" fontId="8" fillId="0" borderId="2" xfId="0" applyFont="1" applyBorder="1" applyAlignment="1">
      <alignment horizontal="center"/>
    </xf>
    <xf numFmtId="0" fontId="9" fillId="4" borderId="3" xfId="0" applyFont="1" applyFill="1" applyBorder="1" applyAlignment="1">
      <alignment horizontal="left"/>
    </xf>
    <xf numFmtId="0" fontId="9" fillId="4" borderId="9" xfId="0" applyFont="1" applyFill="1" applyBorder="1" applyAlignment="1">
      <alignment horizontal="left" wrapText="1"/>
    </xf>
    <xf numFmtId="0" fontId="6" fillId="4" borderId="2" xfId="0" applyFont="1" applyFill="1" applyBorder="1" applyAlignment="1">
      <alignment horizontal="left" wrapText="1"/>
    </xf>
    <xf numFmtId="0" fontId="5" fillId="3" borderId="16" xfId="0" applyFont="1" applyFill="1" applyBorder="1" applyAlignment="1">
      <alignment horizontal="center" vertical="center" wrapText="1"/>
    </xf>
    <xf numFmtId="0" fontId="5" fillId="5" borderId="0" xfId="0" applyFont="1" applyFill="1" applyAlignment="1">
      <alignment horizontal="center" vertical="center" wrapText="1"/>
    </xf>
    <xf numFmtId="0" fontId="0" fillId="0" borderId="0" xfId="0" applyAlignment="1">
      <alignment horizontal="center"/>
    </xf>
    <xf numFmtId="0" fontId="0" fillId="5" borderId="0" xfId="0" applyFill="1" applyAlignment="1">
      <alignment horizontal="center"/>
    </xf>
    <xf numFmtId="0" fontId="5" fillId="3" borderId="17" xfId="0" applyFont="1" applyFill="1" applyBorder="1" applyAlignment="1">
      <alignment horizontal="center" vertical="center" wrapText="1"/>
    </xf>
    <xf numFmtId="0" fontId="4" fillId="4" borderId="2" xfId="0" applyFont="1" applyFill="1" applyBorder="1" applyAlignment="1">
      <alignment horizontal="center"/>
    </xf>
    <xf numFmtId="0" fontId="4" fillId="5" borderId="2" xfId="0" applyFont="1" applyFill="1" applyBorder="1"/>
    <xf numFmtId="0" fontId="5" fillId="3" borderId="0" xfId="0" applyFont="1" applyFill="1" applyAlignment="1">
      <alignment horizontal="center"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10" fillId="0" borderId="2" xfId="0" applyFont="1" applyBorder="1" applyAlignment="1">
      <alignment horizontal="center"/>
    </xf>
    <xf numFmtId="0" fontId="4" fillId="5" borderId="5" xfId="0" applyFont="1" applyFill="1" applyBorder="1" applyAlignment="1">
      <alignment horizontal="center"/>
    </xf>
    <xf numFmtId="0" fontId="4" fillId="5" borderId="0" xfId="0" applyFont="1" applyFill="1"/>
    <xf numFmtId="0" fontId="4" fillId="0" borderId="0" xfId="0" applyFont="1"/>
    <xf numFmtId="0" fontId="12" fillId="5" borderId="0" xfId="0" applyFont="1" applyFill="1" applyAlignment="1">
      <alignment horizontal="center"/>
    </xf>
    <xf numFmtId="0" fontId="13" fillId="5" borderId="0" xfId="0" applyFont="1" applyFill="1" applyAlignment="1">
      <alignment horizontal="center"/>
    </xf>
    <xf numFmtId="0" fontId="4" fillId="0" borderId="1" xfId="0" applyFont="1" applyBorder="1"/>
    <xf numFmtId="0" fontId="4" fillId="0" borderId="1" xfId="0" applyFont="1" applyBorder="1" applyAlignment="1">
      <alignment horizontal="center"/>
    </xf>
    <xf numFmtId="0" fontId="4" fillId="5" borderId="1" xfId="0" applyFont="1" applyFill="1" applyBorder="1" applyAlignment="1">
      <alignment horizontal="center"/>
    </xf>
    <xf numFmtId="0" fontId="11" fillId="0" borderId="1" xfId="0" applyFont="1" applyBorder="1" applyAlignment="1">
      <alignment horizontal="center"/>
    </xf>
    <xf numFmtId="0" fontId="4" fillId="0" borderId="11" xfId="0" applyFont="1" applyBorder="1"/>
    <xf numFmtId="0" fontId="4" fillId="5" borderId="1" xfId="0" applyFont="1" applyFill="1" applyBorder="1"/>
    <xf numFmtId="0" fontId="11" fillId="0" borderId="1" xfId="0" applyFont="1" applyBorder="1"/>
    <xf numFmtId="0" fontId="4" fillId="0" borderId="14" xfId="0" applyFont="1" applyBorder="1" applyAlignment="1">
      <alignment horizontal="center"/>
    </xf>
    <xf numFmtId="0" fontId="4" fillId="0" borderId="15" xfId="0" applyFont="1" applyBorder="1" applyAlignment="1">
      <alignment horizontal="center"/>
    </xf>
    <xf numFmtId="0" fontId="4" fillId="5" borderId="5" xfId="0" applyFont="1" applyFill="1" applyBorder="1"/>
    <xf numFmtId="0" fontId="11" fillId="5" borderId="0" xfId="0" applyFont="1" applyFill="1"/>
    <xf numFmtId="0" fontId="4" fillId="4" borderId="0" xfId="0" applyFont="1" applyFill="1"/>
    <xf numFmtId="0" fontId="4" fillId="0" borderId="20" xfId="0" applyFont="1" applyBorder="1" applyAlignment="1">
      <alignment horizontal="center"/>
    </xf>
    <xf numFmtId="0" fontId="4" fillId="0" borderId="17" xfId="0" applyFont="1" applyBorder="1" applyAlignment="1">
      <alignment horizontal="center"/>
    </xf>
    <xf numFmtId="0" fontId="4" fillId="0" borderId="17" xfId="0" applyFont="1" applyBorder="1"/>
    <xf numFmtId="0" fontId="14" fillId="0" borderId="2" xfId="0" applyFont="1" applyBorder="1" applyAlignment="1">
      <alignment horizontal="center"/>
    </xf>
    <xf numFmtId="0" fontId="15" fillId="0" borderId="2" xfId="0" applyFont="1" applyBorder="1" applyAlignment="1">
      <alignment horizontal="center"/>
    </xf>
    <xf numFmtId="0" fontId="16" fillId="0" borderId="2" xfId="0" applyFont="1" applyBorder="1" applyAlignment="1">
      <alignment horizontal="center"/>
    </xf>
    <xf numFmtId="0" fontId="17" fillId="0" borderId="2" xfId="0" applyFont="1" applyBorder="1" applyAlignment="1">
      <alignment horizontal="center"/>
    </xf>
    <xf numFmtId="0" fontId="18" fillId="0" borderId="2" xfId="0" applyFont="1" applyBorder="1" applyAlignment="1">
      <alignment horizontal="center"/>
    </xf>
    <xf numFmtId="0" fontId="19" fillId="0" borderId="2" xfId="0" applyFont="1" applyBorder="1" applyAlignment="1">
      <alignment horizontal="center"/>
    </xf>
    <xf numFmtId="0" fontId="17" fillId="5" borderId="2" xfId="0" applyFont="1" applyFill="1" applyBorder="1" applyAlignment="1">
      <alignment horizontal="center"/>
    </xf>
    <xf numFmtId="0" fontId="16" fillId="5" borderId="2" xfId="0" applyFont="1" applyFill="1" applyBorder="1" applyAlignment="1">
      <alignment horizontal="center"/>
    </xf>
    <xf numFmtId="0" fontId="20" fillId="0" borderId="2" xfId="0" applyFont="1" applyBorder="1" applyAlignment="1">
      <alignment horizontal="center"/>
    </xf>
    <xf numFmtId="0" fontId="9" fillId="4" borderId="2" xfId="0" applyFont="1" applyFill="1" applyBorder="1" applyAlignment="1">
      <alignment horizontal="left"/>
    </xf>
    <xf numFmtId="0" fontId="21" fillId="4" borderId="2" xfId="0" applyFont="1" applyFill="1" applyBorder="1"/>
    <xf numFmtId="0" fontId="0" fillId="5" borderId="2" xfId="0" applyFill="1" applyBorder="1" applyAlignment="1">
      <alignment horizontal="center"/>
    </xf>
    <xf numFmtId="0" fontId="19" fillId="5" borderId="5" xfId="0" applyFont="1" applyFill="1" applyBorder="1" applyAlignment="1">
      <alignment horizontal="center"/>
    </xf>
    <xf numFmtId="0" fontId="2" fillId="5" borderId="5" xfId="0" applyFont="1" applyFill="1" applyBorder="1" applyAlignment="1">
      <alignment horizontal="left"/>
    </xf>
    <xf numFmtId="0" fontId="2" fillId="5" borderId="8" xfId="0" applyFont="1" applyFill="1" applyBorder="1" applyAlignment="1">
      <alignment horizontal="left"/>
    </xf>
    <xf numFmtId="0" fontId="0" fillId="5" borderId="5" xfId="0" applyFill="1" applyBorder="1" applyAlignment="1">
      <alignment horizontal="center"/>
    </xf>
    <xf numFmtId="0" fontId="22" fillId="7" borderId="5" xfId="0" applyFont="1" applyFill="1" applyBorder="1" applyAlignment="1">
      <alignment horizontal="center"/>
    </xf>
    <xf numFmtId="0" fontId="23" fillId="5" borderId="5" xfId="0" applyFont="1" applyFill="1" applyBorder="1" applyAlignment="1">
      <alignment horizontal="center"/>
    </xf>
    <xf numFmtId="0" fontId="24" fillId="5" borderId="5" xfId="0" applyFont="1" applyFill="1" applyBorder="1" applyAlignment="1">
      <alignment horizontal="center"/>
    </xf>
    <xf numFmtId="0" fontId="2" fillId="5" borderId="2" xfId="0" applyFont="1" applyFill="1" applyBorder="1" applyAlignment="1">
      <alignment horizontal="left"/>
    </xf>
    <xf numFmtId="0" fontId="2" fillId="5" borderId="7" xfId="0" applyFont="1" applyFill="1" applyBorder="1" applyAlignment="1">
      <alignment horizontal="left"/>
    </xf>
    <xf numFmtId="0" fontId="22" fillId="7" borderId="2" xfId="0" applyFont="1" applyFill="1" applyBorder="1" applyAlignment="1">
      <alignment horizontal="center"/>
    </xf>
    <xf numFmtId="0" fontId="8" fillId="5" borderId="2" xfId="0" applyFont="1" applyFill="1" applyBorder="1" applyAlignment="1">
      <alignment horizontal="center"/>
    </xf>
    <xf numFmtId="0" fontId="25" fillId="5" borderId="2" xfId="0" applyFont="1" applyFill="1" applyBorder="1" applyAlignment="1">
      <alignment horizontal="center"/>
    </xf>
    <xf numFmtId="0" fontId="26" fillId="5" borderId="2" xfId="0" applyFont="1" applyFill="1" applyBorder="1" applyAlignment="1">
      <alignment horizontal="center"/>
    </xf>
    <xf numFmtId="0" fontId="27" fillId="5" borderId="2" xfId="0" applyFont="1" applyFill="1" applyBorder="1" applyAlignment="1">
      <alignment horizontal="center"/>
    </xf>
    <xf numFmtId="0" fontId="28" fillId="5" borderId="5" xfId="0" applyFont="1" applyFill="1" applyBorder="1" applyAlignment="1">
      <alignment horizontal="center"/>
    </xf>
    <xf numFmtId="0" fontId="2" fillId="5" borderId="7" xfId="0" applyFont="1" applyFill="1" applyBorder="1" applyAlignment="1">
      <alignment horizontal="left" vertical="center"/>
    </xf>
    <xf numFmtId="0" fontId="24" fillId="5" borderId="2" xfId="0" applyFont="1" applyFill="1" applyBorder="1" applyAlignment="1">
      <alignment horizontal="center"/>
    </xf>
    <xf numFmtId="0" fontId="23" fillId="5" borderId="2" xfId="0" applyFont="1" applyFill="1" applyBorder="1" applyAlignment="1">
      <alignment horizontal="center"/>
    </xf>
    <xf numFmtId="0" fontId="8" fillId="5" borderId="5" xfId="0" applyFont="1" applyFill="1" applyBorder="1" applyAlignment="1">
      <alignment horizontal="center"/>
    </xf>
    <xf numFmtId="0" fontId="18" fillId="5" borderId="5" xfId="0" applyFont="1" applyFill="1" applyBorder="1" applyAlignment="1">
      <alignment horizontal="center" wrapText="1"/>
    </xf>
    <xf numFmtId="0" fontId="2" fillId="5" borderId="2" xfId="0" applyFont="1" applyFill="1" applyBorder="1"/>
    <xf numFmtId="0" fontId="2" fillId="5" borderId="7" xfId="0" applyFont="1" applyFill="1" applyBorder="1"/>
    <xf numFmtId="0" fontId="29" fillId="5" borderId="2" xfId="0" applyFont="1" applyFill="1" applyBorder="1" applyAlignment="1">
      <alignment horizontal="center"/>
    </xf>
    <xf numFmtId="0" fontId="30" fillId="5" borderId="2" xfId="0" applyFont="1" applyFill="1" applyBorder="1" applyAlignment="1">
      <alignment horizontal="center"/>
    </xf>
    <xf numFmtId="0" fontId="17" fillId="0" borderId="0" xfId="0" applyFont="1" applyAlignment="1">
      <alignment horizontal="center"/>
    </xf>
    <xf numFmtId="0" fontId="16" fillId="5" borderId="5" xfId="0" applyFont="1" applyFill="1" applyBorder="1" applyAlignment="1">
      <alignment horizontal="center"/>
    </xf>
    <xf numFmtId="0" fontId="28" fillId="5" borderId="2" xfId="0" applyFont="1" applyFill="1" applyBorder="1" applyAlignment="1">
      <alignment horizontal="center"/>
    </xf>
    <xf numFmtId="0" fontId="31" fillId="5" borderId="2" xfId="0" applyFont="1" applyFill="1" applyBorder="1" applyAlignment="1">
      <alignment horizontal="center"/>
    </xf>
    <xf numFmtId="0" fontId="32" fillId="5" borderId="2" xfId="0" applyFont="1" applyFill="1" applyBorder="1" applyAlignment="1">
      <alignment horizontal="center"/>
    </xf>
    <xf numFmtId="0" fontId="2" fillId="0" borderId="5" xfId="0" applyFont="1" applyBorder="1" applyAlignment="1">
      <alignment horizontal="left"/>
    </xf>
    <xf numFmtId="0" fontId="2" fillId="0" borderId="8" xfId="0" applyFont="1" applyBorder="1" applyAlignment="1">
      <alignment horizontal="left"/>
    </xf>
    <xf numFmtId="0" fontId="24" fillId="0" borderId="2" xfId="0" applyFont="1" applyBorder="1" applyAlignment="1">
      <alignment horizontal="center"/>
    </xf>
    <xf numFmtId="0" fontId="22" fillId="0" borderId="2" xfId="0" applyFont="1" applyBorder="1" applyAlignment="1">
      <alignment horizontal="center"/>
    </xf>
    <xf numFmtId="0" fontId="33" fillId="0" borderId="2" xfId="0" applyFont="1" applyBorder="1" applyAlignment="1">
      <alignment horizontal="center"/>
    </xf>
    <xf numFmtId="0" fontId="2" fillId="0" borderId="2" xfId="0" applyFont="1" applyBorder="1" applyAlignment="1">
      <alignment horizontal="left"/>
    </xf>
    <xf numFmtId="0" fontId="0" fillId="0" borderId="5" xfId="0" applyBorder="1" applyAlignment="1">
      <alignment horizontal="center"/>
    </xf>
    <xf numFmtId="0" fontId="22" fillId="0" borderId="5" xfId="0" applyFont="1" applyBorder="1" applyAlignment="1">
      <alignment horizontal="center"/>
    </xf>
    <xf numFmtId="0" fontId="23" fillId="0" borderId="2" xfId="0" applyFont="1" applyBorder="1" applyAlignment="1">
      <alignment horizontal="center"/>
    </xf>
    <xf numFmtId="0" fontId="2" fillId="0" borderId="2" xfId="0" applyFont="1" applyBorder="1"/>
    <xf numFmtId="0" fontId="27" fillId="0" borderId="2" xfId="0" applyFont="1" applyBorder="1" applyAlignment="1">
      <alignment horizontal="center"/>
    </xf>
    <xf numFmtId="0" fontId="34" fillId="0" borderId="2" xfId="0" applyFont="1" applyBorder="1" applyAlignment="1">
      <alignment horizontal="center"/>
    </xf>
    <xf numFmtId="0" fontId="28" fillId="0" borderId="2" xfId="0" applyFont="1" applyBorder="1" applyAlignment="1">
      <alignment horizontal="center"/>
    </xf>
    <xf numFmtId="0" fontId="32" fillId="0" borderId="2" xfId="0" applyFont="1" applyBorder="1" applyAlignment="1">
      <alignment horizontal="center"/>
    </xf>
    <xf numFmtId="0" fontId="2" fillId="0" borderId="4" xfId="0" applyFont="1" applyBorder="1" applyAlignment="1">
      <alignment horizontal="left"/>
    </xf>
    <xf numFmtId="0" fontId="0" fillId="0" borderId="4" xfId="0" applyBorder="1" applyAlignment="1">
      <alignment horizontal="center"/>
    </xf>
    <xf numFmtId="0" fontId="22" fillId="0" borderId="4" xfId="0" applyFont="1" applyBorder="1" applyAlignment="1">
      <alignment horizontal="center"/>
    </xf>
    <xf numFmtId="0" fontId="24" fillId="0" borderId="4" xfId="0" applyFont="1" applyBorder="1"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8" fillId="0" borderId="2" xfId="0" applyFont="1" applyBorder="1" applyAlignment="1">
      <alignment horizontal="center" vertical="center"/>
    </xf>
    <xf numFmtId="0" fontId="6" fillId="6" borderId="16" xfId="0" applyFont="1" applyFill="1" applyBorder="1" applyAlignment="1">
      <alignment horizontal="center" vertical="center" wrapText="1"/>
    </xf>
    <xf numFmtId="0" fontId="35" fillId="0" borderId="2" xfId="0" applyFont="1" applyBorder="1" applyAlignment="1">
      <alignment horizontal="center" vertical="center"/>
    </xf>
    <xf numFmtId="0" fontId="36" fillId="0" borderId="2" xfId="0" applyFont="1" applyBorder="1" applyAlignment="1">
      <alignment horizontal="center" vertical="center"/>
    </xf>
    <xf numFmtId="0" fontId="15" fillId="5" borderId="2" xfId="0" applyFont="1" applyFill="1" applyBorder="1" applyAlignment="1">
      <alignment horizontal="center"/>
    </xf>
    <xf numFmtId="0" fontId="37" fillId="3" borderId="1" xfId="0" applyFont="1" applyFill="1" applyBorder="1" applyAlignment="1">
      <alignment horizontal="center" vertical="center" wrapText="1"/>
    </xf>
    <xf numFmtId="0" fontId="37" fillId="0" borderId="2" xfId="0" applyFont="1" applyBorder="1" applyAlignment="1">
      <alignment horizontal="center"/>
    </xf>
    <xf numFmtId="0" fontId="37" fillId="5" borderId="0" xfId="0" applyFont="1" applyFill="1" applyAlignment="1">
      <alignment horizontal="center"/>
    </xf>
    <xf numFmtId="0" fontId="37" fillId="0" borderId="0" xfId="0" applyFont="1" applyAlignment="1">
      <alignment horizontal="center"/>
    </xf>
    <xf numFmtId="0" fontId="16" fillId="0" borderId="2" xfId="0" applyFont="1" applyBorder="1" applyAlignment="1">
      <alignment horizontal="center" vertical="center"/>
    </xf>
    <xf numFmtId="0" fontId="17" fillId="0" borderId="2" xfId="0" applyFont="1" applyBorder="1" applyAlignment="1">
      <alignment horizontal="center" vertical="center"/>
    </xf>
    <xf numFmtId="0" fontId="18" fillId="0" borderId="2" xfId="0" applyFont="1" applyBorder="1" applyAlignment="1">
      <alignment horizontal="center" vertical="center"/>
    </xf>
    <xf numFmtId="0" fontId="9" fillId="4" borderId="2" xfId="0" applyFont="1" applyFill="1" applyBorder="1"/>
    <xf numFmtId="0" fontId="19" fillId="0" borderId="2" xfId="0" applyFont="1" applyBorder="1" applyAlignment="1">
      <alignment horizontal="center" vertical="center"/>
    </xf>
    <xf numFmtId="0" fontId="38" fillId="0" borderId="2" xfId="0" applyFont="1" applyBorder="1" applyAlignment="1">
      <alignment horizontal="center"/>
    </xf>
    <xf numFmtId="0" fontId="38" fillId="0" borderId="2" xfId="0" applyFont="1" applyBorder="1" applyAlignment="1">
      <alignment horizontal="center" vertical="center"/>
    </xf>
    <xf numFmtId="0" fontId="39" fillId="0" borderId="2" xfId="0" applyFont="1" applyBorder="1" applyAlignment="1">
      <alignment horizontal="center" vertical="center"/>
    </xf>
    <xf numFmtId="0" fontId="0" fillId="5" borderId="2" xfId="0" applyFill="1" applyBorder="1" applyAlignment="1">
      <alignment horizontal="center" vertical="center"/>
    </xf>
    <xf numFmtId="0" fontId="16" fillId="5" borderId="2" xfId="0" applyFont="1" applyFill="1" applyBorder="1" applyAlignment="1">
      <alignment horizontal="center" vertical="center"/>
    </xf>
    <xf numFmtId="0" fontId="0" fillId="0" borderId="7" xfId="0" applyBorder="1" applyAlignment="1">
      <alignment horizontal="center" vertical="center"/>
    </xf>
    <xf numFmtId="0" fontId="0" fillId="0" borderId="21" xfId="0" applyBorder="1" applyAlignment="1">
      <alignment horizontal="center" vertical="center"/>
    </xf>
    <xf numFmtId="0" fontId="17" fillId="0" borderId="4" xfId="0" applyFont="1" applyBorder="1" applyAlignment="1">
      <alignment horizontal="center" vertical="center"/>
    </xf>
    <xf numFmtId="0" fontId="16" fillId="0" borderId="22" xfId="0" applyFont="1" applyBorder="1" applyAlignment="1">
      <alignment horizontal="center" vertical="center"/>
    </xf>
    <xf numFmtId="0" fontId="8" fillId="0" borderId="21" xfId="0" applyFont="1" applyBorder="1" applyAlignment="1">
      <alignment horizontal="center" vertical="center"/>
    </xf>
    <xf numFmtId="0" fontId="0" fillId="0" borderId="2" xfId="0" applyBorder="1" applyAlignment="1">
      <alignment vertical="center"/>
    </xf>
    <xf numFmtId="0" fontId="40" fillId="0" borderId="0" xfId="0" applyFont="1" applyAlignment="1">
      <alignment horizontal="center"/>
    </xf>
    <xf numFmtId="0" fontId="20" fillId="0" borderId="2" xfId="0" applyFont="1" applyBorder="1" applyAlignment="1">
      <alignment horizontal="center" vertical="center"/>
    </xf>
    <xf numFmtId="0" fontId="0" fillId="0" borderId="23" xfId="0" applyBorder="1" applyAlignment="1">
      <alignment horizontal="center" vertical="center"/>
    </xf>
    <xf numFmtId="0" fontId="0" fillId="0" borderId="5" xfId="0" applyBorder="1" applyAlignment="1">
      <alignment horizontal="center" vertical="center"/>
    </xf>
    <xf numFmtId="0" fontId="5" fillId="3" borderId="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17" fillId="0" borderId="7" xfId="0" applyFont="1" applyBorder="1" applyAlignment="1">
      <alignment horizontal="center" vertical="center"/>
    </xf>
    <xf numFmtId="0" fontId="8" fillId="0" borderId="7" xfId="0" applyFont="1" applyBorder="1" applyAlignment="1">
      <alignment horizontal="center" vertical="center"/>
    </xf>
    <xf numFmtId="0" fontId="41" fillId="0" borderId="2" xfId="0" applyFont="1" applyBorder="1" applyAlignment="1">
      <alignment horizontal="center" vertical="center"/>
    </xf>
    <xf numFmtId="0" fontId="42" fillId="0" borderId="0" xfId="0" applyFont="1"/>
    <xf numFmtId="0" fontId="17" fillId="5" borderId="2" xfId="0" applyFont="1" applyFill="1" applyBorder="1" applyAlignment="1">
      <alignment horizontal="center" vertical="center"/>
    </xf>
    <xf numFmtId="0" fontId="0" fillId="0" borderId="4" xfId="0" applyBorder="1" applyAlignment="1">
      <alignment horizontal="center" vertical="center"/>
    </xf>
    <xf numFmtId="0" fontId="0" fillId="0" borderId="24" xfId="0" applyBorder="1" applyAlignment="1">
      <alignment horizontal="center" vertical="center"/>
    </xf>
    <xf numFmtId="0" fontId="20" fillId="0" borderId="7" xfId="0" applyFont="1" applyBorder="1" applyAlignment="1">
      <alignment horizontal="center" vertical="center"/>
    </xf>
    <xf numFmtId="0" fontId="43" fillId="0" borderId="2" xfId="0" applyFont="1" applyBorder="1" applyAlignment="1">
      <alignment horizontal="center" vertical="center"/>
    </xf>
    <xf numFmtId="0" fontId="8" fillId="0" borderId="0" xfId="0" applyFont="1" applyAlignment="1">
      <alignment horizontal="center" vertical="center"/>
    </xf>
    <xf numFmtId="0" fontId="43" fillId="0" borderId="0" xfId="0" applyFont="1" applyAlignment="1">
      <alignment horizontal="center" vertical="center"/>
    </xf>
    <xf numFmtId="0" fontId="0" fillId="5" borderId="0" xfId="0" applyFill="1" applyAlignment="1">
      <alignment horizontal="center" vertical="center"/>
    </xf>
    <xf numFmtId="0" fontId="8" fillId="5" borderId="0" xfId="0" applyFont="1" applyFill="1" applyAlignment="1">
      <alignment horizontal="center"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22" fillId="0" borderId="2" xfId="0" applyFont="1" applyBorder="1" applyAlignment="1">
      <alignment horizontal="center" vertical="center"/>
    </xf>
    <xf numFmtId="0" fontId="22" fillId="0" borderId="7" xfId="0" applyFont="1" applyBorder="1" applyAlignment="1">
      <alignment horizontal="center" vertical="center"/>
    </xf>
    <xf numFmtId="0" fontId="22" fillId="5" borderId="2" xfId="0" applyFont="1" applyFill="1" applyBorder="1" applyAlignment="1">
      <alignment horizontal="center" vertical="center"/>
    </xf>
    <xf numFmtId="0" fontId="22" fillId="0" borderId="21" xfId="0" applyFont="1" applyBorder="1" applyAlignment="1">
      <alignment horizontal="center" vertical="center"/>
    </xf>
    <xf numFmtId="0" fontId="40" fillId="0" borderId="2" xfId="0" applyFont="1" applyBorder="1" applyAlignment="1">
      <alignment horizontal="center"/>
    </xf>
    <xf numFmtId="0" fontId="0" fillId="0" borderId="5" xfId="0" applyBorder="1"/>
    <xf numFmtId="0" fontId="44" fillId="0" borderId="2" xfId="0" applyFont="1" applyBorder="1" applyAlignment="1">
      <alignment horizontal="center" vertical="center"/>
    </xf>
    <xf numFmtId="0" fontId="45" fillId="0" borderId="2" xfId="0" applyFont="1" applyBorder="1" applyAlignment="1">
      <alignment horizontal="center" vertical="center"/>
    </xf>
    <xf numFmtId="0" fontId="46" fillId="0" borderId="9" xfId="0" applyFont="1" applyBorder="1" applyAlignment="1">
      <alignment horizontal="center"/>
    </xf>
    <xf numFmtId="0" fontId="45" fillId="0" borderId="7" xfId="0" applyFont="1" applyBorder="1" applyAlignment="1">
      <alignment horizontal="center" vertical="center"/>
    </xf>
    <xf numFmtId="0" fontId="48" fillId="4" borderId="2" xfId="0" applyFont="1" applyFill="1" applyBorder="1" applyAlignment="1">
      <alignment horizontal="left"/>
    </xf>
    <xf numFmtId="0" fontId="48" fillId="4" borderId="2" xfId="0" applyFont="1" applyFill="1" applyBorder="1"/>
    <xf numFmtId="0" fontId="22" fillId="8" borderId="2" xfId="0" applyFont="1" applyFill="1" applyBorder="1" applyAlignment="1">
      <alignment horizontal="center" vertical="center"/>
    </xf>
    <xf numFmtId="0" fontId="49" fillId="0" borderId="2" xfId="0" applyFont="1" applyBorder="1" applyAlignment="1">
      <alignment horizontal="center" vertical="center"/>
    </xf>
    <xf numFmtId="0" fontId="16" fillId="0" borderId="7" xfId="0" applyFont="1" applyBorder="1" applyAlignment="1">
      <alignment horizontal="center" vertical="center"/>
    </xf>
    <xf numFmtId="0" fontId="6" fillId="4" borderId="7" xfId="0" applyFont="1" applyFill="1" applyBorder="1" applyAlignment="1">
      <alignment horizontal="left"/>
    </xf>
    <xf numFmtId="0" fontId="6" fillId="4" borderId="7" xfId="0" applyFont="1" applyFill="1" applyBorder="1"/>
    <xf numFmtId="0" fontId="6" fillId="4" borderId="7" xfId="0" applyFont="1" applyFill="1" applyBorder="1" applyAlignment="1">
      <alignment horizontal="left" wrapText="1"/>
    </xf>
    <xf numFmtId="0" fontId="21" fillId="4" borderId="7" xfId="0" applyFont="1" applyFill="1" applyBorder="1"/>
    <xf numFmtId="0" fontId="6" fillId="4" borderId="23" xfId="0" applyFont="1" applyFill="1" applyBorder="1" applyAlignment="1">
      <alignment horizontal="left"/>
    </xf>
    <xf numFmtId="0" fontId="8" fillId="0" borderId="3" xfId="0" applyFont="1" applyBorder="1" applyAlignment="1">
      <alignment horizontal="center" vertical="center"/>
    </xf>
    <xf numFmtId="0" fontId="8" fillId="5" borderId="2" xfId="0" applyFont="1" applyFill="1" applyBorder="1" applyAlignment="1">
      <alignment horizontal="center" vertical="center"/>
    </xf>
    <xf numFmtId="0" fontId="15" fillId="5" borderId="2" xfId="0" applyFont="1" applyFill="1" applyBorder="1" applyAlignment="1">
      <alignment horizontal="center" vertical="center"/>
    </xf>
    <xf numFmtId="0" fontId="18" fillId="5" borderId="2" xfId="0" applyFont="1" applyFill="1" applyBorder="1" applyAlignment="1">
      <alignment horizontal="center" vertical="center"/>
    </xf>
    <xf numFmtId="0" fontId="21" fillId="4" borderId="4" xfId="0" applyFont="1" applyFill="1" applyBorder="1"/>
    <xf numFmtId="0" fontId="44" fillId="0" borderId="0" xfId="0" applyFont="1" applyAlignment="1">
      <alignment horizontal="center" vertical="center"/>
    </xf>
    <xf numFmtId="0" fontId="46" fillId="0" borderId="2" xfId="0" applyFont="1" applyBorder="1" applyAlignment="1">
      <alignment horizontal="center"/>
    </xf>
    <xf numFmtId="0" fontId="22" fillId="0" borderId="3" xfId="0" applyFont="1" applyBorder="1" applyAlignment="1">
      <alignment horizontal="center" vertical="center"/>
    </xf>
    <xf numFmtId="0" fontId="21" fillId="4" borderId="2" xfId="0" applyFont="1" applyFill="1" applyBorder="1" applyAlignment="1">
      <alignment horizontal="left"/>
    </xf>
    <xf numFmtId="0" fontId="51" fillId="0" borderId="2" xfId="0" applyFont="1" applyBorder="1" applyAlignment="1">
      <alignment horizontal="center"/>
    </xf>
    <xf numFmtId="0" fontId="42" fillId="0" borderId="4" xfId="0" applyFont="1" applyBorder="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51" fillId="0" borderId="0" xfId="0" applyFont="1" applyAlignment="1">
      <alignment horizontal="center"/>
    </xf>
    <xf numFmtId="0" fontId="51" fillId="0" borderId="22" xfId="0" applyFont="1" applyBorder="1" applyAlignment="1">
      <alignment horizontal="center"/>
    </xf>
    <xf numFmtId="0" fontId="46" fillId="0" borderId="5" xfId="0" applyFont="1" applyBorder="1" applyAlignment="1">
      <alignment horizontal="center"/>
    </xf>
    <xf numFmtId="0" fontId="8" fillId="0" borderId="4" xfId="0" applyFont="1" applyBorder="1" applyAlignment="1">
      <alignment horizontal="center" vertical="center"/>
    </xf>
    <xf numFmtId="0" fontId="50" fillId="0" borderId="2" xfId="0" applyFont="1" applyBorder="1" applyAlignment="1">
      <alignment horizontal="center"/>
    </xf>
    <xf numFmtId="0" fontId="22" fillId="0" borderId="5" xfId="0" applyFont="1" applyBorder="1" applyAlignment="1">
      <alignment horizontal="center" vertical="center"/>
    </xf>
    <xf numFmtId="0" fontId="19" fillId="0" borderId="21" xfId="0" applyFont="1" applyBorder="1" applyAlignment="1">
      <alignment horizontal="center" vertical="center"/>
    </xf>
    <xf numFmtId="0" fontId="50" fillId="0" borderId="0" xfId="0" applyFont="1" applyAlignment="1">
      <alignment horizontal="center"/>
    </xf>
    <xf numFmtId="0" fontId="52" fillId="0" borderId="2" xfId="0" applyFont="1" applyBorder="1" applyAlignment="1">
      <alignment horizontal="center" vertical="center"/>
    </xf>
    <xf numFmtId="0" fontId="51" fillId="0" borderId="23" xfId="0" applyFont="1" applyBorder="1" applyAlignment="1">
      <alignment horizontal="center"/>
    </xf>
    <xf numFmtId="0" fontId="51" fillId="0" borderId="5" xfId="0" applyFont="1" applyBorder="1" applyAlignment="1">
      <alignment horizontal="center"/>
    </xf>
    <xf numFmtId="0" fontId="19" fillId="0" borderId="23" xfId="0" applyFont="1" applyBorder="1" applyAlignment="1">
      <alignment horizontal="center" vertical="center"/>
    </xf>
    <xf numFmtId="0" fontId="51" fillId="0" borderId="7" xfId="0" applyFont="1" applyBorder="1" applyAlignment="1">
      <alignment horizontal="center"/>
    </xf>
    <xf numFmtId="0" fontId="8" fillId="0" borderId="25" xfId="0" applyFont="1" applyBorder="1" applyAlignment="1">
      <alignment horizontal="center" vertical="center"/>
    </xf>
    <xf numFmtId="0" fontId="18" fillId="0" borderId="7" xfId="0" applyFont="1" applyBorder="1" applyAlignment="1">
      <alignment horizontal="center" vertical="center"/>
    </xf>
    <xf numFmtId="0" fontId="22" fillId="0" borderId="9" xfId="0" applyFont="1" applyBorder="1" applyAlignment="1">
      <alignment horizontal="center" vertical="center"/>
    </xf>
    <xf numFmtId="0" fontId="47" fillId="0" borderId="21" xfId="0" applyFont="1" applyBorder="1" applyAlignment="1">
      <alignment horizontal="center" vertical="center"/>
    </xf>
    <xf numFmtId="0" fontId="17" fillId="0" borderId="21" xfId="0" applyFont="1" applyBorder="1" applyAlignment="1">
      <alignment horizontal="center" vertical="center"/>
    </xf>
    <xf numFmtId="0" fontId="18" fillId="0" borderId="21" xfId="0" applyFont="1" applyBorder="1" applyAlignment="1">
      <alignment horizontal="center" vertical="center"/>
    </xf>
    <xf numFmtId="0" fontId="22" fillId="0" borderId="4" xfId="0" applyFont="1" applyBorder="1" applyAlignment="1">
      <alignment horizontal="center" vertical="center"/>
    </xf>
    <xf numFmtId="0" fontId="53" fillId="5" borderId="2" xfId="0" applyFont="1" applyFill="1" applyBorder="1" applyAlignment="1">
      <alignment horizontal="center" vertical="center"/>
    </xf>
    <xf numFmtId="0" fontId="17" fillId="0" borderId="25" xfId="0" applyFont="1" applyBorder="1" applyAlignment="1">
      <alignment horizontal="center" vertical="center"/>
    </xf>
    <xf numFmtId="0" fontId="53" fillId="0" borderId="21" xfId="0" applyFont="1" applyBorder="1" applyAlignment="1">
      <alignment horizontal="center" vertical="center"/>
    </xf>
    <xf numFmtId="0" fontId="9" fillId="2" borderId="7" xfId="0" applyFont="1" applyFill="1" applyBorder="1" applyAlignment="1">
      <alignment horizontal="left"/>
    </xf>
    <xf numFmtId="0" fontId="9" fillId="2" borderId="7" xfId="0" applyFont="1" applyFill="1" applyBorder="1"/>
    <xf numFmtId="0" fontId="50" fillId="0" borderId="7" xfId="0" applyFont="1" applyBorder="1" applyAlignment="1">
      <alignment horizontal="center"/>
    </xf>
    <xf numFmtId="0" fontId="50" fillId="0" borderId="25" xfId="0" applyFont="1" applyBorder="1" applyAlignment="1">
      <alignment horizontal="center"/>
    </xf>
    <xf numFmtId="0" fontId="55" fillId="0" borderId="2" xfId="0" applyFont="1" applyBorder="1" applyAlignment="1">
      <alignment horizontal="center"/>
    </xf>
    <xf numFmtId="0" fontId="22" fillId="0" borderId="23" xfId="0" applyFont="1" applyBorder="1" applyAlignment="1">
      <alignment horizontal="center" vertical="center"/>
    </xf>
    <xf numFmtId="0" fontId="19" fillId="0" borderId="24" xfId="0" applyFont="1" applyBorder="1" applyAlignment="1">
      <alignment horizontal="center" vertical="center"/>
    </xf>
    <xf numFmtId="0" fontId="57" fillId="0" borderId="7" xfId="0" applyFont="1" applyBorder="1" applyAlignment="1">
      <alignment horizontal="center"/>
    </xf>
    <xf numFmtId="0" fontId="8" fillId="0" borderId="8" xfId="0" applyFont="1" applyBorder="1" applyAlignment="1">
      <alignment horizontal="center" vertical="center"/>
    </xf>
    <xf numFmtId="0" fontId="51" fillId="0" borderId="21" xfId="0" applyFont="1" applyBorder="1" applyAlignment="1">
      <alignment horizontal="center"/>
    </xf>
    <xf numFmtId="0" fontId="50" fillId="0" borderId="5" xfId="0" applyFont="1" applyBorder="1" applyAlignment="1">
      <alignment horizontal="center"/>
    </xf>
    <xf numFmtId="0" fontId="9" fillId="4" borderId="2" xfId="0" applyFont="1" applyFill="1" applyBorder="1" applyAlignment="1">
      <alignment horizontal="left" wrapText="1"/>
    </xf>
    <xf numFmtId="0" fontId="58" fillId="0" borderId="2" xfId="0" applyFont="1" applyBorder="1" applyAlignment="1">
      <alignment horizontal="center" vertical="center"/>
    </xf>
    <xf numFmtId="0" fontId="44" fillId="0" borderId="21" xfId="0" applyFont="1" applyBorder="1" applyAlignment="1">
      <alignment horizontal="center" vertical="center"/>
    </xf>
    <xf numFmtId="0" fontId="45" fillId="0" borderId="21" xfId="0" applyFont="1" applyBorder="1" applyAlignment="1">
      <alignment horizontal="center" vertical="center"/>
    </xf>
    <xf numFmtId="0" fontId="19" fillId="0" borderId="7" xfId="0" applyFont="1" applyBorder="1" applyAlignment="1">
      <alignment horizontal="center" vertical="center"/>
    </xf>
    <xf numFmtId="0" fontId="19" fillId="5" borderId="2" xfId="0" applyFont="1" applyFill="1" applyBorder="1" applyAlignment="1">
      <alignment horizontal="center" vertical="center"/>
    </xf>
    <xf numFmtId="0" fontId="59" fillId="0" borderId="2" xfId="0" applyFont="1" applyBorder="1" applyAlignment="1">
      <alignment horizontal="center" vertical="center"/>
    </xf>
    <xf numFmtId="0" fontId="57" fillId="0" borderId="2" xfId="0" applyFont="1" applyBorder="1" applyAlignment="1">
      <alignment horizontal="center"/>
    </xf>
    <xf numFmtId="0" fontId="6" fillId="3" borderId="7" xfId="0" applyFont="1" applyFill="1" applyBorder="1" applyAlignment="1">
      <alignment horizontal="center" vertical="center" wrapText="1"/>
    </xf>
    <xf numFmtId="0" fontId="40" fillId="0" borderId="7" xfId="0" applyFont="1" applyBorder="1" applyAlignment="1">
      <alignment horizontal="center"/>
    </xf>
    <xf numFmtId="0" fontId="22" fillId="5" borderId="7" xfId="0" applyFont="1" applyFill="1" applyBorder="1" applyAlignment="1">
      <alignment horizontal="center" vertical="center"/>
    </xf>
    <xf numFmtId="0" fontId="8" fillId="5" borderId="7" xfId="0" applyFont="1" applyFill="1" applyBorder="1" applyAlignment="1">
      <alignment horizontal="center" vertical="center"/>
    </xf>
    <xf numFmtId="0" fontId="21" fillId="4" borderId="2" xfId="0" applyFont="1" applyFill="1" applyBorder="1" applyAlignment="1">
      <alignment horizontal="left" wrapText="1"/>
    </xf>
    <xf numFmtId="0" fontId="20" fillId="0" borderId="5" xfId="0" applyFont="1" applyBorder="1" applyAlignment="1">
      <alignment horizontal="center" vertical="center"/>
    </xf>
    <xf numFmtId="0" fontId="18" fillId="0" borderId="4" xfId="0" applyFont="1" applyBorder="1" applyAlignment="1">
      <alignment horizontal="center" vertical="center"/>
    </xf>
    <xf numFmtId="0" fontId="60" fillId="0" borderId="2" xfId="0" applyFont="1" applyBorder="1" applyAlignment="1">
      <alignment horizontal="center"/>
    </xf>
    <xf numFmtId="0" fontId="61" fillId="0" borderId="2" xfId="0" applyFont="1" applyBorder="1" applyAlignment="1">
      <alignment horizontal="center"/>
    </xf>
    <xf numFmtId="0" fontId="19" fillId="0" borderId="8" xfId="0" applyFont="1" applyBorder="1" applyAlignment="1">
      <alignment horizontal="center" vertical="center"/>
    </xf>
    <xf numFmtId="0" fontId="61" fillId="0" borderId="7" xfId="0" applyFont="1" applyBorder="1" applyAlignment="1">
      <alignment horizontal="center"/>
    </xf>
    <xf numFmtId="0" fontId="21" fillId="4" borderId="7" xfId="0" applyFont="1" applyFill="1" applyBorder="1" applyAlignment="1">
      <alignment horizontal="left"/>
    </xf>
    <xf numFmtId="0" fontId="9" fillId="4" borderId="7" xfId="0" applyFont="1" applyFill="1" applyBorder="1" applyAlignment="1">
      <alignment horizontal="left"/>
    </xf>
    <xf numFmtId="0" fontId="9" fillId="4" borderId="7" xfId="0" applyFont="1" applyFill="1" applyBorder="1" applyAlignment="1">
      <alignment horizontal="left" wrapText="1"/>
    </xf>
    <xf numFmtId="0" fontId="9" fillId="4" borderId="7" xfId="0" applyFont="1" applyFill="1" applyBorder="1"/>
    <xf numFmtId="0" fontId="22" fillId="0" borderId="8" xfId="0" applyFont="1" applyBorder="1" applyAlignment="1">
      <alignment horizontal="center" vertical="center"/>
    </xf>
    <xf numFmtId="0" fontId="62" fillId="4" borderId="7" xfId="0" applyFont="1" applyFill="1" applyBorder="1" applyAlignment="1">
      <alignment horizontal="left"/>
    </xf>
    <xf numFmtId="0" fontId="21" fillId="4" borderId="7" xfId="0" applyFont="1" applyFill="1" applyBorder="1" applyAlignment="1">
      <alignment horizontal="center"/>
    </xf>
    <xf numFmtId="0" fontId="21" fillId="4" borderId="2" xfId="0" applyFont="1" applyFill="1" applyBorder="1" applyAlignment="1">
      <alignment horizontal="center"/>
    </xf>
    <xf numFmtId="0" fontId="21" fillId="4" borderId="4" xfId="0" applyFont="1" applyFill="1" applyBorder="1" applyAlignment="1">
      <alignment horizontal="center"/>
    </xf>
    <xf numFmtId="0" fontId="21" fillId="4" borderId="3" xfId="0" applyFont="1" applyFill="1" applyBorder="1" applyAlignment="1">
      <alignment horizontal="center"/>
    </xf>
    <xf numFmtId="0" fontId="21" fillId="4" borderId="5" xfId="0" applyFont="1" applyFill="1" applyBorder="1" applyAlignment="1">
      <alignment horizontal="left"/>
    </xf>
    <xf numFmtId="0" fontId="21" fillId="4" borderId="4" xfId="0" applyFont="1" applyFill="1" applyBorder="1" applyAlignment="1">
      <alignment horizontal="left"/>
    </xf>
    <xf numFmtId="0" fontId="62" fillId="4" borderId="2" xfId="0" applyFont="1" applyFill="1" applyBorder="1" applyAlignment="1">
      <alignment horizontal="left"/>
    </xf>
    <xf numFmtId="0" fontId="62" fillId="4" borderId="23" xfId="0" applyFont="1" applyFill="1" applyBorder="1" applyAlignment="1">
      <alignment horizontal="left"/>
    </xf>
    <xf numFmtId="0" fontId="21" fillId="4" borderId="5" xfId="0" applyFont="1" applyFill="1" applyBorder="1" applyAlignment="1">
      <alignment horizontal="center"/>
    </xf>
    <xf numFmtId="0" fontId="62" fillId="4" borderId="8" xfId="0" applyFont="1" applyFill="1" applyBorder="1" applyAlignment="1">
      <alignment horizontal="left"/>
    </xf>
    <xf numFmtId="0" fontId="44" fillId="0" borderId="7" xfId="0" applyFont="1" applyBorder="1" applyAlignment="1">
      <alignment horizontal="center" vertical="center"/>
    </xf>
    <xf numFmtId="0" fontId="8" fillId="0" borderId="23" xfId="0" applyFont="1" applyBorder="1" applyAlignment="1">
      <alignment horizontal="center" vertical="center"/>
    </xf>
    <xf numFmtId="0" fontId="19" fillId="0" borderId="22" xfId="0" applyFont="1" applyBorder="1" applyAlignment="1">
      <alignment horizontal="center" vertical="center"/>
    </xf>
    <xf numFmtId="0" fontId="63" fillId="0" borderId="2" xfId="0" applyFont="1" applyBorder="1" applyAlignment="1">
      <alignment horizontal="center" vertical="center"/>
    </xf>
    <xf numFmtId="0" fontId="64" fillId="0" borderId="2" xfId="0" applyFont="1" applyBorder="1" applyAlignment="1">
      <alignment horizontal="center" vertical="center"/>
    </xf>
    <xf numFmtId="0" fontId="23" fillId="0" borderId="2" xfId="0" applyFont="1" applyBorder="1" applyAlignment="1">
      <alignment horizontal="center" vertical="center"/>
    </xf>
    <xf numFmtId="0" fontId="25" fillId="0" borderId="2" xfId="0" applyFont="1" applyBorder="1" applyAlignment="1">
      <alignment horizontal="center" vertical="center"/>
    </xf>
    <xf numFmtId="0" fontId="28" fillId="0" borderId="2" xfId="0" applyFont="1" applyBorder="1" applyAlignment="1">
      <alignment horizontal="center" vertical="center"/>
    </xf>
    <xf numFmtId="0" fontId="65" fillId="0" borderId="2" xfId="0" applyFont="1" applyBorder="1" applyAlignment="1">
      <alignment horizontal="center" vertical="center"/>
    </xf>
    <xf numFmtId="0" fontId="65" fillId="0" borderId="4" xfId="0" applyFont="1" applyBorder="1" applyAlignment="1">
      <alignment horizontal="center" vertical="center"/>
    </xf>
    <xf numFmtId="0" fontId="34" fillId="0" borderId="2" xfId="0" applyFont="1" applyBorder="1" applyAlignment="1">
      <alignment horizontal="center" vertical="center"/>
    </xf>
    <xf numFmtId="0" fontId="10" fillId="0" borderId="2" xfId="0" applyFont="1" applyBorder="1" applyAlignment="1">
      <alignment horizontal="center" vertical="center"/>
    </xf>
    <xf numFmtId="0" fontId="66" fillId="0" borderId="5" xfId="0" applyFont="1" applyBorder="1" applyAlignment="1">
      <alignment horizontal="center" vertical="center"/>
    </xf>
    <xf numFmtId="0" fontId="67" fillId="0" borderId="2" xfId="0" applyFont="1" applyBorder="1" applyAlignment="1">
      <alignment horizontal="center"/>
    </xf>
    <xf numFmtId="0" fontId="8" fillId="0" borderId="5" xfId="0" applyFont="1" applyBorder="1" applyAlignment="1">
      <alignment horizontal="center" vertical="center"/>
    </xf>
    <xf numFmtId="0" fontId="53" fillId="0" borderId="2" xfId="0" applyFont="1" applyBorder="1" applyAlignment="1">
      <alignment horizontal="center" vertical="center"/>
    </xf>
    <xf numFmtId="0" fontId="68" fillId="0" borderId="2" xfId="0" applyFont="1" applyBorder="1" applyAlignment="1">
      <alignment horizontal="center"/>
    </xf>
    <xf numFmtId="0" fontId="20" fillId="5" borderId="2" xfId="0" applyFont="1" applyFill="1" applyBorder="1" applyAlignment="1">
      <alignment horizontal="center" vertical="center"/>
    </xf>
    <xf numFmtId="0" fontId="50" fillId="0" borderId="4" xfId="0" applyFont="1" applyBorder="1" applyAlignment="1">
      <alignment horizontal="center"/>
    </xf>
    <xf numFmtId="0" fontId="50" fillId="0" borderId="21" xfId="0" applyFont="1" applyBorder="1" applyAlignment="1">
      <alignment horizontal="center"/>
    </xf>
    <xf numFmtId="0" fontId="0" fillId="0" borderId="0" xfId="0" applyAlignment="1">
      <alignment horizontal="left" vertical="center"/>
    </xf>
    <xf numFmtId="0" fontId="25" fillId="0" borderId="7" xfId="0" applyFont="1" applyBorder="1" applyAlignment="1">
      <alignment horizontal="center" vertical="center"/>
    </xf>
    <xf numFmtId="0" fontId="5" fillId="3" borderId="16" xfId="0" applyFont="1" applyFill="1" applyBorder="1" applyAlignment="1">
      <alignment vertical="center" wrapText="1"/>
    </xf>
    <xf numFmtId="0" fontId="21" fillId="4" borderId="7" xfId="0" applyFont="1" applyFill="1" applyBorder="1" applyAlignment="1">
      <alignment wrapText="1"/>
    </xf>
    <xf numFmtId="0" fontId="21" fillId="4" borderId="9" xfId="0" applyFont="1" applyFill="1" applyBorder="1"/>
    <xf numFmtId="0" fontId="21" fillId="4" borderId="3" xfId="0" applyFont="1" applyFill="1" applyBorder="1"/>
    <xf numFmtId="0" fontId="0" fillId="0" borderId="0" xfId="0" applyAlignment="1">
      <alignment vertical="center"/>
    </xf>
    <xf numFmtId="0" fontId="5" fillId="3" borderId="16" xfId="0" applyFont="1" applyFill="1" applyBorder="1" applyAlignment="1">
      <alignment horizontal="right" vertical="center" wrapText="1"/>
    </xf>
    <xf numFmtId="0" fontId="21" fillId="4" borderId="7" xfId="0" applyFont="1" applyFill="1" applyBorder="1" applyAlignment="1">
      <alignment horizontal="right"/>
    </xf>
    <xf numFmtId="0" fontId="21" fillId="4" borderId="2" xfId="0" applyFont="1" applyFill="1" applyBorder="1" applyAlignment="1">
      <alignment horizontal="right"/>
    </xf>
    <xf numFmtId="0" fontId="21" fillId="4" borderId="7" xfId="0" applyFont="1" applyFill="1" applyBorder="1" applyAlignment="1">
      <alignment horizontal="right" wrapText="1"/>
    </xf>
    <xf numFmtId="0" fontId="9" fillId="4" borderId="2" xfId="0" applyFont="1" applyFill="1" applyBorder="1" applyAlignment="1">
      <alignment horizontal="right"/>
    </xf>
    <xf numFmtId="0" fontId="21" fillId="4" borderId="4" xfId="0" applyFont="1" applyFill="1" applyBorder="1" applyAlignment="1">
      <alignment horizontal="right"/>
    </xf>
    <xf numFmtId="0" fontId="21" fillId="4" borderId="9" xfId="0" applyFont="1" applyFill="1" applyBorder="1" applyAlignment="1">
      <alignment horizontal="right"/>
    </xf>
    <xf numFmtId="0" fontId="21" fillId="4" borderId="3" xfId="0" applyFont="1" applyFill="1" applyBorder="1" applyAlignment="1">
      <alignment horizontal="right"/>
    </xf>
    <xf numFmtId="0" fontId="42" fillId="0" borderId="0" xfId="0" applyFont="1" applyAlignment="1">
      <alignment horizontal="right"/>
    </xf>
    <xf numFmtId="0" fontId="4" fillId="0" borderId="0" xfId="0" applyFont="1" applyAlignment="1">
      <alignment horizontal="right"/>
    </xf>
    <xf numFmtId="0" fontId="0" fillId="0" borderId="0" xfId="0" applyAlignment="1">
      <alignment horizontal="right" vertical="center"/>
    </xf>
    <xf numFmtId="0" fontId="0" fillId="0" borderId="0" xfId="0" applyAlignment="1">
      <alignment horizontal="right"/>
    </xf>
    <xf numFmtId="0" fontId="20" fillId="0" borderId="4" xfId="0" applyFont="1" applyBorder="1" applyAlignment="1">
      <alignment horizontal="center" vertical="center"/>
    </xf>
    <xf numFmtId="0" fontId="69" fillId="0" borderId="2" xfId="0" applyFont="1" applyBorder="1" applyAlignment="1">
      <alignment horizontal="center" vertical="center"/>
    </xf>
    <xf numFmtId="0" fontId="70" fillId="3" borderId="16" xfId="0" applyFont="1" applyFill="1" applyBorder="1" applyAlignment="1">
      <alignment horizontal="center" vertical="center" wrapText="1"/>
    </xf>
    <xf numFmtId="0" fontId="70" fillId="0" borderId="7" xfId="0" applyFont="1" applyBorder="1" applyAlignment="1">
      <alignment horizontal="center" vertical="center"/>
    </xf>
    <xf numFmtId="0" fontId="70" fillId="0" borderId="2" xfId="0" applyFont="1" applyBorder="1" applyAlignment="1">
      <alignment horizontal="center" vertical="center"/>
    </xf>
    <xf numFmtId="0" fontId="71" fillId="0" borderId="0" xfId="0" applyFont="1"/>
    <xf numFmtId="0" fontId="21" fillId="2" borderId="2" xfId="0" applyFont="1" applyFill="1" applyBorder="1"/>
    <xf numFmtId="0" fontId="72" fillId="0" borderId="2" xfId="0" applyFont="1" applyBorder="1" applyAlignment="1">
      <alignment horizontal="center" vertical="center"/>
    </xf>
    <xf numFmtId="0" fontId="73" fillId="0" borderId="2" xfId="0" applyFont="1" applyBorder="1" applyAlignment="1">
      <alignment horizontal="center"/>
    </xf>
    <xf numFmtId="0" fontId="8" fillId="0" borderId="22" xfId="0" applyFont="1" applyBorder="1" applyAlignment="1">
      <alignment horizontal="center" vertical="center"/>
    </xf>
    <xf numFmtId="0" fontId="74" fillId="0" borderId="2" xfId="0" applyFont="1" applyBorder="1" applyAlignment="1">
      <alignment horizontal="center"/>
    </xf>
    <xf numFmtId="0" fontId="75" fillId="0" borderId="2" xfId="0" applyFont="1" applyBorder="1" applyAlignment="1">
      <alignment horizontal="center"/>
    </xf>
    <xf numFmtId="0" fontId="76" fillId="0" borderId="2" xfId="0" applyFont="1" applyBorder="1" applyAlignment="1">
      <alignment horizontal="center" vertical="center"/>
    </xf>
    <xf numFmtId="0" fontId="77" fillId="0" borderId="2" xfId="0" applyFont="1" applyBorder="1" applyAlignment="1">
      <alignment horizontal="center" vertical="center"/>
    </xf>
    <xf numFmtId="0" fontId="76" fillId="5" borderId="2" xfId="0" applyFont="1" applyFill="1" applyBorder="1" applyAlignment="1">
      <alignment horizontal="center" vertical="center"/>
    </xf>
    <xf numFmtId="0" fontId="76" fillId="0" borderId="5" xfId="0" applyFont="1" applyBorder="1" applyAlignment="1">
      <alignment horizontal="center" vertical="center"/>
    </xf>
    <xf numFmtId="0" fontId="76" fillId="0" borderId="4" xfId="0" applyFont="1" applyBorder="1" applyAlignment="1">
      <alignment horizontal="center" vertical="center"/>
    </xf>
    <xf numFmtId="0" fontId="77" fillId="0" borderId="22" xfId="0" applyFont="1" applyBorder="1" applyAlignment="1">
      <alignment horizontal="center" vertical="center"/>
    </xf>
    <xf numFmtId="0" fontId="78" fillId="0" borderId="2" xfId="0" applyFont="1" applyBorder="1" applyAlignment="1">
      <alignment horizontal="center"/>
    </xf>
    <xf numFmtId="0" fontId="79" fillId="0" borderId="2" xfId="0" applyFont="1" applyBorder="1" applyAlignment="1">
      <alignment horizontal="center" vertical="center"/>
    </xf>
    <xf numFmtId="0" fontId="80" fillId="0" borderId="2" xfId="0" applyFont="1" applyBorder="1" applyAlignment="1">
      <alignment horizontal="center" vertical="center"/>
    </xf>
    <xf numFmtId="0" fontId="78" fillId="0" borderId="7" xfId="0" applyFont="1" applyBorder="1" applyAlignment="1">
      <alignment horizontal="center"/>
    </xf>
    <xf numFmtId="0" fontId="17" fillId="0" borderId="5" xfId="0" applyFont="1" applyBorder="1" applyAlignment="1">
      <alignment horizontal="center" vertical="center"/>
    </xf>
    <xf numFmtId="0" fontId="20" fillId="0" borderId="21" xfId="0" applyFont="1" applyBorder="1" applyAlignment="1">
      <alignment horizontal="center" vertical="center"/>
    </xf>
    <xf numFmtId="0" fontId="22" fillId="0" borderId="24" xfId="0" applyFont="1" applyBorder="1" applyAlignment="1">
      <alignment horizontal="center" vertical="center"/>
    </xf>
    <xf numFmtId="0" fontId="81" fillId="0" borderId="2" xfId="0" applyFont="1" applyBorder="1" applyAlignment="1">
      <alignment horizontal="center" vertical="center"/>
    </xf>
    <xf numFmtId="0" fontId="22" fillId="0" borderId="0" xfId="0" applyFont="1" applyAlignment="1">
      <alignment horizontal="center" vertical="center"/>
    </xf>
    <xf numFmtId="0" fontId="11" fillId="3" borderId="16" xfId="0" applyFont="1" applyFill="1" applyBorder="1" applyAlignment="1">
      <alignment horizontal="center" vertical="center" wrapText="1"/>
    </xf>
    <xf numFmtId="0" fontId="9" fillId="4" borderId="4" xfId="0" applyFont="1" applyFill="1" applyBorder="1"/>
    <xf numFmtId="0" fontId="82" fillId="0" borderId="2" xfId="0" applyFont="1" applyBorder="1" applyAlignment="1">
      <alignment horizontal="center"/>
    </xf>
    <xf numFmtId="0" fontId="79" fillId="0" borderId="21" xfId="0" applyFont="1" applyBorder="1" applyAlignment="1">
      <alignment horizontal="center" vertical="center"/>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17" fillId="0" borderId="23" xfId="0" applyFont="1" applyBorder="1" applyAlignment="1">
      <alignment horizontal="center" vertical="center"/>
    </xf>
    <xf numFmtId="0" fontId="17" fillId="0" borderId="4" xfId="0" applyFont="1" applyBorder="1" applyAlignment="1">
      <alignment horizontal="center"/>
    </xf>
    <xf numFmtId="0" fontId="19" fillId="0" borderId="3" xfId="0" applyFont="1" applyBorder="1" applyAlignment="1">
      <alignment horizontal="center" vertical="center"/>
    </xf>
    <xf numFmtId="0" fontId="82" fillId="0" borderId="7" xfId="0" applyFont="1" applyBorder="1" applyAlignment="1">
      <alignment horizontal="center"/>
    </xf>
    <xf numFmtId="0" fontId="8" fillId="0" borderId="24" xfId="0" applyFont="1" applyBorder="1" applyAlignment="1">
      <alignment horizontal="center" vertical="center"/>
    </xf>
    <xf numFmtId="0" fontId="45" fillId="0" borderId="4" xfId="0" applyFont="1" applyBorder="1" applyAlignment="1">
      <alignment horizontal="center" vertical="center"/>
    </xf>
    <xf numFmtId="0" fontId="80" fillId="0" borderId="4" xfId="0" applyFont="1" applyBorder="1" applyAlignment="1">
      <alignment horizontal="center" vertical="center"/>
    </xf>
    <xf numFmtId="0" fontId="0" fillId="0" borderId="22" xfId="0" applyBorder="1" applyAlignment="1">
      <alignment horizontal="center" vertical="center"/>
    </xf>
    <xf numFmtId="0" fontId="22" fillId="5" borderId="21" xfId="0" applyFont="1" applyFill="1" applyBorder="1" applyAlignment="1">
      <alignment horizontal="center" vertical="center"/>
    </xf>
    <xf numFmtId="0" fontId="79" fillId="0" borderId="7" xfId="0" applyFont="1" applyBorder="1" applyAlignment="1">
      <alignment horizontal="center" vertical="center"/>
    </xf>
    <xf numFmtId="0" fontId="40" fillId="0" borderId="21" xfId="0" applyFont="1" applyBorder="1" applyAlignment="1">
      <alignment horizontal="center"/>
    </xf>
    <xf numFmtId="0" fontId="40" fillId="0" borderId="3" xfId="0" applyFont="1" applyBorder="1" applyAlignment="1">
      <alignment horizontal="center"/>
    </xf>
    <xf numFmtId="0" fontId="19" fillId="5" borderId="21" xfId="0" applyFont="1" applyFill="1" applyBorder="1" applyAlignment="1">
      <alignment horizontal="center" vertical="center"/>
    </xf>
    <xf numFmtId="0" fontId="82" fillId="0" borderId="23" xfId="0" applyFont="1" applyBorder="1" applyAlignment="1">
      <alignment horizontal="center"/>
    </xf>
    <xf numFmtId="0" fontId="82" fillId="0" borderId="8" xfId="0" applyFont="1" applyBorder="1" applyAlignment="1">
      <alignment horizontal="center"/>
    </xf>
    <xf numFmtId="0" fontId="22" fillId="5" borderId="3" xfId="0" applyFont="1" applyFill="1" applyBorder="1" applyAlignment="1">
      <alignment horizontal="center" vertical="center"/>
    </xf>
    <xf numFmtId="0" fontId="19" fillId="5" borderId="3" xfId="0" applyFont="1" applyFill="1" applyBorder="1" applyAlignment="1">
      <alignment horizontal="center" vertical="center"/>
    </xf>
    <xf numFmtId="0" fontId="21" fillId="4" borderId="23" xfId="0" applyFont="1" applyFill="1" applyBorder="1"/>
    <xf numFmtId="0" fontId="6" fillId="3" borderId="23" xfId="0" applyFont="1" applyFill="1" applyBorder="1" applyAlignment="1">
      <alignment horizontal="center" vertical="center" wrapText="1"/>
    </xf>
    <xf numFmtId="0" fontId="78" fillId="0" borderId="2" xfId="0" applyFont="1" applyBorder="1" applyAlignment="1">
      <alignment horizontal="center" vertical="center"/>
    </xf>
    <xf numFmtId="0" fontId="78" fillId="0" borderId="7" xfId="0" applyFont="1" applyBorder="1" applyAlignment="1">
      <alignment horizontal="center" vertical="center"/>
    </xf>
    <xf numFmtId="0" fontId="9" fillId="4" borderId="2" xfId="0" applyFont="1" applyFill="1" applyBorder="1" applyAlignment="1">
      <alignment horizontal="center"/>
    </xf>
    <xf numFmtId="0" fontId="21" fillId="4" borderId="2" xfId="0" applyFont="1" applyFill="1" applyBorder="1" applyAlignment="1">
      <alignment horizontal="center" wrapText="1"/>
    </xf>
    <xf numFmtId="0" fontId="4" fillId="4" borderId="4" xfId="0" applyFont="1" applyFill="1" applyBorder="1" applyAlignment="1">
      <alignment horizontal="center"/>
    </xf>
    <xf numFmtId="0" fontId="42" fillId="0" borderId="0" xfId="0" applyFont="1" applyAlignment="1">
      <alignment horizontal="center"/>
    </xf>
    <xf numFmtId="0" fontId="4" fillId="0" borderId="0" xfId="0" applyFont="1" applyAlignment="1">
      <alignment horizontal="center"/>
    </xf>
    <xf numFmtId="0" fontId="53" fillId="0" borderId="0" xfId="0" applyFont="1" applyAlignment="1">
      <alignment horizontal="center"/>
    </xf>
    <xf numFmtId="0" fontId="81" fillId="0" borderId="2" xfId="0" applyFont="1" applyBorder="1" applyAlignment="1">
      <alignment horizontal="center"/>
    </xf>
    <xf numFmtId="0" fontId="82" fillId="0" borderId="4" xfId="0" applyFont="1" applyBorder="1" applyAlignment="1">
      <alignment horizontal="center"/>
    </xf>
    <xf numFmtId="0" fontId="78" fillId="0" borderId="4" xfId="0" applyFont="1" applyBorder="1" applyAlignment="1">
      <alignment horizontal="center"/>
    </xf>
    <xf numFmtId="0" fontId="22" fillId="5" borderId="24" xfId="0" applyFont="1" applyFill="1" applyBorder="1" applyAlignment="1">
      <alignment horizontal="center" vertical="center"/>
    </xf>
    <xf numFmtId="0" fontId="4" fillId="4" borderId="0" xfId="0" applyFont="1" applyFill="1" applyAlignment="1">
      <alignment horizontal="center"/>
    </xf>
    <xf numFmtId="0" fontId="21" fillId="4" borderId="0" xfId="0" applyFont="1" applyFill="1" applyAlignment="1">
      <alignment horizontal="center"/>
    </xf>
    <xf numFmtId="0" fontId="46" fillId="0" borderId="4" xfId="0" applyFont="1" applyBorder="1" applyAlignment="1">
      <alignment horizontal="center"/>
    </xf>
    <xf numFmtId="0" fontId="22" fillId="5" borderId="4" xfId="0" applyFont="1" applyFill="1" applyBorder="1" applyAlignment="1">
      <alignment horizontal="center" vertical="center"/>
    </xf>
    <xf numFmtId="0" fontId="19" fillId="0" borderId="9" xfId="0" applyFont="1" applyBorder="1" applyAlignment="1">
      <alignment horizontal="center" vertical="center"/>
    </xf>
    <xf numFmtId="0" fontId="50" fillId="0" borderId="2" xfId="0" applyFont="1" applyBorder="1" applyAlignment="1">
      <alignment horizontal="center" vertical="center"/>
    </xf>
    <xf numFmtId="0" fontId="51" fillId="0" borderId="2" xfId="0" applyFont="1" applyBorder="1" applyAlignment="1">
      <alignment horizontal="center" vertical="center"/>
    </xf>
    <xf numFmtId="0" fontId="3" fillId="0" borderId="2" xfId="0" applyFont="1" applyBorder="1" applyAlignment="1">
      <alignment horizontal="center" vertical="center"/>
    </xf>
    <xf numFmtId="0" fontId="50" fillId="0" borderId="7" xfId="0" applyFont="1" applyBorder="1" applyAlignment="1">
      <alignment horizontal="center" vertical="center"/>
    </xf>
    <xf numFmtId="0" fontId="83" fillId="0" borderId="2" xfId="0" applyFont="1" applyBorder="1" applyAlignment="1">
      <alignment horizontal="center" vertical="center"/>
    </xf>
    <xf numFmtId="0" fontId="21" fillId="2" borderId="7" xfId="0" applyFont="1" applyFill="1" applyBorder="1" applyAlignment="1">
      <alignment horizontal="left"/>
    </xf>
    <xf numFmtId="0" fontId="21" fillId="2" borderId="7" xfId="0" applyFont="1" applyFill="1" applyBorder="1"/>
    <xf numFmtId="0" fontId="21" fillId="2" borderId="23" xfId="0" applyFont="1" applyFill="1" applyBorder="1"/>
    <xf numFmtId="0" fontId="21" fillId="9" borderId="7" xfId="0" applyFont="1" applyFill="1" applyBorder="1" applyAlignment="1">
      <alignment horizontal="left"/>
    </xf>
    <xf numFmtId="0" fontId="21" fillId="9" borderId="7" xfId="0" applyFont="1" applyFill="1" applyBorder="1" applyAlignment="1">
      <alignment horizontal="left" wrapText="1"/>
    </xf>
    <xf numFmtId="0" fontId="80" fillId="0" borderId="2" xfId="0" applyFont="1" applyBorder="1" applyAlignment="1">
      <alignment horizontal="center" vertical="center" wrapText="1"/>
    </xf>
    <xf numFmtId="0" fontId="84" fillId="0" borderId="2" xfId="0" applyFont="1" applyBorder="1" applyAlignment="1">
      <alignment horizontal="center" vertical="center"/>
    </xf>
    <xf numFmtId="0" fontId="56" fillId="0" borderId="2" xfId="0" applyFont="1" applyBorder="1" applyAlignment="1">
      <alignment horizontal="center" vertical="center"/>
    </xf>
    <xf numFmtId="0" fontId="60" fillId="0" borderId="2" xfId="0" applyFont="1" applyBorder="1" applyAlignment="1">
      <alignment horizontal="center" vertical="center"/>
    </xf>
    <xf numFmtId="0" fontId="57" fillId="0" borderId="2" xfId="0" applyFont="1" applyBorder="1" applyAlignment="1">
      <alignment horizontal="center" vertical="center"/>
    </xf>
    <xf numFmtId="0" fontId="85" fillId="0" borderId="2" xfId="0" applyFont="1" applyBorder="1" applyAlignment="1">
      <alignment horizontal="center" vertical="center"/>
    </xf>
    <xf numFmtId="0" fontId="86" fillId="0" borderId="2" xfId="0" applyFont="1" applyBorder="1" applyAlignment="1">
      <alignment horizontal="center" vertical="center"/>
    </xf>
    <xf numFmtId="0" fontId="87" fillId="0" borderId="2" xfId="0" applyFont="1" applyBorder="1" applyAlignment="1">
      <alignment horizontal="center" vertical="center"/>
    </xf>
    <xf numFmtId="0" fontId="88" fillId="0" borderId="2" xfId="0" applyFont="1" applyBorder="1" applyAlignment="1">
      <alignment horizontal="center" vertical="center"/>
    </xf>
    <xf numFmtId="0" fontId="89" fillId="0" borderId="2" xfId="0" applyFont="1" applyBorder="1" applyAlignment="1">
      <alignment horizontal="center" vertical="center"/>
    </xf>
    <xf numFmtId="0" fontId="90" fillId="0" borderId="2" xfId="0" applyFont="1" applyBorder="1" applyAlignment="1">
      <alignment horizontal="center" vertical="center"/>
    </xf>
    <xf numFmtId="0" fontId="91" fillId="0" borderId="2" xfId="0" applyFont="1" applyBorder="1" applyAlignment="1">
      <alignment horizontal="center" vertical="center"/>
    </xf>
    <xf numFmtId="0" fontId="92" fillId="0" borderId="2" xfId="0" applyFont="1" applyBorder="1" applyAlignment="1">
      <alignment horizontal="center" vertical="center"/>
    </xf>
    <xf numFmtId="0" fontId="51" fillId="0" borderId="7" xfId="0" applyFont="1" applyBorder="1" applyAlignment="1">
      <alignment horizontal="center" vertical="center"/>
    </xf>
    <xf numFmtId="0" fontId="87" fillId="0" borderId="7" xfId="0" applyFont="1" applyBorder="1" applyAlignment="1">
      <alignment horizontal="center" vertical="center"/>
    </xf>
    <xf numFmtId="0" fontId="3" fillId="0" borderId="7" xfId="0" applyFont="1" applyBorder="1" applyAlignment="1">
      <alignment horizontal="center" vertical="center"/>
    </xf>
    <xf numFmtId="0" fontId="31" fillId="0" borderId="2" xfId="0" applyFont="1" applyBorder="1" applyAlignment="1">
      <alignment horizontal="center" vertical="center"/>
    </xf>
    <xf numFmtId="0" fontId="93" fillId="0" borderId="2" xfId="0" applyFont="1" applyBorder="1" applyAlignment="1">
      <alignment horizontal="center" vertical="center"/>
    </xf>
    <xf numFmtId="0" fontId="13" fillId="0" borderId="2" xfId="0" applyFont="1" applyBorder="1" applyAlignment="1">
      <alignment horizontal="center" vertical="center"/>
    </xf>
    <xf numFmtId="0" fontId="42" fillId="0" borderId="2" xfId="0" applyFont="1" applyBorder="1" applyAlignment="1">
      <alignment horizontal="center" vertical="center"/>
    </xf>
    <xf numFmtId="0" fontId="21" fillId="4" borderId="23" xfId="0" applyFont="1" applyFill="1" applyBorder="1" applyAlignment="1">
      <alignment horizontal="left"/>
    </xf>
    <xf numFmtId="0" fontId="19" fillId="0" borderId="2" xfId="0" applyFont="1" applyBorder="1" applyAlignment="1">
      <alignment horizontal="center" vertical="center" wrapText="1"/>
    </xf>
    <xf numFmtId="0" fontId="3" fillId="0" borderId="25" xfId="0" applyFont="1" applyBorder="1" applyAlignment="1">
      <alignment wrapText="1"/>
    </xf>
    <xf numFmtId="0" fontId="31" fillId="0" borderId="0" xfId="0" applyFont="1"/>
    <xf numFmtId="0" fontId="94" fillId="0" borderId="2" xfId="0" applyFont="1" applyBorder="1" applyAlignment="1">
      <alignment horizontal="center" vertical="center"/>
    </xf>
    <xf numFmtId="0" fontId="75" fillId="0" borderId="2" xfId="0" applyFont="1" applyBorder="1" applyAlignment="1">
      <alignment horizontal="center" vertical="center"/>
    </xf>
    <xf numFmtId="0" fontId="95" fillId="0" borderId="2" xfId="0" applyFont="1" applyBorder="1" applyAlignment="1">
      <alignment horizontal="center" vertical="center" wrapText="1"/>
    </xf>
    <xf numFmtId="0" fontId="0" fillId="0" borderId="7" xfId="0" applyBorder="1"/>
    <xf numFmtId="0" fontId="92" fillId="0" borderId="4" xfId="0" applyFont="1" applyBorder="1" applyAlignment="1">
      <alignment horizontal="center" vertical="center"/>
    </xf>
    <xf numFmtId="0" fontId="80" fillId="0" borderId="4" xfId="0" applyFont="1" applyBorder="1" applyAlignment="1">
      <alignment horizontal="center" vertical="center" wrapText="1"/>
    </xf>
    <xf numFmtId="0" fontId="8"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0" fillId="0" borderId="2" xfId="0" applyBorder="1" applyAlignment="1">
      <alignment horizontal="center" vertical="center" wrapText="1"/>
    </xf>
    <xf numFmtId="0" fontId="55" fillId="0" borderId="2" xfId="0" applyFont="1" applyBorder="1" applyAlignment="1">
      <alignment horizontal="center" vertical="center"/>
    </xf>
    <xf numFmtId="0" fontId="4" fillId="0" borderId="2" xfId="0" applyFont="1" applyBorder="1" applyAlignment="1">
      <alignment horizontal="center" vertical="center"/>
    </xf>
    <xf numFmtId="0" fontId="95" fillId="0" borderId="2" xfId="0" applyFont="1" applyBorder="1" applyAlignment="1">
      <alignment horizontal="center" vertical="center"/>
    </xf>
    <xf numFmtId="0" fontId="96" fillId="0" borderId="2" xfId="0" applyFont="1" applyBorder="1" applyAlignment="1">
      <alignment horizontal="center" vertical="center"/>
    </xf>
    <xf numFmtId="0" fontId="93" fillId="0" borderId="2" xfId="0" applyFont="1" applyBorder="1" applyAlignment="1">
      <alignment horizontal="center" vertical="center" wrapText="1"/>
    </xf>
    <xf numFmtId="0" fontId="97" fillId="0" borderId="2" xfId="0" applyFont="1" applyBorder="1" applyAlignment="1">
      <alignment horizontal="center" vertical="center"/>
    </xf>
    <xf numFmtId="0" fontId="98" fillId="0" borderId="2" xfId="0" applyFont="1" applyBorder="1" applyAlignment="1">
      <alignment horizontal="center" vertical="center"/>
    </xf>
    <xf numFmtId="0" fontId="99" fillId="0" borderId="2" xfId="0" applyFont="1" applyBorder="1" applyAlignment="1">
      <alignment horizontal="center" vertical="center"/>
    </xf>
    <xf numFmtId="0" fontId="86" fillId="0" borderId="7" xfId="0" applyFont="1" applyBorder="1" applyAlignment="1">
      <alignment horizontal="center" vertical="center"/>
    </xf>
    <xf numFmtId="0" fontId="18" fillId="0" borderId="2" xfId="0" applyFont="1" applyBorder="1" applyAlignment="1">
      <alignment horizontal="center" vertical="center" wrapText="1"/>
    </xf>
    <xf numFmtId="0" fontId="50" fillId="0" borderId="4" xfId="0" applyFont="1" applyBorder="1" applyAlignment="1">
      <alignment horizontal="center" vertical="center"/>
    </xf>
    <xf numFmtId="0" fontId="97" fillId="0" borderId="7" xfId="0" applyFont="1" applyBorder="1" applyAlignment="1">
      <alignment horizontal="center" vertical="center"/>
    </xf>
    <xf numFmtId="0" fontId="6" fillId="3" borderId="4" xfId="0" applyFont="1" applyFill="1" applyBorder="1" applyAlignment="1">
      <alignment horizontal="center" vertical="center" wrapText="1"/>
    </xf>
    <xf numFmtId="0" fontId="0" fillId="0" borderId="21" xfId="0" applyBorder="1" applyAlignment="1">
      <alignment horizontal="center"/>
    </xf>
    <xf numFmtId="0" fontId="17" fillId="0" borderId="21" xfId="0" applyFont="1" applyBorder="1" applyAlignment="1">
      <alignment horizontal="center"/>
    </xf>
    <xf numFmtId="0" fontId="0" fillId="0" borderId="21" xfId="0" applyBorder="1" applyAlignment="1">
      <alignment horizontal="center" wrapText="1"/>
    </xf>
    <xf numFmtId="0" fontId="0" fillId="0" borderId="7" xfId="0" applyBorder="1" applyAlignment="1">
      <alignment horizontal="center"/>
    </xf>
    <xf numFmtId="0" fontId="97" fillId="0" borderId="21" xfId="0" applyFont="1" applyBorder="1" applyAlignment="1">
      <alignment horizontal="center" vertical="center"/>
    </xf>
    <xf numFmtId="0" fontId="100" fillId="4" borderId="2" xfId="0" applyFont="1" applyFill="1" applyBorder="1"/>
    <xf numFmtId="0" fontId="0" fillId="0" borderId="4" xfId="0" applyBorder="1"/>
    <xf numFmtId="0" fontId="97" fillId="0" borderId="23" xfId="0" applyFont="1" applyBorder="1" applyAlignment="1">
      <alignment horizontal="center" vertical="center"/>
    </xf>
    <xf numFmtId="0" fontId="97" fillId="0" borderId="4" xfId="0" applyFont="1" applyBorder="1" applyAlignment="1">
      <alignment horizontal="center" vertical="center"/>
    </xf>
    <xf numFmtId="0" fontId="99" fillId="0" borderId="2" xfId="0" applyFont="1" applyBorder="1" applyAlignment="1">
      <alignment horizontal="center"/>
    </xf>
    <xf numFmtId="0" fontId="99" fillId="0" borderId="21" xfId="0" applyFont="1" applyBorder="1" applyAlignment="1">
      <alignment horizontal="center"/>
    </xf>
    <xf numFmtId="0" fontId="47" fillId="0" borderId="2" xfId="0" applyFont="1" applyBorder="1" applyAlignment="1">
      <alignment horizontal="center" vertical="center"/>
    </xf>
    <xf numFmtId="0" fontId="15" fillId="0" borderId="2" xfId="0" applyFont="1" applyBorder="1" applyAlignment="1">
      <alignment horizontal="center" vertical="center"/>
    </xf>
    <xf numFmtId="0" fontId="9" fillId="4" borderId="23" xfId="0" applyFont="1" applyFill="1" applyBorder="1" applyAlignment="1">
      <alignment horizontal="left"/>
    </xf>
    <xf numFmtId="0" fontId="100" fillId="4" borderId="0" xfId="0" applyFont="1" applyFill="1"/>
    <xf numFmtId="0" fontId="101" fillId="0" borderId="2" xfId="0" applyFont="1" applyBorder="1" applyAlignment="1">
      <alignment horizontal="center"/>
    </xf>
    <xf numFmtId="0" fontId="101" fillId="0" borderId="1" xfId="0" applyFont="1" applyBorder="1" applyAlignment="1">
      <alignment horizontal="center"/>
    </xf>
    <xf numFmtId="0" fontId="101" fillId="0" borderId="21" xfId="0" applyFont="1" applyBorder="1" applyAlignment="1">
      <alignment horizontal="center"/>
    </xf>
    <xf numFmtId="0" fontId="101" fillId="0" borderId="24" xfId="0" applyFont="1" applyBorder="1" applyAlignment="1">
      <alignment horizontal="center"/>
    </xf>
    <xf numFmtId="0" fontId="101" fillId="0" borderId="4" xfId="0" applyFont="1" applyBorder="1" applyAlignment="1">
      <alignment horizontal="center"/>
    </xf>
    <xf numFmtId="0" fontId="102" fillId="0" borderId="1" xfId="0" applyFont="1" applyBorder="1" applyAlignment="1">
      <alignment horizontal="center"/>
    </xf>
    <xf numFmtId="0" fontId="101" fillId="0" borderId="16" xfId="0" applyFont="1" applyBorder="1" applyAlignment="1">
      <alignment horizontal="center"/>
    </xf>
    <xf numFmtId="0" fontId="103" fillId="0" borderId="16" xfId="0" applyFont="1" applyBorder="1" applyAlignment="1">
      <alignment horizontal="center"/>
    </xf>
    <xf numFmtId="0" fontId="104" fillId="0" borderId="1" xfId="0" applyFont="1" applyBorder="1" applyAlignment="1">
      <alignment horizontal="center"/>
    </xf>
    <xf numFmtId="0" fontId="103" fillId="0" borderId="21" xfId="0" applyFont="1" applyBorder="1" applyAlignment="1">
      <alignment horizontal="center"/>
    </xf>
    <xf numFmtId="0" fontId="104" fillId="0" borderId="24" xfId="0" applyFont="1" applyBorder="1" applyAlignment="1">
      <alignment horizontal="center"/>
    </xf>
    <xf numFmtId="0" fontId="101" fillId="0" borderId="25" xfId="0" applyFont="1" applyBorder="1" applyAlignment="1">
      <alignment horizontal="center"/>
    </xf>
    <xf numFmtId="0" fontId="18" fillId="0" borderId="21" xfId="0" applyFont="1" applyBorder="1" applyAlignment="1">
      <alignment horizontal="center" vertical="center" wrapText="1"/>
    </xf>
    <xf numFmtId="0" fontId="105" fillId="0" borderId="2" xfId="0" applyFont="1" applyBorder="1" applyAlignment="1">
      <alignment horizontal="center" vertical="center"/>
    </xf>
    <xf numFmtId="0" fontId="80" fillId="0" borderId="2" xfId="0" applyFont="1" applyBorder="1" applyAlignment="1">
      <alignment horizontal="center"/>
    </xf>
    <xf numFmtId="0" fontId="0" fillId="0" borderId="21" xfId="0" applyBorder="1"/>
    <xf numFmtId="0" fontId="100" fillId="4" borderId="7" xfId="0" applyFont="1" applyFill="1" applyBorder="1"/>
    <xf numFmtId="0" fontId="106" fillId="0" borderId="2" xfId="0" applyFont="1" applyBorder="1" applyAlignment="1">
      <alignment horizontal="center" vertical="center"/>
    </xf>
    <xf numFmtId="0" fontId="80" fillId="0" borderId="7" xfId="0" applyFont="1" applyBorder="1" applyAlignment="1">
      <alignment horizontal="center"/>
    </xf>
    <xf numFmtId="0" fontId="80" fillId="0" borderId="21" xfId="0" applyFont="1" applyBorder="1" applyAlignment="1">
      <alignment horizontal="center" vertical="center"/>
    </xf>
    <xf numFmtId="0" fontId="80" fillId="0" borderId="24" xfId="0" applyFont="1" applyBorder="1" applyAlignment="1">
      <alignment horizontal="center" vertical="center"/>
    </xf>
    <xf numFmtId="0" fontId="80" fillId="0" borderId="5" xfId="0" applyFont="1" applyBorder="1" applyAlignment="1">
      <alignment horizontal="center" vertical="center"/>
    </xf>
    <xf numFmtId="0" fontId="14" fillId="0" borderId="2" xfId="0" applyFont="1" applyBorder="1" applyAlignment="1">
      <alignment horizontal="center" vertical="center"/>
    </xf>
    <xf numFmtId="0" fontId="107" fillId="0" borderId="2" xfId="0" applyFont="1" applyBorder="1" applyAlignment="1">
      <alignment horizontal="center" vertical="center"/>
    </xf>
    <xf numFmtId="0" fontId="108" fillId="0" borderId="2" xfId="0" applyFont="1" applyBorder="1" applyAlignment="1">
      <alignment horizontal="center" vertical="center"/>
    </xf>
    <xf numFmtId="0" fontId="109" fillId="10" borderId="7" xfId="0" applyFont="1" applyFill="1" applyBorder="1"/>
    <xf numFmtId="0" fontId="109" fillId="10" borderId="8" xfId="0" applyFont="1" applyFill="1" applyBorder="1"/>
    <xf numFmtId="0" fontId="22" fillId="0" borderId="7" xfId="0" applyFont="1" applyBorder="1" applyAlignment="1">
      <alignment horizontal="center"/>
    </xf>
    <xf numFmtId="0" fontId="19" fillId="0" borderId="7" xfId="0" applyFont="1" applyBorder="1" applyAlignment="1">
      <alignment horizontal="center"/>
    </xf>
    <xf numFmtId="0" fontId="8" fillId="0" borderId="7" xfId="0" applyFont="1" applyBorder="1" applyAlignment="1">
      <alignment horizontal="center"/>
    </xf>
    <xf numFmtId="0" fontId="0" fillId="0" borderId="21" xfId="0" applyBorder="1" applyAlignment="1">
      <alignment horizontal="center" vertical="center" wrapText="1"/>
    </xf>
    <xf numFmtId="0" fontId="8" fillId="0" borderId="21" xfId="0" applyFont="1" applyBorder="1" applyAlignment="1">
      <alignment horizontal="center"/>
    </xf>
    <xf numFmtId="0" fontId="80" fillId="0" borderId="7" xfId="0" applyFont="1" applyBorder="1" applyAlignment="1">
      <alignment horizontal="center" vertical="center"/>
    </xf>
    <xf numFmtId="0" fontId="21" fillId="4" borderId="7" xfId="0" applyFont="1" applyFill="1" applyBorder="1" applyAlignment="1">
      <alignment horizontal="left" wrapText="1"/>
    </xf>
    <xf numFmtId="0" fontId="9" fillId="4" borderId="23" xfId="0" applyFont="1" applyFill="1" applyBorder="1"/>
    <xf numFmtId="0" fontId="100" fillId="4" borderId="21" xfId="0" applyFont="1" applyFill="1" applyBorder="1"/>
    <xf numFmtId="0" fontId="21" fillId="4" borderId="21" xfId="0" applyFont="1" applyFill="1" applyBorder="1" applyAlignment="1">
      <alignment horizontal="left"/>
    </xf>
    <xf numFmtId="0" fontId="101" fillId="0" borderId="7" xfId="0" applyFont="1" applyBorder="1" applyAlignment="1">
      <alignment horizontal="center"/>
    </xf>
    <xf numFmtId="0" fontId="103" fillId="0" borderId="4" xfId="0" applyFont="1" applyBorder="1" applyAlignment="1">
      <alignment horizontal="center"/>
    </xf>
    <xf numFmtId="0" fontId="104" fillId="0" borderId="2" xfId="0" applyFont="1" applyBorder="1" applyAlignment="1">
      <alignment horizontal="center"/>
    </xf>
    <xf numFmtId="0" fontId="104" fillId="0" borderId="25" xfId="0" applyFont="1" applyBorder="1" applyAlignment="1">
      <alignment horizontal="center"/>
    </xf>
    <xf numFmtId="0" fontId="21" fillId="4" borderId="24" xfId="0" applyFont="1" applyFill="1" applyBorder="1" applyAlignment="1">
      <alignment horizontal="left"/>
    </xf>
    <xf numFmtId="0" fontId="39" fillId="0" borderId="7" xfId="0" applyFont="1" applyBorder="1" applyAlignment="1">
      <alignment horizontal="center" vertical="center"/>
    </xf>
    <xf numFmtId="0" fontId="38" fillId="0" borderId="7" xfId="0" applyFont="1" applyBorder="1" applyAlignment="1">
      <alignment horizontal="center" vertical="center"/>
    </xf>
    <xf numFmtId="0" fontId="19" fillId="0" borderId="4" xfId="0" applyFont="1" applyBorder="1" applyAlignment="1">
      <alignment horizontal="center"/>
    </xf>
    <xf numFmtId="0" fontId="58" fillId="0" borderId="2" xfId="0" applyFont="1" applyBorder="1" applyAlignment="1">
      <alignment horizontal="center"/>
    </xf>
    <xf numFmtId="0" fontId="8" fillId="0" borderId="4" xfId="0" applyFont="1" applyBorder="1" applyAlignment="1">
      <alignment horizontal="center"/>
    </xf>
    <xf numFmtId="0" fontId="0" fillId="0" borderId="3" xfId="0" applyBorder="1" applyAlignment="1">
      <alignment horizontal="center" vertical="center"/>
    </xf>
    <xf numFmtId="0" fontId="19" fillId="0" borderId="0" xfId="0" applyFont="1" applyAlignment="1">
      <alignment horizontal="center" vertical="center"/>
    </xf>
    <xf numFmtId="0" fontId="110" fillId="10" borderId="8" xfId="0" applyFont="1" applyFill="1" applyBorder="1"/>
    <xf numFmtId="0" fontId="110" fillId="10" borderId="7" xfId="0" applyFont="1" applyFill="1" applyBorder="1"/>
    <xf numFmtId="0" fontId="109" fillId="6" borderId="13" xfId="0" applyFont="1" applyFill="1" applyBorder="1" applyAlignment="1">
      <alignment wrapText="1"/>
    </xf>
    <xf numFmtId="0" fontId="111" fillId="0" borderId="1" xfId="0" applyFont="1" applyBorder="1"/>
    <xf numFmtId="0" fontId="112" fillId="0" borderId="18" xfId="0" applyFont="1" applyBorder="1"/>
    <xf numFmtId="0" fontId="112" fillId="0" borderId="2" xfId="0" applyFont="1" applyBorder="1"/>
    <xf numFmtId="0" fontId="113" fillId="0" borderId="21" xfId="0" applyFont="1" applyBorder="1"/>
    <xf numFmtId="0" fontId="50" fillId="0" borderId="3" xfId="0" applyFont="1" applyBorder="1"/>
    <xf numFmtId="0" fontId="50" fillId="0" borderId="2" xfId="0" applyFont="1" applyBorder="1"/>
    <xf numFmtId="0" fontId="114" fillId="0" borderId="21" xfId="0" applyFont="1" applyBorder="1"/>
    <xf numFmtId="0" fontId="50" fillId="0" borderId="21" xfId="0" applyFont="1" applyBorder="1"/>
    <xf numFmtId="0" fontId="111" fillId="0" borderId="28" xfId="0" applyFont="1" applyBorder="1"/>
    <xf numFmtId="0" fontId="112" fillId="0" borderId="20" xfId="0" applyFont="1" applyBorder="1"/>
    <xf numFmtId="0" fontId="112" fillId="0" borderId="5" xfId="0" applyFont="1" applyBorder="1"/>
    <xf numFmtId="0" fontId="113" fillId="0" borderId="25" xfId="0" applyFont="1" applyBorder="1"/>
    <xf numFmtId="0" fontId="51" fillId="0" borderId="6" xfId="0" applyFont="1" applyBorder="1"/>
    <xf numFmtId="0" fontId="50" fillId="0" borderId="5" xfId="0" applyFont="1" applyBorder="1"/>
    <xf numFmtId="0" fontId="114" fillId="0" borderId="25" xfId="0" applyFont="1" applyBorder="1"/>
    <xf numFmtId="0" fontId="50" fillId="0" borderId="25" xfId="0" applyFont="1" applyBorder="1"/>
    <xf numFmtId="0" fontId="50" fillId="0" borderId="6" xfId="0" applyFont="1" applyBorder="1"/>
    <xf numFmtId="0" fontId="51" fillId="0" borderId="25" xfId="0" applyFont="1" applyBorder="1"/>
    <xf numFmtId="0" fontId="57" fillId="0" borderId="6" xfId="0" applyFont="1" applyBorder="1"/>
    <xf numFmtId="0" fontId="57" fillId="0" borderId="25" xfId="0" applyFont="1" applyBorder="1"/>
    <xf numFmtId="0" fontId="60" fillId="0" borderId="25" xfId="0" applyFont="1" applyBorder="1"/>
    <xf numFmtId="0" fontId="115" fillId="0" borderId="25" xfId="0" applyFont="1" applyBorder="1"/>
    <xf numFmtId="0" fontId="61" fillId="0" borderId="25" xfId="0" applyFont="1" applyBorder="1"/>
    <xf numFmtId="0" fontId="114" fillId="0" borderId="27" xfId="0" applyFont="1" applyBorder="1"/>
    <xf numFmtId="0" fontId="111" fillId="0" borderId="15" xfId="0" applyFont="1" applyBorder="1"/>
    <xf numFmtId="0" fontId="51" fillId="0" borderId="8" xfId="0" applyFont="1" applyBorder="1"/>
    <xf numFmtId="0" fontId="51" fillId="0" borderId="7" xfId="0" applyFont="1" applyBorder="1"/>
    <xf numFmtId="0" fontId="110" fillId="10" borderId="6" xfId="0" applyFont="1" applyFill="1" applyBorder="1"/>
    <xf numFmtId="0" fontId="111" fillId="0" borderId="0" xfId="0" applyFont="1"/>
    <xf numFmtId="0" fontId="111" fillId="0" borderId="5" xfId="0" applyFont="1" applyBorder="1"/>
    <xf numFmtId="0" fontId="116" fillId="7" borderId="25" xfId="0" applyFont="1" applyFill="1" applyBorder="1"/>
    <xf numFmtId="0" fontId="68" fillId="0" borderId="6" xfId="0" applyFont="1" applyBorder="1"/>
    <xf numFmtId="0" fontId="50" fillId="0" borderId="8" xfId="0" applyFont="1" applyBorder="1"/>
    <xf numFmtId="0" fontId="110" fillId="10" borderId="26" xfId="0" applyFont="1" applyFill="1" applyBorder="1"/>
    <xf numFmtId="0" fontId="111" fillId="0" borderId="20" xfId="0" applyFont="1" applyBorder="1"/>
    <xf numFmtId="0" fontId="51" fillId="0" borderId="5" xfId="0" applyFont="1" applyBorder="1"/>
    <xf numFmtId="0" fontId="50" fillId="0" borderId="22" xfId="0" applyFont="1" applyBorder="1"/>
    <xf numFmtId="0" fontId="117" fillId="0" borderId="25" xfId="0" applyFont="1" applyBorder="1"/>
    <xf numFmtId="0" fontId="114" fillId="0" borderId="5" xfId="0" applyFont="1" applyBorder="1"/>
    <xf numFmtId="0" fontId="118" fillId="10" borderId="8" xfId="0" applyFont="1" applyFill="1" applyBorder="1"/>
    <xf numFmtId="0" fontId="112" fillId="0" borderId="0" xfId="0" applyFont="1"/>
    <xf numFmtId="0" fontId="50" fillId="0" borderId="27" xfId="0" applyFont="1" applyBorder="1"/>
    <xf numFmtId="0" fontId="110" fillId="6" borderId="16" xfId="0" applyFont="1" applyFill="1" applyBorder="1" applyAlignment="1">
      <alignment wrapText="1"/>
    </xf>
    <xf numFmtId="0" fontId="110" fillId="6" borderId="13" xfId="0" applyFont="1" applyFill="1" applyBorder="1" applyAlignment="1">
      <alignment wrapText="1"/>
    </xf>
    <xf numFmtId="0" fontId="110" fillId="6" borderId="19" xfId="0" applyFont="1" applyFill="1" applyBorder="1" applyAlignment="1">
      <alignment wrapText="1"/>
    </xf>
    <xf numFmtId="0" fontId="110" fillId="6" borderId="23" xfId="0" applyFont="1" applyFill="1" applyBorder="1" applyAlignment="1">
      <alignment wrapText="1"/>
    </xf>
    <xf numFmtId="0" fontId="50" fillId="0" borderId="0" xfId="0" applyFont="1"/>
    <xf numFmtId="0" fontId="55" fillId="10" borderId="2" xfId="0" applyFont="1" applyFill="1" applyBorder="1"/>
    <xf numFmtId="0" fontId="110" fillId="10" borderId="3" xfId="0" applyFont="1" applyFill="1" applyBorder="1"/>
    <xf numFmtId="0" fontId="111" fillId="0" borderId="18" xfId="0" applyFont="1" applyBorder="1"/>
    <xf numFmtId="0" fontId="111" fillId="0" borderId="2" xfId="0" applyFont="1" applyBorder="1"/>
    <xf numFmtId="0" fontId="119" fillId="0" borderId="21" xfId="0" applyFont="1" applyBorder="1"/>
    <xf numFmtId="0" fontId="114" fillId="0" borderId="7" xfId="0" applyFont="1" applyBorder="1"/>
    <xf numFmtId="0" fontId="51" fillId="0" borderId="2" xfId="0" applyFont="1" applyBorder="1"/>
    <xf numFmtId="0" fontId="51" fillId="0" borderId="21" xfId="0" applyFont="1" applyBorder="1"/>
    <xf numFmtId="0" fontId="55" fillId="10" borderId="5" xfId="0" applyFont="1" applyFill="1" applyBorder="1"/>
    <xf numFmtId="0" fontId="119" fillId="0" borderId="25" xfId="0" applyFont="1" applyBorder="1"/>
    <xf numFmtId="0" fontId="114" fillId="0" borderId="8" xfId="0" applyFont="1" applyBorder="1"/>
    <xf numFmtId="0" fontId="50" fillId="0" borderId="1" xfId="0" applyFont="1" applyBorder="1"/>
    <xf numFmtId="0" fontId="50" fillId="0" borderId="11" xfId="0" applyFont="1" applyBorder="1"/>
    <xf numFmtId="0" fontId="50" fillId="0" borderId="28" xfId="0" applyFont="1" applyBorder="1"/>
    <xf numFmtId="0" fontId="50" fillId="0" borderId="15" xfId="0" applyFont="1" applyBorder="1"/>
    <xf numFmtId="0" fontId="120" fillId="0" borderId="25" xfId="0" applyFont="1" applyBorder="1"/>
    <xf numFmtId="0" fontId="121" fillId="0" borderId="15" xfId="0" applyFont="1" applyBorder="1"/>
    <xf numFmtId="0" fontId="75" fillId="0" borderId="25" xfId="0" applyFont="1" applyBorder="1"/>
    <xf numFmtId="0" fontId="68" fillId="0" borderId="25" xfId="0" applyFont="1" applyBorder="1"/>
    <xf numFmtId="0" fontId="50" fillId="0" borderId="25" xfId="0" applyFont="1" applyBorder="1" applyAlignment="1">
      <alignment wrapText="1"/>
    </xf>
    <xf numFmtId="0" fontId="60" fillId="0" borderId="6" xfId="0" applyFont="1" applyBorder="1"/>
    <xf numFmtId="0" fontId="114" fillId="0" borderId="6" xfId="0" applyFont="1" applyBorder="1"/>
    <xf numFmtId="0" fontId="55" fillId="10" borderId="0" xfId="0" applyFont="1" applyFill="1"/>
    <xf numFmtId="0" fontId="22" fillId="0" borderId="21" xfId="0" applyFont="1" applyBorder="1" applyAlignment="1">
      <alignment horizontal="center"/>
    </xf>
    <xf numFmtId="0" fontId="19" fillId="0" borderId="21" xfId="0" applyFont="1" applyBorder="1" applyAlignment="1">
      <alignment horizontal="center"/>
    </xf>
    <xf numFmtId="0" fontId="22" fillId="0" borderId="23" xfId="0" applyFont="1" applyBorder="1" applyAlignment="1">
      <alignment horizontal="center"/>
    </xf>
    <xf numFmtId="0" fontId="0" fillId="0" borderId="8" xfId="0" applyBorder="1" applyAlignment="1">
      <alignment horizontal="center" vertical="center"/>
    </xf>
    <xf numFmtId="0" fontId="15" fillId="0" borderId="21" xfId="0" applyFont="1" applyBorder="1" applyAlignment="1">
      <alignment horizontal="center" vertical="center"/>
    </xf>
    <xf numFmtId="0" fontId="0" fillId="0" borderId="23" xfId="0" applyBorder="1" applyAlignment="1">
      <alignment horizontal="center"/>
    </xf>
    <xf numFmtId="0" fontId="19" fillId="0" borderId="3" xfId="0" applyFont="1" applyBorder="1" applyAlignment="1">
      <alignment horizontal="center"/>
    </xf>
    <xf numFmtId="0" fontId="22" fillId="0" borderId="24" xfId="0" applyFont="1" applyBorder="1" applyAlignment="1">
      <alignment horizontal="center"/>
    </xf>
    <xf numFmtId="0" fontId="0" fillId="0" borderId="24" xfId="0" applyBorder="1" applyAlignment="1">
      <alignment horizontal="center"/>
    </xf>
    <xf numFmtId="0" fontId="17" fillId="0" borderId="21" xfId="0" applyFont="1" applyBorder="1" applyAlignment="1">
      <alignment horizontal="center" vertical="center" wrapText="1"/>
    </xf>
    <xf numFmtId="0" fontId="80" fillId="0" borderId="3" xfId="0" applyFont="1" applyBorder="1" applyAlignment="1">
      <alignment horizontal="center" vertical="center"/>
    </xf>
    <xf numFmtId="0" fontId="31" fillId="0" borderId="21" xfId="0" applyFont="1" applyBorder="1" applyAlignment="1">
      <alignment horizontal="center" vertical="center"/>
    </xf>
    <xf numFmtId="0" fontId="15" fillId="0" borderId="21" xfId="0" applyFont="1" applyBorder="1" applyAlignment="1">
      <alignment horizontal="center"/>
    </xf>
    <xf numFmtId="0" fontId="31" fillId="0" borderId="2" xfId="0" applyFont="1" applyBorder="1" applyAlignment="1">
      <alignment horizontal="center"/>
    </xf>
    <xf numFmtId="0" fontId="109" fillId="6" borderId="13" xfId="0" applyFont="1" applyFill="1" applyBorder="1" applyAlignment="1">
      <alignment horizontal="center" vertical="center" wrapText="1"/>
    </xf>
    <xf numFmtId="0" fontId="84" fillId="0" borderId="5" xfId="0" applyFont="1" applyBorder="1" applyAlignment="1">
      <alignment horizontal="center"/>
    </xf>
    <xf numFmtId="0" fontId="109" fillId="6" borderId="16" xfId="0" applyFont="1" applyFill="1" applyBorder="1" applyAlignment="1">
      <alignment wrapText="1"/>
    </xf>
    <xf numFmtId="0" fontId="109" fillId="6" borderId="19" xfId="0" applyFont="1" applyFill="1" applyBorder="1" applyAlignment="1">
      <alignment wrapText="1"/>
    </xf>
    <xf numFmtId="0" fontId="109" fillId="6" borderId="2" xfId="0" applyFont="1" applyFill="1" applyBorder="1" applyAlignment="1">
      <alignment wrapText="1"/>
    </xf>
    <xf numFmtId="0" fontId="3" fillId="11" borderId="11" xfId="0" applyFont="1" applyFill="1" applyBorder="1"/>
    <xf numFmtId="0" fontId="122" fillId="10" borderId="2" xfId="0" applyFont="1" applyFill="1" applyBorder="1"/>
    <xf numFmtId="0" fontId="110" fillId="10" borderId="0" xfId="0" applyFont="1" applyFill="1"/>
    <xf numFmtId="0" fontId="87" fillId="0" borderId="3" xfId="0" applyFont="1" applyBorder="1"/>
    <xf numFmtId="0" fontId="87" fillId="0" borderId="7" xfId="0" applyFont="1" applyBorder="1"/>
    <xf numFmtId="0" fontId="114" fillId="0" borderId="2" xfId="0" applyFont="1" applyBorder="1"/>
    <xf numFmtId="0" fontId="87" fillId="0" borderId="21" xfId="0" applyFont="1" applyBorder="1"/>
    <xf numFmtId="0" fontId="3" fillId="0" borderId="21" xfId="0" applyFont="1" applyBorder="1"/>
    <xf numFmtId="0" fontId="123" fillId="0" borderId="21" xfId="0" applyFont="1" applyBorder="1"/>
    <xf numFmtId="0" fontId="3" fillId="0" borderId="15" xfId="0" applyFont="1" applyBorder="1"/>
    <xf numFmtId="0" fontId="122" fillId="10" borderId="5" xfId="0" applyFont="1" applyFill="1" applyBorder="1"/>
    <xf numFmtId="0" fontId="3" fillId="0" borderId="8" xfId="0" applyFont="1" applyBorder="1"/>
    <xf numFmtId="0" fontId="123" fillId="0" borderId="5" xfId="0" applyFont="1" applyBorder="1"/>
    <xf numFmtId="0" fontId="3" fillId="0" borderId="25" xfId="0" applyFont="1" applyBorder="1"/>
    <xf numFmtId="0" fontId="123" fillId="0" borderId="25" xfId="0" applyFont="1" applyBorder="1"/>
    <xf numFmtId="0" fontId="87" fillId="0" borderId="25" xfId="0" applyFont="1" applyBorder="1"/>
    <xf numFmtId="0" fontId="124" fillId="0" borderId="25" xfId="0" applyFont="1" applyBorder="1"/>
    <xf numFmtId="0" fontId="125" fillId="0" borderId="28" xfId="0" applyFont="1" applyBorder="1"/>
    <xf numFmtId="0" fontId="87" fillId="0" borderId="6" xfId="0" applyFont="1" applyBorder="1"/>
    <xf numFmtId="0" fontId="87" fillId="0" borderId="8" xfId="0" applyFont="1" applyBorder="1"/>
    <xf numFmtId="0" fontId="126" fillId="0" borderId="25" xfId="0" applyFont="1" applyBorder="1"/>
    <xf numFmtId="0" fontId="3" fillId="0" borderId="27" xfId="0" applyFont="1" applyBorder="1"/>
    <xf numFmtId="0" fontId="3" fillId="0" borderId="6" xfId="0" applyFont="1" applyBorder="1"/>
    <xf numFmtId="0" fontId="3" fillId="0" borderId="26" xfId="0" applyFont="1" applyBorder="1"/>
    <xf numFmtId="0" fontId="3" fillId="0" borderId="2" xfId="0" applyFont="1" applyBorder="1"/>
    <xf numFmtId="0" fontId="127" fillId="0" borderId="25" xfId="0" applyFont="1" applyBorder="1"/>
    <xf numFmtId="0" fontId="3" fillId="0" borderId="5" xfId="0" applyFont="1" applyBorder="1"/>
    <xf numFmtId="0" fontId="124" fillId="0" borderId="8" xfId="0" applyFont="1" applyBorder="1"/>
    <xf numFmtId="0" fontId="57" fillId="0" borderId="5" xfId="0" applyFont="1" applyBorder="1"/>
    <xf numFmtId="0" fontId="50" fillId="0" borderId="4" xfId="0" applyFont="1" applyBorder="1"/>
    <xf numFmtId="0" fontId="50" fillId="0" borderId="9" xfId="0" applyFont="1" applyBorder="1"/>
    <xf numFmtId="0" fontId="3" fillId="0" borderId="28" xfId="0" applyFont="1" applyBorder="1"/>
    <xf numFmtId="0" fontId="50" fillId="0" borderId="7" xfId="0" applyFont="1" applyBorder="1"/>
    <xf numFmtId="0" fontId="126" fillId="0" borderId="5" xfId="0" applyFont="1" applyBorder="1"/>
    <xf numFmtId="0" fontId="61" fillId="0" borderId="6" xfId="0" applyFont="1" applyBorder="1"/>
    <xf numFmtId="0" fontId="3" fillId="0" borderId="22" xfId="0" applyFont="1" applyBorder="1"/>
    <xf numFmtId="0" fontId="126" fillId="0" borderId="8" xfId="0" applyFont="1" applyBorder="1"/>
    <xf numFmtId="0" fontId="50" fillId="0" borderId="24" xfId="0" applyFont="1" applyBorder="1"/>
    <xf numFmtId="0" fontId="61" fillId="0" borderId="21" xfId="0" applyFont="1" applyBorder="1"/>
    <xf numFmtId="0" fontId="124" fillId="0" borderId="21" xfId="0" applyFont="1" applyBorder="1"/>
    <xf numFmtId="0" fontId="123" fillId="0" borderId="6" xfId="0" applyFont="1" applyBorder="1"/>
    <xf numFmtId="0" fontId="110" fillId="10" borderId="8" xfId="0" applyFont="1" applyFill="1" applyBorder="1" applyAlignment="1">
      <alignment wrapText="1"/>
    </xf>
    <xf numFmtId="0" fontId="87" fillId="0" borderId="25" xfId="0" applyFont="1" applyBorder="1" applyAlignment="1">
      <alignment wrapText="1"/>
    </xf>
    <xf numFmtId="0" fontId="125" fillId="0" borderId="1" xfId="0" applyFont="1" applyBorder="1"/>
    <xf numFmtId="0" fontId="124" fillId="0" borderId="6" xfId="0" applyFont="1" applyBorder="1"/>
    <xf numFmtId="0" fontId="15" fillId="0" borderId="7" xfId="0" applyFont="1" applyBorder="1" applyAlignment="1">
      <alignment horizontal="center" vertical="center"/>
    </xf>
    <xf numFmtId="0" fontId="84" fillId="0" borderId="2" xfId="0" applyFont="1" applyBorder="1" applyAlignment="1">
      <alignment horizontal="center"/>
    </xf>
    <xf numFmtId="0" fontId="19" fillId="0" borderId="24" xfId="0" applyFont="1" applyBorder="1" applyAlignment="1">
      <alignment horizontal="center"/>
    </xf>
    <xf numFmtId="0" fontId="0" fillId="0" borderId="25" xfId="0" applyBorder="1" applyAlignment="1">
      <alignment horizontal="center"/>
    </xf>
    <xf numFmtId="0" fontId="0" fillId="0" borderId="3" xfId="0" applyBorder="1" applyAlignment="1">
      <alignment horizontal="center"/>
    </xf>
    <xf numFmtId="0" fontId="19" fillId="0" borderId="5" xfId="0" applyFont="1" applyBorder="1" applyAlignment="1">
      <alignment horizontal="center"/>
    </xf>
    <xf numFmtId="0" fontId="31" fillId="0" borderId="23" xfId="0" applyFont="1" applyBorder="1" applyAlignment="1">
      <alignment horizontal="center"/>
    </xf>
    <xf numFmtId="0" fontId="17" fillId="0" borderId="8" xfId="0" applyFont="1" applyBorder="1" applyAlignment="1">
      <alignment horizontal="center" vertical="center"/>
    </xf>
    <xf numFmtId="0" fontId="84" fillId="0" borderId="4" xfId="0" applyFont="1" applyBorder="1" applyAlignment="1">
      <alignment horizontal="center"/>
    </xf>
    <xf numFmtId="0" fontId="17" fillId="0" borderId="22" xfId="0" applyFont="1" applyBorder="1" applyAlignment="1">
      <alignment horizontal="center"/>
    </xf>
    <xf numFmtId="0" fontId="0" fillId="0" borderId="22" xfId="0" applyBorder="1" applyAlignment="1">
      <alignment horizontal="center"/>
    </xf>
    <xf numFmtId="0" fontId="93" fillId="0" borderId="5" xfId="0" applyFont="1" applyBorder="1" applyAlignment="1">
      <alignment horizontal="center"/>
    </xf>
    <xf numFmtId="0" fontId="80" fillId="0" borderId="21" xfId="0" applyFont="1" applyBorder="1" applyAlignment="1">
      <alignment horizontal="center"/>
    </xf>
    <xf numFmtId="0" fontId="22" fillId="0" borderId="4" xfId="0" applyFont="1" applyBorder="1" applyAlignment="1">
      <alignment horizontal="center" vertical="center" wrapText="1"/>
    </xf>
    <xf numFmtId="0" fontId="22" fillId="0" borderId="21" xfId="0" applyFont="1" applyBorder="1" applyAlignment="1">
      <alignment horizontal="center" vertical="center" wrapText="1"/>
    </xf>
    <xf numFmtId="0" fontId="8" fillId="0" borderId="24" xfId="0" applyFont="1" applyBorder="1" applyAlignment="1">
      <alignment horizontal="center"/>
    </xf>
    <xf numFmtId="0" fontId="80" fillId="0" borderId="24" xfId="0" applyFont="1" applyBorder="1" applyAlignment="1">
      <alignment horizontal="center"/>
    </xf>
    <xf numFmtId="0" fontId="80" fillId="0" borderId="25" xfId="0" applyFont="1" applyBorder="1" applyAlignment="1">
      <alignment horizontal="center"/>
    </xf>
    <xf numFmtId="0" fontId="80" fillId="0" borderId="3" xfId="0" applyFont="1" applyBorder="1" applyAlignment="1">
      <alignment horizontal="center"/>
    </xf>
    <xf numFmtId="0" fontId="22" fillId="0" borderId="8" xfId="0" applyFont="1" applyBorder="1" applyAlignment="1">
      <alignment horizontal="center"/>
    </xf>
    <xf numFmtId="0" fontId="22" fillId="0" borderId="22" xfId="0" applyFont="1" applyBorder="1" applyAlignment="1">
      <alignment horizontal="center"/>
    </xf>
    <xf numFmtId="0" fontId="15" fillId="0" borderId="21" xfId="0" applyFont="1" applyBorder="1" applyAlignment="1">
      <alignment horizontal="center" vertical="center" wrapText="1"/>
    </xf>
    <xf numFmtId="0" fontId="31" fillId="0" borderId="21"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18" fillId="0" borderId="24" xfId="0" applyFont="1" applyBorder="1" applyAlignment="1">
      <alignment horizontal="center"/>
    </xf>
    <xf numFmtId="0" fontId="17" fillId="0" borderId="24" xfId="0" applyFont="1" applyBorder="1" applyAlignment="1">
      <alignment horizontal="center" vertical="center"/>
    </xf>
    <xf numFmtId="0" fontId="128" fillId="0" borderId="21" xfId="0" applyFont="1" applyBorder="1" applyAlignment="1">
      <alignment horizontal="center" vertical="center"/>
    </xf>
    <xf numFmtId="0" fontId="0" fillId="0" borderId="25" xfId="0" applyBorder="1" applyAlignment="1">
      <alignment horizontal="center" vertical="center"/>
    </xf>
    <xf numFmtId="0" fontId="17" fillId="0" borderId="22" xfId="0" applyFont="1" applyBorder="1" applyAlignment="1">
      <alignment horizontal="center" vertical="center"/>
    </xf>
    <xf numFmtId="0" fontId="4" fillId="4" borderId="7" xfId="0" applyFont="1" applyFill="1" applyBorder="1"/>
    <xf numFmtId="0" fontId="4" fillId="4" borderId="23" xfId="0" applyFont="1" applyFill="1" applyBorder="1"/>
    <xf numFmtId="0" fontId="6" fillId="3" borderId="0" xfId="0" applyFont="1" applyFill="1" applyAlignment="1">
      <alignment horizontal="center" vertical="center" wrapText="1"/>
    </xf>
    <xf numFmtId="0" fontId="18" fillId="0" borderId="21" xfId="0" applyFont="1" applyBorder="1" applyAlignment="1">
      <alignment horizontal="center"/>
    </xf>
    <xf numFmtId="0" fontId="1" fillId="0" borderId="2" xfId="0" applyFont="1" applyBorder="1" applyAlignment="1">
      <alignment horizontal="center"/>
    </xf>
    <xf numFmtId="0" fontId="1" fillId="5" borderId="2" xfId="0" applyFont="1" applyFill="1" applyBorder="1" applyAlignment="1">
      <alignment horizontal="center" vertical="center"/>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7" xfId="0" applyFont="1" applyBorder="1" applyAlignment="1">
      <alignment horizontal="center" vertical="center"/>
    </xf>
    <xf numFmtId="0" fontId="1" fillId="0" borderId="27" xfId="0" applyFont="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0" fontId="1" fillId="0" borderId="21" xfId="0" applyFont="1" applyBorder="1" applyAlignment="1">
      <alignment horizontal="center"/>
    </xf>
    <xf numFmtId="0" fontId="1" fillId="0" borderId="25" xfId="0" applyFont="1" applyBorder="1" applyAlignment="1">
      <alignment horizontal="center"/>
    </xf>
    <xf numFmtId="0" fontId="1" fillId="0" borderId="24" xfId="0" applyFont="1" applyBorder="1" applyAlignment="1">
      <alignment horizontal="center"/>
    </xf>
    <xf numFmtId="0" fontId="1" fillId="0" borderId="8" xfId="0" applyFont="1" applyBorder="1" applyAlignment="1">
      <alignment horizontal="center" vertical="center"/>
    </xf>
    <xf numFmtId="0" fontId="1" fillId="0" borderId="3" xfId="0" applyFont="1" applyBorder="1" applyAlignment="1">
      <alignment horizontal="center" vertical="center"/>
    </xf>
    <xf numFmtId="0" fontId="1" fillId="0" borderId="25" xfId="0" applyFont="1" applyBorder="1" applyAlignment="1">
      <alignment horizontal="center" vertical="center" wrapText="1"/>
    </xf>
    <xf numFmtId="0" fontId="1" fillId="0" borderId="5" xfId="0" applyFont="1" applyBorder="1" applyAlignment="1">
      <alignment horizontal="center" vertical="center"/>
    </xf>
    <xf numFmtId="0" fontId="4" fillId="0" borderId="12" xfId="0" applyFont="1" applyBorder="1" applyAlignment="1">
      <alignment horizontal="center" wrapText="1"/>
    </xf>
    <xf numFmtId="0" fontId="4" fillId="0" borderId="19" xfId="0" applyFont="1" applyBorder="1" applyAlignment="1">
      <alignment horizontal="center" wrapText="1"/>
    </xf>
    <xf numFmtId="0" fontId="4" fillId="0" borderId="13" xfId="0" applyFont="1" applyBorder="1" applyAlignment="1">
      <alignment horizontal="center" wrapText="1"/>
    </xf>
    <xf numFmtId="0" fontId="4" fillId="0" borderId="1" xfId="0" applyFont="1" applyBorder="1" applyAlignment="1">
      <alignment horizontal="center"/>
    </xf>
    <xf numFmtId="0" fontId="4" fillId="0" borderId="10" xfId="0" applyFont="1" applyBorder="1" applyAlignment="1">
      <alignment horizontal="center"/>
    </xf>
    <xf numFmtId="0" fontId="4" fillId="0" borderId="18" xfId="0" applyFont="1" applyBorder="1" applyAlignment="1">
      <alignment horizontal="center"/>
    </xf>
    <xf numFmtId="0" fontId="4" fillId="0" borderId="11" xfId="0" applyFont="1" applyBorder="1" applyAlignment="1">
      <alignment horizontal="center"/>
    </xf>
    <xf numFmtId="0" fontId="21" fillId="4" borderId="0" xfId="0" applyFont="1" applyFill="1" applyBorder="1" applyAlignment="1">
      <alignment horizontal="left"/>
    </xf>
    <xf numFmtId="0" fontId="129" fillId="0" borderId="1" xfId="0" applyFont="1" applyBorder="1" applyAlignment="1">
      <alignment horizontal="left"/>
    </xf>
    <xf numFmtId="14" fontId="121" fillId="0" borderId="1" xfId="0" applyNumberFormat="1" applyFont="1" applyBorder="1" applyAlignment="1">
      <alignment horizontal="left"/>
    </xf>
    <xf numFmtId="0" fontId="0" fillId="0" borderId="1" xfId="0" applyBorder="1" applyAlignment="1">
      <alignment horizontal="left"/>
    </xf>
    <xf numFmtId="0" fontId="19" fillId="0" borderId="1" xfId="0" applyFont="1" applyBorder="1"/>
  </cellXfs>
  <cellStyles count="1">
    <cellStyle name="Normal" xfId="0" builtinId="0"/>
  </cellStyles>
  <dxfs count="3">
    <dxf>
      <font>
        <strike/>
        <color rgb="FFFF0000"/>
      </font>
      <fill>
        <patternFill patternType="none"/>
      </fill>
    </dxf>
    <dxf>
      <font>
        <strike/>
        <color rgb="FFFF0000"/>
      </font>
      <fill>
        <patternFill patternType="none"/>
      </fill>
    </dxf>
    <dxf>
      <font>
        <strike/>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opso" id="{01016558-68F2-428B-8E94-7FE3380B345F}" userId="S::sopso@seasoulcosmetics.com::514a0899-0523-4c07-8fe1-6a937fa2cd2c" providerId="AD"/>
  <person displayName="support" id="{76359D42-6891-47F0-B835-5009E8FDB92F}" userId="S::support@seasoulcosmetics.com::49195d5d-8e50-4b18-b160-2be54ab78c1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5-05-28T08:09:27.35" personId="{76359D42-6891-47F0-B835-5009E8FDB92F}" id="{F372883D-33FA-4B2A-A49B-6163105F7E7A}">
    <text>Got Injured, then left for home.</text>
  </threadedComment>
  <threadedComment ref="AD15" dT="2025-04-29T06:16:24.43" personId="{76359D42-6891-47F0-B835-5009E8FDB92F}" id="{249B720F-475A-4E18-9B9E-CBDDAB053751}">
    <text>WFH</text>
  </threadedComment>
  <threadedComment ref="AH19" dT="2025-04-30T11:23:21.52" personId="{76359D42-6891-47F0-B835-5009E8FDB92F}" id="{4F607259-D480-452F-8565-88B7C8F5459B}">
    <text>No record of working in WOCO</text>
  </threadedComment>
  <threadedComment ref="AD24" dT="2025-04-26T12:46:09.92" personId="{76359D42-6891-47F0-B835-5009E8FDB92F}" id="{84E41DAD-4183-4B61-8912-BC41BCC805C5}">
    <text xml:space="preserve">till 2PM at his base location , According to him , he is at salon on 11Am </text>
  </threadedComment>
  <threadedComment ref="AE24" dT="2025-04-29T06:45:24.79" personId="{76359D42-6891-47F0-B835-5009E8FDB92F}" id="{65093D11-E18A-4BC3-BB0E-88E3E24FAF89}">
    <text>From 10 AM to 5:16 PM - Home</text>
  </threadedComment>
  <threadedComment ref="AE26" dT="2025-04-29T07:01:09.31" personId="{76359D42-6891-47F0-B835-5009E8FDB92F}" id="{F9D45558-B194-4085-B382-3FA86631E5BE}">
    <text>Software glitch</text>
  </threadedComment>
  <threadedComment ref="AC35" dT="2025-04-25T11:44:06.88" personId="{76359D42-6891-47F0-B835-5009E8FDB92F}" id="{AE5F4EB8-5140-4FA1-925F-05E5394B62F7}">
    <text>Work for 1/2 hour then left the market</text>
  </threadedComment>
  <threadedComment ref="AH45" dT="2025-04-29T07:09:07.58" personId="{76359D42-6891-47F0-B835-5009E8FDB92F}" id="{907E1F7C-43EE-40C9-836A-7DE29B0DC06B}">
    <text>In half day but doesn't perform any visit till 1pm</text>
  </threadedComment>
  <threadedComment ref="Q55" dT="2025-05-01T12:32:04.59" personId="{76359D42-6891-47F0-B835-5009E8FDB92F}" id="{A1CECCAF-8125-4231-BC87-5E34FA22EF60}">
    <text xml:space="preserve">Hardly worked for 1hr </text>
  </threadedComment>
  <threadedComment ref="Q57" dT="2025-05-01T12:33:55.72" personId="{76359D42-6891-47F0-B835-5009E8FDB92F}" id="{E7D77C9B-E55F-4515-BFB5-A6E61282CFAA}">
    <text>Performed single demo ( worked only 1hr)</text>
  </threadedComment>
</ThreadedComments>
</file>

<file path=xl/threadedComments/threadedComment2.xml><?xml version="1.0" encoding="utf-8"?>
<ThreadedComments xmlns="http://schemas.microsoft.com/office/spreadsheetml/2018/threadedcomments" xmlns:x="http://schemas.openxmlformats.org/spreadsheetml/2006/main">
  <threadedComment ref="M2" dT="2025-05-09T06:49:47.11" personId="{76359D42-6891-47F0-B835-5009E8FDB92F}" id="{EFB3BAFD-3B32-486F-9E03-F35B3FE291E9}">
    <text xml:space="preserve">Taken leave in between </text>
  </threadedComment>
  <threadedComment ref="AA2" dT="2025-05-23T06:55:46.09" personId="{76359D42-6891-47F0-B835-5009E8FDB92F}" id="{3D9ACCD7-E19E-4E8C-9007-692391F16416}">
    <text>Did one visit , then move to her home .As he is not feeling well.</text>
  </threadedComment>
  <threadedComment ref="AF9" dT="2025-05-28T11:02:42.53" personId="{76359D42-6891-47F0-B835-5009E8FDB92F}" id="{0A89B3A4-8043-4C20-8954-2167B222F6B2}">
    <text>No report in a group</text>
  </threadedComment>
  <threadedComment ref="X14" dT="2025-05-20T08:29:04.63" personId="{76359D42-6891-47F0-B835-5009E8FDB92F}" id="{50EEC482-ED61-407C-9801-D7397C510748}">
    <text>WOCO Issue</text>
  </threadedComment>
  <threadedComment ref="AE17" dT="2025-05-27T08:27:59.24" personId="{76359D42-6891-47F0-B835-5009E8FDB92F}" id="{58120359-A6A4-4498-A60E-485D348A02E7}">
    <text>12:10 - 4:40PM Resting in a salon , low BP</text>
  </threadedComment>
  <threadedComment ref="AF26" dT="2025-05-29T05:03:43.60" personId="{76359D42-6891-47F0-B835-5009E8FDB92F}" id="{F3C88531-7E7E-40EE-B1DF-0DDD7172A6E4}">
    <text>Train to goa at 3 PM</text>
  </threadedComment>
  <threadedComment ref="AF37" dT="2025-05-27T07:58:55.06" personId="{76359D42-6891-47F0-B835-5009E8FDB92F}" id="{B352BBAD-D792-44B7-B5C7-85D1C4AE8332}">
    <text xml:space="preserve">Heavy rain </text>
  </threadedComment>
  <threadedComment ref="AF46" dT="2025-05-28T12:31:48.62" personId="{76359D42-6891-47F0-B835-5009E8FDB92F}" id="{FCB858C4-D1F8-4AB4-B744-B52B4FDC3501}">
    <text xml:space="preserve">Whole day phone was dead , report provided by him is invalid Date: 27/04/2025
Name: Rajan Thakur 
Desig: BDE
HQ:Mumbai.
Area :.. borivali
Today demo:0
Book demo:1
1) kanch salon 
9699824333
 Order next month 
2) mali salon 
9869269402
Demo next month 
3) varda salon 
9930043616
Already our client 
4) sumas
9819684178
Already our client 
5)new look 
9987894411
Already our client 
6) guzzari 
8850861091
Demo next month
7) tarang 
8097005657
DEMO next month 
8) distributor point visit
</text>
  </threadedComment>
  <threadedComment ref="S51" dT="2025-05-15T11:22:53.49" personId="{76359D42-6891-47F0-B835-5009E8FDB92F}" id="{B26D62C3-10F9-4FF3-9EEE-B63158617921}">
    <text xml:space="preserve">Bike got punctured, &amp; started his work let. </text>
  </threadedComment>
  <threadedComment ref="F56" dT="2025-05-02T11:18:31.86" personId="{76359D42-6891-47F0-B835-5009E8FDB92F}" id="{DF516D16-F002-4783-AFD2-C9872DBBCAF5}">
    <text>But shown working in software</text>
  </threadedComment>
  <threadedComment ref="AF58" dT="2025-05-27T07:59:23.35" personId="{76359D42-6891-47F0-B835-5009E8FDB92F}" id="{AB3F5C78-CADB-45CF-8125-47D9DC1DAB70}">
    <text xml:space="preserve">Heavy rain </text>
  </threadedComment>
  <threadedComment ref="F59" dT="2025-05-02T11:22:56.31" personId="{76359D42-6891-47F0-B835-5009E8FDB92F}" id="{CF44A1E4-2301-44D8-92CD-6A499854B4A0}">
    <text>Only visited 2 salons</text>
  </threadedComment>
  <threadedComment ref="Z61" dT="2025-05-22T10:56:55.18" personId="{76359D42-6891-47F0-B835-5009E8FDB92F}" id="{7F4B6765-BE79-4589-90A2-4A3B5582BA95}">
    <text>Woco issue</text>
  </threadedComment>
  <threadedComment ref="AE63" dT="2025-05-27T08:44:02.16" personId="{76359D42-6891-47F0-B835-5009E8FDB92F}" id="{2E754DF0-8F75-4CA0-B81E-CC028FB0CC7F}">
    <text xml:space="preserve">Scooty tyre got punctured </text>
  </threadedComment>
  <threadedComment ref="AF66" dT="2025-05-27T07:58:27.37" personId="{76359D42-6891-47F0-B835-5009E8FDB92F}" id="{803B0BEF-63A8-47D0-B7AE-669D24BE8562}">
    <text xml:space="preserve">Heavy rain </text>
  </threadedComment>
</ThreadedComments>
</file>

<file path=xl/threadedComments/threadedComment3.xml><?xml version="1.0" encoding="utf-8"?>
<ThreadedComments xmlns="http://schemas.microsoft.com/office/spreadsheetml/2018/threadedcomments" xmlns:x="http://schemas.openxmlformats.org/spreadsheetml/2006/main">
  <threadedComment ref="S7" dT="2025-06-16T06:52:21.14" personId="{76359D42-6891-47F0-B835-5009E8FDB92F}" id="{8456BD8A-F42E-4667-B02E-49B8F18C9E57}">
    <text xml:space="preserve">Absent in the Product knowledge meeting </text>
  </threadedComment>
  <threadedComment ref="AG13" dT="2025-06-30T07:43:31.72" personId="{76359D42-6891-47F0-B835-5009E8FDB92F}" id="{A968E27A-42DC-4037-A232-D21DDA3DFA8F}">
    <text xml:space="preserve">Phone display cracked &amp; no details of his working </text>
  </threadedComment>
  <threadedComment ref="S15" dT="2025-06-16T06:45:30.05" personId="{76359D42-6891-47F0-B835-5009E8FDB92F}" id="{037E98B4-1B89-4109-9955-775002059B6D}">
    <text xml:space="preserve">Not present in the product knowledge meeting </text>
  </threadedComment>
  <threadedComment ref="AG15" dT="2025-06-30T10:35:52.56" personId="{76359D42-6891-47F0-B835-5009E8FDB92F}" id="{34BB96EB-EDB6-4445-A8C1-14A04C7C139D}">
    <text xml:space="preserve">In software no record of visit &amp; according to report of 8 visits Sharose number is invalid except Oleevia neither of them are responding to the call or switched off. </text>
  </threadedComment>
  <threadedComment ref="AG20" dT="2025-07-03T11:44:54.46" personId="{76359D42-6891-47F0-B835-5009E8FDB92F}" id="{F5A7E5B0-2E21-463B-A741-2CAEE2A93657}">
    <text>Visited Mathura not in the knowledge of the Shariq , even i asked him the details of the visit he didn't shared.</text>
  </threadedComment>
  <threadedComment ref="S48" dT="2025-06-16T08:14:13.03" personId="{76359D42-6891-47F0-B835-5009E8FDB92F}" id="{4D8BAC4E-58A8-432B-803E-156E206343A9}">
    <text xml:space="preserve">Absent in the product knowledge meeting </text>
  </threadedComment>
  <threadedComment ref="S49" dT="2025-06-16T08:14:35.34" personId="{76359D42-6891-47F0-B835-5009E8FDB92F}" id="{DE593A54-38D8-4062-957B-E4413ACE3BB4}">
    <text xml:space="preserve">Absent in the product knowledge meeting </text>
  </threadedComment>
  <threadedComment ref="Y50" dT="2025-06-23T06:21:17.08" personId="{76359D42-6891-47F0-B835-5009E8FDB92F}" id="{3147B753-717C-404F-B82B-467DCA5ADF7C}">
    <text>No data of working in a software, Even messaged him left the message unseen</text>
  </threadedComment>
  <threadedComment ref="R58" dT="2025-06-14T08:04:03.23" personId="{76359D42-6891-47F0-B835-5009E8FDB92F}" id="{54315F50-6505-4BEA-902B-E4E524DA3D0D}">
    <text xml:space="preserve">Travelling Bhopal to Rewa </text>
  </threadedComment>
  <threadedComment ref="S59" dT="2025-06-16T08:13:44.89" personId="{76359D42-6891-47F0-B835-5009E8FDB92F}" id="{65D9C0D9-935B-4D97-ABC7-BCB04812DF93}">
    <text xml:space="preserve">Absent in the product knowledge meeting </text>
  </threadedComment>
</ThreadedComments>
</file>

<file path=xl/threadedComments/threadedComment4.xml><?xml version="1.0" encoding="utf-8"?>
<ThreadedComments xmlns="http://schemas.microsoft.com/office/spreadsheetml/2018/threadedcomments" xmlns:x="http://schemas.openxmlformats.org/spreadsheetml/2006/main">
  <threadedComment ref="AF2" dT="2025-07-28T06:44:59.12" personId="{76359D42-6891-47F0-B835-5009E8FDB92F}" id="{374A1F1F-5AC3-4DAB-8EAC-FBFDD8B1BC24}">
    <text>Forget to check in on time</text>
  </threadedComment>
  <threadedComment ref="AK4" dT="2025-08-01T06:14:17.27" personId="{76359D42-6891-47F0-B835-5009E8FDB92F}" id="{E26D3233-D0F2-4B0A-8C5C-CBE4D196BDB1}">
    <text>Raining</text>
  </threadedComment>
  <threadedComment ref="AI5" dT="2025-07-30T06:31:55.62" personId="{76359D42-6891-47F0-B835-5009E8FDB92F}" id="{5CFE7273-540A-4191-AB12-65328D18B0E5}">
    <text>Started work after 2:14pm</text>
  </threadedComment>
  <threadedComment ref="H13" dT="2025-07-03T11:33:22.20" personId="{76359D42-6891-47F0-B835-5009E8FDB92F}" id="{F05D443B-9108-4FDE-887F-1702E6D654FC}">
    <text>No check in in software &amp; in report just visited 4 salons in mizoram</text>
  </threadedComment>
  <threadedComment ref="H20" dT="2025-07-03T11:52:15.48" personId="{76359D42-6891-47F0-B835-5009E8FDB92F}" id="{FDFD46FE-755E-47BC-9085-C55E55A304FD}">
    <text>No record of working in the software, still i called him on 3rd his phone is switched off</text>
  </threadedComment>
  <threadedComment ref="I20" dT="2025-07-04T06:49:44.20" personId="{76359D42-6891-47F0-B835-5009E8FDB92F}" id="{22A87FF5-4AF5-414B-BD2D-293FBC9ECFF7}">
    <text xml:space="preserve">No record of his working in the software even the phone is switched off. </text>
  </threadedComment>
  <threadedComment ref="AK26" dT="2025-08-01T08:54:38.48" personId="{76359D42-6891-47F0-B835-5009E8FDB92F}" id="{94EFAF60-09CF-474E-9730-73F3804BF25E}">
    <text xml:space="preserve">Just worked for 3:16 - 3:41 PM in working hour </text>
  </threadedComment>
  <threadedComment ref="H28" dT="2025-07-03T11:57:34.41" personId="{76359D42-6891-47F0-B835-5009E8FDB92F}" id="{C6447BC4-316E-49DF-96F3-9FC82A5C4484}">
    <text>Worked for 3:30 hrs only- Rain</text>
  </threadedComment>
  <threadedComment ref="K28" dT="2025-07-07T11:40:10.66" personId="{76359D42-6891-47F0-B835-5009E8FDB92F}" id="{8FDCC307-1DC2-4C48-92C5-3112A3422F84}">
    <text>Rain</text>
  </threadedComment>
  <threadedComment ref="M30" dT="2025-07-09T10:54:26.53" personId="{76359D42-6891-47F0-B835-5009E8FDB92F}" id="{953E0331-46B8-4FAC-BB05-4BFFABE9F5A0}">
    <text>App issue</text>
  </threadedComment>
  <threadedComment ref="AI30" dT="2025-07-30T10:26:28.90" personId="{76359D42-6891-47F0-B835-5009E8FDB92F}" id="{5F6B8748-9A00-48CB-A48D-884E345686EF}">
    <text>HIS FATHER IS HOSPITALIZED</text>
  </threadedComment>
  <threadedComment ref="H32" dT="2025-07-03T12:00:51.64" personId="{76359D42-6891-47F0-B835-5009E8FDB92F}" id="{07B34257-C83E-4796-BC7A-D8FC6A44F68D}">
    <text>Worked for 4hrs</text>
  </threadedComment>
  <threadedComment ref="I38" dT="2025-07-05T10:52:36.83" personId="{76359D42-6891-47F0-B835-5009E8FDB92F}" id="{5AD4FD4A-8F79-4FEF-B5CE-BFDAFD57AAEC}">
    <text>Just one demo in tony &amp; guy(11:30 to 2:30PM) not responding to the call as well</text>
  </threadedComment>
  <threadedComment ref="T40" dT="2025-07-16T12:02:30.21" personId="{76359D42-6891-47F0-B835-5009E8FDB92F}" id="{02E0CE61-0867-40D1-AE0C-91281753A1A8}">
    <text>Shariq told her to go Farrukhabad, but she dont visit</text>
  </threadedComment>
  <threadedComment ref="O55" dT="2025-07-11T11:38:29.56" personId="{76359D42-6891-47F0-B835-5009E8FDB92F}" id="{394F88F9-5123-4AEC-B9FE-0CDD63C4DD77}">
    <text>Not login to the software</text>
  </threadedComment>
  <threadedComment ref="P55" dT="2025-07-11T11:38:36.19" personId="{76359D42-6891-47F0-B835-5009E8FDB92F}" id="{FFA61594-4253-4DB9-92CE-2AE6578A087F}">
    <text>Not login to the software</text>
  </threadedComment>
  <threadedComment ref="J56" dT="2025-07-07T09:32:42.99" personId="{76359D42-6891-47F0-B835-5009E8FDB92F}" id="{A44A8E99-C300-4C78-8D69-BA935ABC151B}">
    <text>Not responded to the call , &amp; no working in software</text>
  </threadedComment>
  <threadedComment ref="K56" dT="2025-07-07T09:32:36.13" personId="{76359D42-6891-47F0-B835-5009E8FDB92F}" id="{991AF1BB-142C-484F-865F-37DFFB8D7669}">
    <text>Not responded to the call &amp; no working in software</text>
  </threadedComment>
  <threadedComment ref="G59" dT="2025-07-03T12:07:03.29" personId="{76359D42-6891-47F0-B835-5009E8FDB92F}" id="{B847CAFF-6610-49EA-A829-6F1BCCEBA178}">
    <text>Check-in at 4:46 PM &amp; even called for the clarification on 3rd July- not responded</text>
  </threadedComment>
  <threadedComment ref="H59" dT="2025-07-03T12:05:49.05" personId="{76359D42-6891-47F0-B835-5009E8FDB92F}" id="{B0A2D6B6-81F6-4565-8E19-91A9B090BD20}">
    <text>Check-in at 3:45 PM &amp; even called for the clarification on 3rd July- not responded</text>
  </threadedComment>
  <threadedComment ref="AH59" dT="2025-07-30T10:12:13.25" personId="{76359D42-6891-47F0-B835-5009E8FDB92F}" id="{07952B0F-DE23-477B-8D79-32A9AFCC181F}">
    <text>RAINING</text>
  </threadedComment>
  <threadedComment ref="AI59" dT="2025-07-30T10:12:22.11" personId="{76359D42-6891-47F0-B835-5009E8FDB92F}" id="{AA9BC31E-11C7-4A78-AB12-440A48848857}">
    <text>RAINING</text>
  </threadedComment>
  <threadedComment ref="T62" dT="2025-07-15T11:18:17.07" personId="{76359D42-6891-47F0-B835-5009E8FDB92F}" id="{0AA5B164-AD9F-49A6-8D4D-D996AB365FF3}">
    <text>No report in software even contacted on 15 no responded</text>
  </threadedComment>
  <threadedComment ref="AA62" dT="2025-07-22T06:38:33.71" personId="{76359D42-6891-47F0-B835-5009E8FDB92F}" id="{3B24710F-3426-4159-B768-07CCB449FC51}">
    <text xml:space="preserve">Travelled zero km </text>
  </threadedComment>
  <threadedComment ref="AD62" dT="2025-07-25T11:02:57.15" personId="{76359D42-6891-47F0-B835-5009E8FDB92F}" id="{7A549135-58DD-452D-9D8B-297DA00F705B}">
    <text>No proper report in group</text>
  </threadedComment>
  <threadedComment ref="AE62" dT="2025-07-26T08:46:38.42" personId="{76359D42-6891-47F0-B835-5009E8FDB92F}" id="{000D7F0F-E790-4B60-92CB-456BED8AE204}">
    <text>No record of working in the software</text>
  </threadedComment>
</ThreadedComments>
</file>

<file path=xl/threadedComments/threadedComment5.xml><?xml version="1.0" encoding="utf-8"?>
<ThreadedComments xmlns="http://schemas.microsoft.com/office/spreadsheetml/2018/threadedcomments" xmlns:x="http://schemas.openxmlformats.org/spreadsheetml/2006/main">
  <threadedComment ref="AD4" dT="2025-08-26T11:45:19.21" personId="{76359D42-6891-47F0-B835-5009E8FDB92F}" id="{BDA19BD9-AF55-4207-8A91-348C7E4F90B1}">
    <text xml:space="preserve">At home </text>
  </threadedComment>
  <threadedComment ref="AG5" dT="2025-08-29T07:03:51.90" personId="{76359D42-6891-47F0-B835-5009E8FDB92F}" id="{31DA0DCC-F05D-485E-A468-FB07AB757FB6}">
    <text xml:space="preserve">Not responded to the call done on 29 regarding 28th working </text>
  </threadedComment>
  <threadedComment ref="AG6" dT="2025-08-30T09:46:51.59" personId="{76359D42-6891-47F0-B835-5009E8FDB92F}" id="{91965191-2C57-460B-9972-CCF335FE655E}">
    <text>Raining</text>
  </threadedComment>
  <threadedComment ref="AH6" dT="2025-08-30T09:47:08.53" personId="{76359D42-6891-47F0-B835-5009E8FDB92F}" id="{A72ADFA3-0C7F-4C08-AACE-238CA0439FF9}">
    <text>Raining</text>
  </threadedComment>
  <threadedComment ref="I8" dT="2025-08-05T05:16:02.64" personId="{76359D42-6891-47F0-B835-5009E8FDB92F}" id="{CF343D7F-FD42-46F8-8FC6-AF8AEA566923}">
    <text>Heavy rain</text>
  </threadedComment>
  <threadedComment ref="M8" dT="2025-08-12T07:40:22.59" personId="{76359D42-6891-47F0-B835-5009E8FDB92F}" id="{208FD6E7-1C8D-43C8-8DC2-9486C3C713AE}">
    <text>Raining</text>
  </threadedComment>
  <threadedComment ref="AI9" dT="2025-09-01T11:19:41.70" personId="{76359D42-6891-47F0-B835-5009E8FDB92F}" id="{4BC5DF19-B4AC-469D-8469-D38DEF818638}">
    <text>No report in a group</text>
  </threadedComment>
  <threadedComment ref="AB10" dT="2025-08-25T08:05:31.25" personId="{76359D42-6891-47F0-B835-5009E8FDB92F}" id="{46EEE12F-A9A6-4ED6-8685-0BE628B6EE72}">
    <text xml:space="preserve">Network issue </text>
  </threadedComment>
  <threadedComment ref="AH12" dT="2025-08-30T09:54:40.33" personId="{76359D42-6891-47F0-B835-5009E8FDB92F}" id="{117DDA33-9ACC-4B22-95F5-DE39EDA68FF4}">
    <text>At base location till 2:54 PM</text>
  </threadedComment>
  <threadedComment ref="AH13" dT="2025-08-30T09:54:14.41" personId="{76359D42-6891-47F0-B835-5009E8FDB92F}" id="{8DA9C8C1-10DA-4172-B60E-184FC9FDD7A8}">
    <text>At base location till 2:13 PM</text>
  </threadedComment>
  <threadedComment ref="F24" dT="2025-08-02T08:39:09.41" personId="{76359D42-6891-47F0-B835-5009E8FDB92F}" id="{B6E261DC-967D-4AD1-A7F4-73F8F5EE5911}">
    <text>His daughter is getting fever</text>
  </threadedComment>
  <threadedComment ref="G30" dT="2025-08-05T05:05:25.32" personId="{76359D42-6891-47F0-B835-5009E8FDB92F}" id="{A50DD68F-4495-4997-B3B2-ED5740CF085E}">
    <text xml:space="preserve">Full day at hospital </text>
  </threadedComment>
  <threadedComment ref="AG38" dT="2025-08-29T10:17:52.97" personId="{76359D42-6891-47F0-B835-5009E8FDB92F}" id="{A3695DD5-544A-4834-BFAA-73B3740A10B3}">
    <text xml:space="preserve">Till 3pm at home even not responded to the call done on 29 </text>
  </threadedComment>
  <threadedComment ref="I41" dT="2025-08-05T06:47:59.19" personId="{76359D42-6891-47F0-B835-5009E8FDB92F}" id="{4996E4C7-90B5-4951-9749-89C8E1A50ABE}">
    <text>Heavy rain</text>
  </threadedComment>
  <threadedComment ref="M56" dT="2025-08-12T08:54:25.00" personId="{76359D42-6891-47F0-B835-5009E8FDB92F}" id="{5984DD11-E349-45B1-8FCC-77FC5B60608F}">
    <text>Raining</text>
  </threadedComment>
  <threadedComment ref="AH66" dT="2025-08-30T08:45:32.78" personId="{76359D42-6891-47F0-B835-5009E8FDB92F}" id="{05F65C27-F2D5-4223-9FE5-1C9DD34C8971}">
    <text>Raining</text>
  </threadedComment>
</ThreadedComments>
</file>

<file path=xl/threadedComments/threadedComment6.xml><?xml version="1.0" encoding="utf-8"?>
<ThreadedComments xmlns="http://schemas.microsoft.com/office/spreadsheetml/2018/threadedcomments" xmlns:x="http://schemas.openxmlformats.org/spreadsheetml/2006/main">
  <threadedComment ref="F10" dT="2025-09-02T07:32:05.29" personId="{76359D42-6891-47F0-B835-5009E8FDB92F}" id="{14000BF3-E64E-4378-A0EE-F33CBDE7EA02}">
    <text xml:space="preserve">Training full day </text>
  </threadedComment>
  <threadedComment ref="F13" dT="2025-09-02T08:41:55.84" personId="{76359D42-6891-47F0-B835-5009E8FDB92F}" id="{7D015F41-E5FE-4E91-9618-75FBCD4BCA31}">
    <text xml:space="preserve">Training whole day </text>
  </threadedComment>
  <threadedComment ref="G13" dT="2025-09-03T12:06:45.28" personId="{76359D42-6891-47F0-B835-5009E8FDB92F}" id="{467CF29B-C8BA-44C4-B813-93E89680DF67}">
    <text>Raining</text>
  </threadedComment>
  <threadedComment ref="M14" dT="2025-09-09T06:58:13.36" personId="{76359D42-6891-47F0-B835-5009E8FDB92F}" id="{9AFE4856-123A-4DEF-B3C0-661A138431D7}">
    <text>No record of working in a software</text>
  </threadedComment>
  <threadedComment ref="F41" dT="2025-09-02T10:48:46.55" personId="{76359D42-6891-47F0-B835-5009E8FDB92F}" id="{64EEFC50-E22E-41FA-8EC3-56D261AF44E1}">
    <text xml:space="preserve">No working in a software &amp; not responded to the call on 2nd sept </text>
  </threadedComment>
  <threadedComment ref="Y42" dT="2025-09-22T12:05:46.74" personId="{76359D42-6891-47F0-B835-5009E8FDB92F}" id="{E57AC62F-19EB-4C14-B905-25FFCCE30DC5}">
    <text xml:space="preserve">Worked till 2:10 PM only and not responded to the call
</text>
  </threadedComment>
  <threadedComment ref="V45" dT="2025-09-19T11:00:39.93" personId="{76359D42-6891-47F0-B835-5009E8FDB92F}" id="{B65ED55A-EBD1-43ED-82DA-8A0F76E95FE2}">
    <text xml:space="preserve">No working in the software asked for the video for the proof regarding the issue in the software once submitted will mark present </text>
  </threadedComment>
  <threadedComment ref="W45" dT="2025-09-19T11:00:46.48" personId="{76359D42-6891-47F0-B835-5009E8FDB92F}" id="{0F2B5994-B312-4F51-B848-26E06B400426}">
    <text xml:space="preserve">No working in the software asked for the video for the proof regarding the issue in the software once submitted will mark present </text>
  </threadedComment>
  <threadedComment ref="AD49" dT="2025-09-26T10:08:08.22" personId="{76359D42-6891-47F0-B835-5009E8FDB92F}" id="{0EB02864-A2CB-43CC-B44D-83531C4C62B6}">
    <text xml:space="preserve">No report in group 
</text>
  </threadedComment>
  <threadedComment ref="X52" dT="2025-09-20T11:17:34.50" personId="{76359D42-6891-47F0-B835-5009E8FDB92F}" id="{A7EDD21E-CA29-4A5F-A7CA-29A872C009D3}">
    <text xml:space="preserve">NO responded to the call done on 20 th for 19 report &amp; working is just till 2:50 pm </text>
  </threadedComment>
  <threadedComment ref="F53" dT="2025-09-02T10:46:28.08" personId="{76359D42-6891-47F0-B835-5009E8FDB92F}" id="{B4A87A1C-5626-47A1-AF40-D3919F428C52}">
    <text xml:space="preserve">Training whole day </text>
  </threadedComment>
  <threadedComment ref="F54" dT="2025-09-02T10:51:37.10" personId="{76359D42-6891-47F0-B835-5009E8FDB92F}" id="{29F9FBFC-CF99-45DF-872B-693E1E5EDC5E}">
    <text>Get free at 3:30 from the salon , get this info via a call . No working in a software</text>
  </threadedComment>
  <threadedComment ref="G54" dT="2025-09-02T10:52:07.83" personId="{76359D42-6891-47F0-B835-5009E8FDB92F}" id="{B4DB1D9C-5361-48B7-A1A8-316A81CC3594}">
    <text>Not well , on her periods</text>
  </threadedComment>
  <threadedComment ref="F57" dT="2025-09-02T10:53:36.05" personId="{76359D42-6891-47F0-B835-5009E8FDB92F}" id="{42CD4132-9DBC-4AC8-A321-69252AC923BC}">
    <text>Full day training of product know.</text>
  </threadedComment>
  <threadedComment ref="U65" dT="2025-09-17T12:46:11.71" personId="{76359D42-6891-47F0-B835-5009E8FDB92F}" id="{4730D687-4D58-4A1C-98DE-2F4F10505A89}">
    <text xml:space="preserve">Software not responding </text>
  </threadedComment>
  <threadedComment ref="X66" dT="2025-09-20T09:23:31.10" personId="{76359D42-6891-47F0-B835-5009E8FDB92F}" id="{E9E909A3-DCBC-4DFC-916F-CE33EEE26B39}">
    <text>Mention in group</text>
  </threadedComment>
  <threadedComment ref="X68" dT="2025-09-20T11:16:34.42" personId="{76359D42-6891-47F0-B835-5009E8FDB92F}" id="{CF4D31B3-051B-4357-9B78-380A094E3EBE}">
    <text xml:space="preserve">No working in a software message is dropped in a group for report </text>
  </threadedComment>
  <threadedComment ref="AD73" dT="2025-09-26T10:09:00.70" personId="{76359D42-6891-47F0-B835-5009E8FDB92F}" id="{7527AF77-72FE-4E58-A919-21D3B1F298B0}">
    <text xml:space="preserve">No report in group </text>
  </threadedComment>
</ThreadedComments>
</file>

<file path=xl/threadedComments/threadedComment7.xml><?xml version="1.0" encoding="utf-8"?>
<ThreadedComments xmlns="http://schemas.microsoft.com/office/spreadsheetml/2018/threadedcomments" xmlns:x="http://schemas.openxmlformats.org/spreadsheetml/2006/main">
  <threadedComment ref="M16" dT="2025-10-14T07:02:35.30" personId="{76359D42-6891-47F0-B835-5009E8FDB92F}" id="{8EE9FEA5-E431-4334-ABC8-B06489845F24}">
    <text>Started work at 1:26PM and ended at 4pm</text>
  </threadedComment>
  <threadedComment ref="G49" dT="2025-09-02T10:52:07.83" personId="{76359D42-6891-47F0-B835-5009E8FDB92F}" id="{3419DE4E-937F-48B7-A375-2900770496D6}">
    <text>Not well , on her periods</text>
  </threadedComment>
  <threadedComment ref="AF74" dT="2025-11-07T06:56:56.77" personId="{01016558-68F2-428B-8E94-7FE3380B345F}" id="{759D0711-282C-4CD7-9E3F-5682B7D2F0FF}">
    <text>Not shared morning report</text>
  </threadedComment>
  <threadedComment ref="AG74" dT="2025-11-07T06:57:05.14" personId="{01016558-68F2-428B-8E94-7FE3380B345F}" id="{6BDAC18F-FDF9-4DC8-A4A3-446DE54A4CFB}">
    <text>Not shared morning report</text>
  </threadedComment>
  <threadedComment ref="AH74" dT="2025-11-07T06:57:09.88" personId="{01016558-68F2-428B-8E94-7FE3380B345F}" id="{D761B150-E9D8-4E3F-87BA-1F8F511684BA}">
    <text>Not shared morning report</text>
  </threadedComment>
</ThreadedComments>
</file>

<file path=xl/threadedComments/threadedComment8.xml><?xml version="1.0" encoding="utf-8"?>
<ThreadedComments xmlns="http://schemas.microsoft.com/office/spreadsheetml/2018/threadedcomments" xmlns:x="http://schemas.openxmlformats.org/spreadsheetml/2006/main">
  <threadedComment ref="L5" dT="2025-11-08T06:10:47.92" personId="{01016558-68F2-428B-8E94-7FE3380B345F}" id="{8C3BB942-3E48-4E71-8EA1-EE7C0FD72417}">
    <text>not shared report in group also no login in daytrack</text>
  </threadedComment>
  <threadedComment ref="J11" dT="2025-11-06T12:27:24.70" personId="{01016558-68F2-428B-8E94-7FE3380B345F}" id="{4AC0930A-5A1F-4101-924C-D8124C5A4831}">
    <text>work 7.19 min</text>
  </threadedComment>
  <threadedComment ref="AG13" dT="2025-11-28T07:47:20.85" personId="{01016558-68F2-428B-8E94-7FE3380B345F}" id="{FE1618B2-E693-4F40-B243-F325BB3546C8}">
    <text>Informed over the mail</text>
  </threadedComment>
  <threadedComment ref="L20" dT="2025-11-08T06:18:51.02" personId="{01016558-68F2-428B-8E94-7FE3380B345F}" id="{DFD79F63-DA79-443A-B0EE-10941C39F3E7}">
    <text>not shared report in group also not login in daytrack</text>
  </threadedComment>
  <threadedComment ref="Y20" dT="2025-11-20T05:36:01.60" personId="{01016558-68F2-428B-8E94-7FE3380B345F}" id="{A529BE25-0A94-4CFF-85A3-7BCCB174E1DD}">
    <text>Informed in group</text>
  </threadedComment>
  <threadedComment ref="R21" dT="2025-11-14T11:46:54.69" personId="{01016558-68F2-428B-8E94-7FE3380B345F}" id="{DB2D7098-9C51-423C-A491-5F98DD355791}">
    <text>Leave mail</text>
  </threadedComment>
  <threadedComment ref="Z24" dT="2025-11-21T05:59:31.54" personId="{01016558-68F2-428B-8E94-7FE3380B345F}" id="{39173EC6-BDDC-488F-A266-AF90BF9948C6}">
    <text>mentioned in group</text>
  </threadedComment>
  <threadedComment ref="M29" dT="2025-11-08T05:19:07.04" personId="{01016558-68F2-428B-8E94-7FE3380B345F}" id="{1D401A6D-5BF4-4677-9C17-6223BC5B128A}">
    <text>Take leave on mail</text>
  </threadedComment>
  <threadedComment ref="P32" dT="2025-11-11T12:15:11.90" personId="{01016558-68F2-428B-8E94-7FE3380B345F}" id="{2C176B3C-6C96-42E5-84A1-F23F8AC6F12B}">
    <text>Priyanshi told me to mark AB</text>
  </threadedComment>
  <threadedComment ref="J34" dT="2025-11-14T11:02:21.60" personId="{01016558-68F2-428B-8E94-7FE3380B345F}" id="{BB534E1D-CC59-493C-A486-DB9FC403A1F0}">
    <text>leave mail</text>
  </threadedComment>
  <threadedComment ref="K34" dT="2025-11-14T11:02:29.71" personId="{01016558-68F2-428B-8E94-7FE3380B345F}" id="{E0C2DB43-E210-47B6-91BC-73DD1ED6AA3F}">
    <text>leave mail</text>
  </threadedComment>
  <threadedComment ref="L34" dT="2025-11-14T11:02:36.07" personId="{01016558-68F2-428B-8E94-7FE3380B345F}" id="{81EAC069-17FE-4F0F-AE20-7AD0CAB3EE66}">
    <text>leave mail</text>
  </threadedComment>
  <threadedComment ref="M34" dT="2025-11-14T11:02:43.73" personId="{01016558-68F2-428B-8E94-7FE3380B345F}" id="{A92403CF-3D1F-424E-9450-2941EA9E4047}">
    <text>leave mail</text>
  </threadedComment>
  <threadedComment ref="AD35" dT="2025-11-25T05:08:21.30" personId="{01016558-68F2-428B-8E94-7FE3380B345F}" id="{74E0B868-162D-4162-8D74-E3BA2EF7A2B1}">
    <text>On leave</text>
  </threadedComment>
  <threadedComment ref="AD37" dT="2025-11-25T05:52:58.58" personId="{01016558-68F2-428B-8E94-7FE3380B345F}" id="{06271F45-4ED1-4C58-9ABE-BD414ABA2512}">
    <text>She worked on sunday.</text>
  </threadedComment>
  <threadedComment ref="AG40" dT="2025-11-28T05:57:13.07" personId="{01016558-68F2-428B-8E94-7FE3380B345F}" id="{78D5D1FD-FCF6-408F-9A2E-45DEEDCA48C8}">
    <text>Request for Leave Due to Family Wedding</text>
  </threadedComment>
  <threadedComment ref="AH40" dT="2025-11-28T05:57:19.34" personId="{01016558-68F2-428B-8E94-7FE3380B345F}" id="{7EEF02F6-BA70-4A64-8C3A-709B5D2BBC51}">
    <text>Request for Leave Due to Family Wedding</text>
  </threadedComment>
  <threadedComment ref="AH41" dT="2025-11-25T05:31:15.17" personId="{01016558-68F2-428B-8E94-7FE3380B345F}" id="{BFD6E749-6DCE-4DAC-BE2B-F63D7C311075}">
    <text>mentioned in group</text>
  </threadedComment>
  <threadedComment ref="AG42" dT="2025-11-28T07:47:20.85" personId="{01016558-68F2-428B-8E94-7FE3380B345F}" id="{91C6FD8E-9000-48E7-8102-E515C04A26A5}">
    <text>Informed over the mail</text>
  </threadedComment>
  <threadedComment ref="S43" dT="2025-11-15T07:57:04.98" personId="{01016558-68F2-428B-8E94-7FE3380B345F}" id="{DC90595C-5A60-4DD4-B97F-A0F6E2A15813}">
    <text>Not shared report in group</text>
  </threadedComment>
  <threadedComment ref="AD45" dT="2025-11-25T05:31:15.17" personId="{01016558-68F2-428B-8E94-7FE3380B345F}" id="{0D6293E6-059D-4274-9D03-259FED0DABBE}">
    <text>mentioned in group</text>
  </threadedComment>
  <threadedComment ref="AG45" dT="2025-11-25T05:31:15.17" personId="{01016558-68F2-428B-8E94-7FE3380B345F}" id="{EEC5ECC7-EA19-424E-8DE6-19F23E523B81}">
    <text>mentioned in group</text>
  </threadedComment>
  <threadedComment ref="S46" dT="2025-11-14T05:50:52.38" personId="{01016558-68F2-428B-8E94-7FE3380B345F}" id="{1A4A0001-F483-40D8-81E4-8F2E1AA8D6DA}">
    <text>travelling from goa to bangalore</text>
  </threadedComment>
  <threadedComment ref="J51" dT="2025-11-08T06:31:38.61" personId="{01016558-68F2-428B-8E94-7FE3380B345F}" id="{30535815-BF69-4E9E-ABEC-AA02E0FF3BD6}">
    <text>Not shared report in group as there is some problem in her mobile</text>
  </threadedComment>
  <threadedComment ref="K51" dT="2025-11-08T06:31:43.79" personId="{01016558-68F2-428B-8E94-7FE3380B345F}" id="{206EA62C-FAFD-4FAF-973B-8638464A08AF}">
    <text>Not shared report in group as there is some problem in her mobile</text>
  </threadedComment>
  <threadedComment ref="L51" dT="2025-11-08T06:31:49.26" personId="{01016558-68F2-428B-8E94-7FE3380B345F}" id="{1487B758-666E-4786-9B03-2EA665C7D4D3}">
    <text>Not shared report in group as there is some problem in her mobile</text>
  </threadedComment>
  <threadedComment ref="M51" dT="2025-11-08T06:31:56.23" personId="{01016558-68F2-428B-8E94-7FE3380B345F}" id="{AECEFDFE-CDD3-4AB1-A38C-B6EDC9B4A479}">
    <text>Not shared report in group as there is some problem in her mobile</text>
  </threadedComment>
  <threadedComment ref="O51" dT="2025-11-08T06:31:56.23" personId="{01016558-68F2-428B-8E94-7FE3380B345F}" id="{983C3B4C-3D5F-43D9-A3D1-E204BE68ED51}">
    <text>Not shared report in group as there is some problem in her mobile</text>
  </threadedComment>
  <threadedComment ref="AF51" dT="2025-11-25T05:31:15.17" personId="{01016558-68F2-428B-8E94-7FE3380B345F}" id="{DE8E651D-0EC2-46F1-8501-360C48CF1127}">
    <text>mentioned in group</text>
  </threadedComment>
  <threadedComment ref="AF51" dT="2025-11-27T05:11:03.71" personId="{01016558-68F2-428B-8E94-7FE3380B345F}" id="{3AA30FBD-8909-4D8A-9099-48A4A377F1E4}" parentId="{DE8E651D-0EC2-46F1-8501-360C48CF1127}">
    <text>Mentioned in group</text>
  </threadedComment>
  <threadedComment ref="AA59" dT="2025-11-20T06:23:52.45" personId="{01016558-68F2-428B-8E94-7FE3380B345F}" id="{B44D4411-FD1B-45BC-B6AB-77678DF8EBCE}">
    <text>mentioned in group</text>
  </threadedComment>
  <threadedComment ref="T61" dT="2025-12-10T09:45:59.91" personId="{01016558-68F2-428B-8E94-7FE3380B345F}" id="{F5A10ED3-51B0-482C-ABC3-DE64C867DD6E}">
    <text>Priyanshi told me to mark leave</text>
  </threadedComment>
  <threadedComment ref="K65" dT="2025-11-14T11:00:28.13" personId="{01016558-68F2-428B-8E94-7FE3380B345F}" id="{EDE0C6A1-E64B-499D-9718-3DA90781A6BC}">
    <text>leave mail</text>
  </threadedComment>
  <threadedComment ref="L65" dT="2025-11-14T11:01:05.40" personId="{01016558-68F2-428B-8E94-7FE3380B345F}" id="{E353D654-A745-4D85-A5CD-D0ABD29C8476}">
    <text>leave mail</text>
  </threadedComment>
  <threadedComment ref="M65" dT="2025-11-14T11:01:16.79" personId="{01016558-68F2-428B-8E94-7FE3380B345F}" id="{126BAB09-8886-4450-90E0-E2D00D296823}">
    <text>leave mail</text>
  </threadedComment>
  <threadedComment ref="AF69" dT="2025-11-29T09:32:46.34" personId="{01016558-68F2-428B-8E94-7FE3380B345F}" id="{0997B5E4-63B6-437E-896C-F3DFDA50AAD2}">
    <text>confirmed on call</text>
  </threadedComment>
  <threadedComment ref="R70" dT="2025-11-14T10:07:07.89" personId="{01016558-68F2-428B-8E94-7FE3380B345F}" id="{35647623-3471-4402-BA4E-E5814D56168A}">
    <text>No working in daytrack after 3pm</text>
  </threadedComment>
  <threadedComment ref="AD72" dT="2025-11-25T05:10:13.17" personId="{01016558-68F2-428B-8E94-7FE3380B345F}" id="{430C341D-D625-4B06-A9FB-BD7A0AD0092B}">
    <text>mentioned in group</text>
  </threadedComment>
  <threadedComment ref="Y74" dT="2025-11-20T06:23:52.45" personId="{01016558-68F2-428B-8E94-7FE3380B345F}" id="{D354E421-F0E4-47EA-A989-70300B64C21D}">
    <text>mentioned in group</text>
  </threadedComment>
  <threadedComment ref="X75" dT="2025-11-19T05:23:21.95" personId="{01016558-68F2-428B-8E94-7FE3380B345F}" id="{451C3E8B-48CF-40D9-91F0-F58DCD0927FA}">
    <text>mention in group</text>
  </threadedComment>
</ThreadedComments>
</file>

<file path=xl/threadedComments/threadedComment9.xml><?xml version="1.0" encoding="utf-8"?>
<ThreadedComments xmlns="http://schemas.microsoft.com/office/spreadsheetml/2018/threadedcomments" xmlns:x="http://schemas.openxmlformats.org/spreadsheetml/2006/main">
  <threadedComment ref="J2" dT="2025-12-08T11:43:43.64" personId="{01016558-68F2-428B-8E94-7FE3380B345F}" id="{D432AA8E-894E-44FE-A2B0-D46A0AC16110}">
    <text>mentioned in group</text>
  </threadedComment>
  <threadedComment ref="K4" dT="2025-12-10T07:24:04.89" personId="{76359D42-6891-47F0-B835-5009E8FDB92F}" id="{49437BEB-8ACD-44E7-86A9-C5D8A0947F26}">
    <text xml:space="preserve">Only 2 visits as per the software </text>
  </threadedComment>
  <threadedComment ref="K5" dT="2025-12-10T07:25:30.12" personId="{76359D42-6891-47F0-B835-5009E8FDB92F}" id="{D494798F-A69A-475B-AA96-A891D829B898}">
    <text xml:space="preserve">Only 1 visit as per the software </text>
  </threadedComment>
  <threadedComment ref="K6" dT="2025-12-10T12:05:11.27" personId="{76359D42-6891-47F0-B835-5009E8FDB92F}" id="{1835773F-BB44-462B-B6FD-E0726436098C}">
    <text xml:space="preserve">1 visit as per software </text>
  </threadedComment>
  <threadedComment ref="Q6" dT="2025-12-12T10:08:26.02" personId="{76359D42-6891-47F0-B835-5009E8FDB92F}" id="{12CA6EE3-CF99-4C2C-9666-7BAF3CB76E2D}">
    <text xml:space="preserve">Received mail </text>
  </threadedComment>
  <threadedComment ref="K7" dT="2025-12-10T10:08:08.17" personId="{76359D42-6891-47F0-B835-5009E8FDB92F}" id="{6D5609BC-9468-440B-B289-A94AAEE1792E}">
    <text xml:space="preserve">3 visit as per the software &amp; 2 as per report </text>
  </threadedComment>
  <threadedComment ref="AC7" dT="2025-12-25T09:15:08.29" personId="{76359D42-6891-47F0-B835-5009E8FDB92F}" id="{ECFAED46-6D8A-455B-91F6-742B96B15213}">
    <text>Just reported in the group , no visit is performed hardly travelled 3km , no visit is added in the software .Even confirmed with the shariq</text>
  </threadedComment>
  <threadedComment ref="K13" dT="2025-12-10T10:26:12.84" personId="{76359D42-6891-47F0-B835-5009E8FDB92F}" id="{BB68CC77-BC1B-4424-B2D5-1C40FAA43D17}">
    <text>1 visit as per the software</text>
  </threadedComment>
  <threadedComment ref="Q14" dT="2025-12-12T10:09:40.67" personId="{76359D42-6891-47F0-B835-5009E8FDB92F}" id="{58022A5F-8F6E-4C8B-808B-3ABD72708E96}">
    <text xml:space="preserve">Received mail </text>
  </threadedComment>
  <threadedComment ref="R14" dT="2025-12-12T10:09:45.50" personId="{76359D42-6891-47F0-B835-5009E8FDB92F}" id="{AA126353-74CF-4D51-B637-5BA8AA4E4785}">
    <text xml:space="preserve">Received mail </text>
  </threadedComment>
  <threadedComment ref="Y14" dT="2025-12-23T10:40:14.72" personId="{76359D42-6891-47F0-B835-5009E8FDB92F}" id="{1CAA781E-6EC2-4F13-9884-B19FD5919A5C}">
    <text xml:space="preserve">No report in the group &amp; working in the software </text>
  </threadedComment>
  <threadedComment ref="K15" dT="2025-12-10T10:38:26.20" personId="{76359D42-6891-47F0-B835-5009E8FDB92F}" id="{A8B52859-B657-4AC2-B09A-C4519F4B7F03}">
    <text>Full day at home only attended a Manisha's mam training , On call she said it was raining</text>
  </threadedComment>
  <threadedComment ref="M19" dT="2025-12-10T10:46:49.96" personId="{76359D42-6891-47F0-B835-5009E8FDB92F}" id="{217E4490-2D56-44B2-8E82-B55EF6857013}">
    <text xml:space="preserve">No report &amp; working </text>
  </threadedComment>
  <threadedComment ref="P26" dT="2025-12-12T11:59:53.30" personId="{76359D42-6891-47F0-B835-5009E8FDB92F}" id="{4092CDF4-6000-4BCA-87FE-A005044F8456}">
    <text xml:space="preserve">No report in group &amp; working in software </text>
  </threadedComment>
  <threadedComment ref="Q26" dT="2025-12-12T11:59:58.58" personId="{76359D42-6891-47F0-B835-5009E8FDB92F}" id="{BB94A331-1A2F-4D23-AFA1-C17A8C30941B}">
    <text xml:space="preserve">No report in group &amp; working in software </text>
  </threadedComment>
  <threadedComment ref="R26" dT="2025-12-16T04:27:40.14" personId="{76359D42-6891-47F0-B835-5009E8FDB92F}" id="{0366463B-E255-4517-8075-953D433CFEE8}">
    <text xml:space="preserve">No report in group &amp; working in software </text>
  </threadedComment>
  <threadedComment ref="V26" dT="2025-12-20T12:15:43.32" personId="{76359D42-6891-47F0-B835-5009E8FDB92F}" id="{1E88ABF1-072F-43B7-8F92-49858B0C396D}">
    <text xml:space="preserve">No report &amp; working in the software </text>
  </threadedComment>
  <threadedComment ref="W26" dT="2025-12-19T10:09:57.47" personId="{76359D42-6891-47F0-B835-5009E8FDB92F}" id="{91F8C5FF-4541-4BD1-AD28-18E22B3C1ABC}">
    <text xml:space="preserve">No report in the group &amp; working in the software </text>
  </threadedComment>
  <threadedComment ref="X26" dT="2025-12-19T10:10:04.58" personId="{76359D42-6891-47F0-B835-5009E8FDB92F}" id="{BF2765D6-AB1D-4E43-932C-9D94CFC20A30}">
    <text xml:space="preserve">No report in the group &amp; working in the software </text>
  </threadedComment>
  <threadedComment ref="K27" dT="2025-12-10T11:48:03.46" personId="{76359D42-6891-47F0-B835-5009E8FDB92F}" id="{3933029F-AF3C-423F-ACB8-DF805DB1FD3A}">
    <text xml:space="preserve">2 visits as per software </text>
  </threadedComment>
  <threadedComment ref="K29" dT="2025-12-10T12:08:30.17" personId="{76359D42-6891-47F0-B835-5009E8FDB92F}" id="{40D9E179-04F6-4D81-97E1-FFC9899B0ABB}">
    <text xml:space="preserve">1 visit as per the software </text>
  </threadedComment>
  <threadedComment ref="K30" dT="2025-12-10T12:10:46.61" personId="{76359D42-6891-47F0-B835-5009E8FDB92F}" id="{77B4B59F-E158-4635-B08F-986E390E843D}">
    <text>1 visit as per the software</text>
  </threadedComment>
  <threadedComment ref="K31" dT="2025-12-10T12:12:29.02" personId="{76359D42-6891-47F0-B835-5009E8FDB92F}" id="{CCC9C70E-A12F-454C-B928-A411E5FFA2DD}">
    <text xml:space="preserve">1 VISIT Other is training added as visit </text>
  </threadedComment>
  <threadedComment ref="W31" dT="2025-12-20T08:49:24.79" personId="{76359D42-6891-47F0-B835-5009E8FDB92F}" id="{FCB18B25-6749-4AE5-B08C-1D6C1C8DCCD1}">
    <text xml:space="preserve">No working repot &amp; attendance in the software </text>
  </threadedComment>
  <threadedComment ref="F32" dT="2025-12-01T05:16:52.62" personId="{01016558-68F2-428B-8E94-7FE3380B345F}" id="{261721C4-E327-4461-BF5F-710CD5DF1207}">
    <text>Mentioned in Group</text>
  </threadedComment>
  <threadedComment ref="F32" dT="2025-12-01T05:17:12.14" personId="{01016558-68F2-428B-8E94-7FE3380B345F}" id="{1EC740E9-7439-4918-AB15-3ADECEF4B0B9}" parentId="{261721C4-E327-4461-BF5F-710CD5DF1207}">
    <text>Mentioned in group</text>
  </threadedComment>
  <threadedComment ref="K35" dT="2025-12-10T10:48:48.50" personId="{01016558-68F2-428B-8E94-7FE3380B345F}" id="{943A678C-1BEC-4638-9070-4D0362D95619}">
    <text>On leave but attended the training</text>
  </threadedComment>
  <threadedComment ref="R40" dT="2025-12-16T04:38:34.52" personId="{76359D42-6891-47F0-B835-5009E8FDB92F}" id="{320EC840-9F85-45B1-893A-EF2001B5BBE2}">
    <text xml:space="preserve">No report and working in the software </text>
  </threadedComment>
  <threadedComment ref="T40" dT="2025-12-16T04:38:40.21" personId="{76359D42-6891-47F0-B835-5009E8FDB92F}" id="{2CCB6300-0180-41F7-A5D9-4041F843B64F}">
    <text xml:space="preserve">No report and working in the software </text>
  </threadedComment>
  <threadedComment ref="Q41" dT="2025-12-12T12:34:22.98" personId="{76359D42-6891-47F0-B835-5009E8FDB92F}" id="{8AC844A4-F3C5-4C54-B3BC-0BDEAE076CBA}">
    <text>No report in group &amp; working in the software</text>
  </threadedComment>
  <threadedComment ref="F42" dT="2025-12-01T05:16:52.62" personId="{01016558-68F2-428B-8E94-7FE3380B345F}" id="{29250B17-BCC5-44F0-B0A3-117C9BDD6190}">
    <text>Mentioned in Group</text>
  </threadedComment>
  <threadedComment ref="F44" dT="2025-12-11T05:18:30.01" personId="{76359D42-6891-47F0-B835-5009E8FDB92F}" id="{F96F28B1-969C-4921-8FE7-5BB4DAF0244C}">
    <text xml:space="preserve"> 0.74 KM movement in whole day , not a single visit is as per software .</text>
  </threadedComment>
  <threadedComment ref="G44" dT="2025-12-03T12:10:58.28" personId="{76359D42-6891-47F0-B835-5009E8FDB92F}" id="{A35D32E3-5D28-4F75-8665-B1DE559B1559}">
    <text>Just .03 KM movement in whole day , not a single visit is done as per software .</text>
  </threadedComment>
  <threadedComment ref="I44" dT="2025-12-09T05:45:16.78" personId="{01016558-68F2-428B-8E94-7FE3380B345F}" id="{651C74FD-F829-4146-9F0B-6C5208A378E9}">
    <text>Only at 1 place</text>
  </threadedComment>
  <threadedComment ref="K44" dT="2025-12-11T05:21:54.87" personId="{76359D42-6891-47F0-B835-5009E8FDB92F}" id="{82DB0B5F-7B08-455F-BDDB-E8F81C42674F}">
    <text xml:space="preserve">Only attended the training , even on call she confirmed that she only attended the training </text>
  </threadedComment>
  <threadedComment ref="W44" dT="2025-12-20T12:31:48.80" personId="{76359D42-6891-47F0-B835-5009E8FDB92F}" id="{2E324E05-4ED0-44A5-9C26-B291C38B9444}">
    <text xml:space="preserve">Only report in the group , not visit is added in the software &amp; only travelled 2km full day </text>
  </threadedComment>
  <threadedComment ref="AH44" dT="2025-11-25T05:31:15.17" personId="{01016558-68F2-428B-8E94-7FE3380B345F}" id="{8D250645-2D0F-4E22-9C63-6021CE391F5B}">
    <text>mentioned in group</text>
  </threadedComment>
  <threadedComment ref="U45" dT="2025-12-17T10:24:27.51" personId="{76359D42-6891-47F0-B835-5009E8FDB92F}" id="{1B094543-86E2-470D-B493-ECB2992E50FB}">
    <text xml:space="preserve">No working in the software and report in the group </text>
  </threadedComment>
  <threadedComment ref="F49" dT="2025-12-01T05:16:52.62" personId="{01016558-68F2-428B-8E94-7FE3380B345F}" id="{31F06971-4CD3-45D6-B286-BBC9CFC9E8A1}">
    <text>Mentioned in Group</text>
  </threadedComment>
  <threadedComment ref="K52" dT="2025-12-10T10:48:48.50" personId="{01016558-68F2-428B-8E94-7FE3380B345F}" id="{2F437479-655F-49E3-A824-09ADBD209017}">
    <text>On leave but attended the training</text>
  </threadedComment>
  <threadedComment ref="X53" dT="2025-12-23T13:27:52.93" personId="{76359D42-6891-47F0-B835-5009E8FDB92F}" id="{CFBFF9CA-46A3-46AF-B81C-7E8BE66E5E22}">
    <text xml:space="preserve">Even called her on 20th regarding her 19th working , as 0km travelled on 19th even called on the number provided in rprt one is wrong and other is not reachable </text>
  </threadedComment>
  <threadedComment ref="O54" dT="2025-12-11T08:01:31.14" personId="{76359D42-6891-47F0-B835-5009E8FDB92F}" id="{E86DACA4-9CFE-4DA3-8ADD-B3997DE3F427}">
    <text xml:space="preserve">NO RECORD IN SOFTWARE AS WELL AS IN GROUP </text>
  </threadedComment>
  <threadedComment ref="Q54" dT="2025-12-12T12:48:10.37" personId="{76359D42-6891-47F0-B835-5009E8FDB92F}" id="{FD1C9F66-4A5C-4626-BAD0-2DCB9F432C4B}">
    <text xml:space="preserve">No report in group &amp; working in software </text>
  </threadedComment>
  <threadedComment ref="R54" dT="2025-12-20T11:35:15.00" personId="{76359D42-6891-47F0-B835-5009E8FDB92F}" id="{8CB59BF7-8224-417D-AF9D-11CB7A19EE3C}">
    <text xml:space="preserve">No report &amp; working in the software </text>
  </threadedComment>
  <threadedComment ref="T54" dT="2025-12-20T11:35:21.39" personId="{76359D42-6891-47F0-B835-5009E8FDB92F}" id="{72E81284-595F-4FF4-98D3-31DFB473E0DA}">
    <text xml:space="preserve">No report &amp; working in the software </text>
  </threadedComment>
  <threadedComment ref="U54" dT="2025-12-20T11:35:27.74" personId="{76359D42-6891-47F0-B835-5009E8FDB92F}" id="{BB4DA49F-A7B5-4E8B-A9C9-14BD7C8AC64E}">
    <text xml:space="preserve">No report &amp; working in the software </text>
  </threadedComment>
  <threadedComment ref="V54" dT="2025-12-20T11:35:34.04" personId="{76359D42-6891-47F0-B835-5009E8FDB92F}" id="{A1AB4477-E8B2-43C7-9EB7-3FAC53F03BC0}">
    <text xml:space="preserve">No report &amp; working in the software </text>
  </threadedComment>
  <threadedComment ref="W54" dT="2025-12-20T11:35:39.68" personId="{76359D42-6891-47F0-B835-5009E8FDB92F}" id="{ABB9A3EF-0DCB-409D-B859-10AED01D17DB}">
    <text xml:space="preserve">No report &amp; working in the software </text>
  </threadedComment>
  <threadedComment ref="X54" dT="2025-12-20T11:35:45.36" personId="{76359D42-6891-47F0-B835-5009E8FDB92F}" id="{A772AEA7-B593-4F6E-A018-DCEED32776A5}">
    <text xml:space="preserve">No report &amp; working in the software </text>
  </threadedComment>
  <threadedComment ref="Y54" dT="2025-12-20T11:35:51.27" personId="{76359D42-6891-47F0-B835-5009E8FDB92F}" id="{D744088D-933D-4E1C-BC47-D1CDC4B2EF7D}">
    <text xml:space="preserve">No report &amp; working in the software </text>
  </threadedComment>
  <threadedComment ref="T55" dT="2025-12-16T04:21:13.35" personId="{76359D42-6891-47F0-B835-5009E8FDB92F}" id="{72701253-98A1-4D03-9DE9-9CF85972CC70}">
    <text xml:space="preserve">Karthikan asked for it </text>
  </threadedComment>
  <threadedComment ref="O56" dT="2025-12-11T08:09:26.06" personId="{76359D42-6891-47F0-B835-5009E8FDB92F}" id="{A8500EAE-7EC0-418B-B969-96020A6A9D10}">
    <text xml:space="preserve">NO RECORD IN SOFTWARE AS WELL AS IN GROUP </text>
  </threadedComment>
  <threadedComment ref="AF56" dT="2025-11-25T05:31:15.17" personId="{01016558-68F2-428B-8E94-7FE3380B345F}" id="{7B204D49-29DC-447C-95B4-1187C95FF124}">
    <text>mentioned in group</text>
  </threadedComment>
  <threadedComment ref="AF56" dT="2025-11-27T05:11:03.71" personId="{01016558-68F2-428B-8E94-7FE3380B345F}" id="{5DBE31A2-D1E5-43CD-AA73-91D911B4EEF6}" parentId="{7B204D49-29DC-447C-95B4-1187C95FF124}">
    <text>Mentioned in group</text>
  </threadedComment>
  <threadedComment ref="U57" dT="2025-12-17T09:34:25.94" personId="{76359D42-6891-47F0-B835-5009E8FDB92F}" id="{51A18855-AB30-472A-832A-6FA0BEED176C}">
    <text>No working and report in the software</text>
  </threadedComment>
  <threadedComment ref="V57" dT="2025-12-20T11:52:31.39" personId="{76359D42-6891-47F0-B835-5009E8FDB92F}" id="{D6F29713-25C9-4FAE-98A8-3756E572F272}">
    <text xml:space="preserve">No report &amp; working in the software </text>
  </threadedComment>
  <threadedComment ref="W64" dT="2025-12-20T11:58:31.35" personId="{76359D42-6891-47F0-B835-5009E8FDB92F}" id="{A0197540-253B-40EF-A60C-EDA876449AEE}">
    <text>No report &amp;. working in the software</text>
  </threadedComment>
  <threadedComment ref="R66" dT="2025-12-17T08:02:55.82" personId="{76359D42-6891-47F0-B835-5009E8FDB92F}" id="{F968BBFD-1C32-4858-8671-E55DBCA2BF0D}">
    <text xml:space="preserve">No report and working in the group </text>
  </threadedComment>
  <threadedComment ref="K68" dT="2025-12-11T08:49:22.70" personId="{76359D42-6891-47F0-B835-5009E8FDB92F}" id="{00D335E1-8591-4866-82B8-2A8B67C5B518}">
    <text xml:space="preserve">Only attended the training no visit was performed in report also mentioned online training </text>
  </threadedComment>
  <threadedComment ref="H69" dT="2025-12-04T05:40:59.31" personId="{76359D42-6891-47F0-B835-5009E8FDB92F}" id="{9AA23774-6212-4378-8D02-04815463F53E}">
    <text xml:space="preserve">Medical emergency </text>
  </threadedComment>
  <threadedComment ref="M71" dT="2025-12-11T09:32:55.79" personId="{76359D42-6891-47F0-B835-5009E8FDB92F}" id="{D8F0FB36-C2C6-4669-932C-05F0303FDF05}">
    <text xml:space="preserve">Company booked demo </text>
  </threadedComment>
  <threadedComment ref="N71" dT="2025-12-11T09:33:01.67" personId="{76359D42-6891-47F0-B835-5009E8FDB92F}" id="{59916786-4362-4287-B290-680508B1508F}">
    <text xml:space="preserve">Company booked demo </text>
  </threadedComment>
  <threadedComment ref="O71" dT="2025-12-11T09:33:08.76" personId="{76359D42-6891-47F0-B835-5009E8FDB92F}" id="{802A780D-4389-4C09-BE4D-C086F00C409F}">
    <text xml:space="preserve">Company booked demo </text>
  </threadedComment>
  <threadedComment ref="J73" dT="2025-12-05T05:22:40.27" personId="{01016558-68F2-428B-8E94-7FE3380B345F}" id="{C0EE7C26-40AF-4395-8569-33CDE3725543}">
    <text>mentioned in group</text>
  </threadedComment>
  <threadedComment ref="K73" dT="2025-12-05T05:22:40.27" personId="{01016558-68F2-428B-8E94-7FE3380B345F}" id="{965216C9-6B86-48F0-B02D-8F6F8288BE2D}">
    <text>mentioned in group</text>
  </threadedComment>
  <threadedComment ref="AF73" dT="2025-12-29T11:06:52.83" personId="{76359D42-6891-47F0-B835-5009E8FDB92F}" id="{2E83C86E-85ED-4773-B5DA-582C8504615E}">
    <text>Whole day was at home (wfh) placed primary ordr</text>
  </threadedComment>
  <threadedComment ref="Q76" dT="2025-12-17T09:23:15.90" personId="{76359D42-6891-47F0-B835-5009E8FDB92F}" id="{1FBE86D4-C3F8-4CE9-AFFA-8676C0F136BF}">
    <text xml:space="preserve">No report and visit added in the group </text>
  </threadedComment>
</ThreadedComments>
</file>

<file path=xl/threadedComments/threadedComment10.xml><?xml version="1.0" encoding="utf-8"?>
<ThreadedComments xmlns="http://schemas.microsoft.com/office/spreadsheetml/2018/threadedcomments" xmlns:x="http://schemas.openxmlformats.org/spreadsheetml/2006/main">
  <threadedComment ref="AB45" dT="2026-01-23T10:44:46.55" personId="{76359D42-6891-47F0-B835-5009E8FDB92F}" id="{B00AD718-4800-4FA7-8417-F62243CF2425}">
    <text xml:space="preserve">Heavy rain </text>
  </threadedComment>
  <threadedComment ref="AC58" dT="2026-01-24T11:41:37.95" personId="{76359D42-6891-47F0-B835-5009E8FDB92F}" id="{00A697A5-7CC5-4D74-8B98-89681BD99181}">
    <text xml:space="preserve">No checking in the software, only put report in the group </text>
  </threadedComment>
</ThreadedComments>
</file>

<file path=xl/threadedComments/threadedComment11.xml><?xml version="1.0" encoding="utf-8"?>
<ThreadedComments xmlns="http://schemas.microsoft.com/office/spreadsheetml/2018/threadedcomments" xmlns:x="http://schemas.openxmlformats.org/spreadsheetml/2006/main">
  <threadedComment ref="AG12" dT="2026-03-06T09:55:16.43" personId="{01016558-68F2-428B-8E94-7FE3380B345F}" id="{CCF87F0E-DE0A-4076-A224-445E28B5DA3C}">
    <text>mention in group</text>
  </threadedComment>
  <threadedComment ref="K13" dT="2026-02-09T07:06:49.72" personId="{76359D42-6891-47F0-B835-5009E8FDB92F}" id="{5938B0A5-48B3-40E3-A590-3FCCBE6F5D02}">
    <text xml:space="preserve">migraine during the market </text>
  </threadedComment>
  <threadedComment ref="AG22" dT="2026-03-06T10:24:50.20" personId="{01016558-68F2-428B-8E94-7FE3380B345F}" id="{87F84237-0475-42A4-B1A7-D3EA3F1AFF52}">
    <text>last salon visit at 2:13pm after that he goes to bike repair shop</text>
  </threadedComment>
  <threadedComment ref="AG29" dT="2026-03-06T10:42:12.11" personId="{01016558-68F2-428B-8E94-7FE3380B345F}" id="{E9AF77C6-7EE8-4460-A489-CDA846BF5C1F}">
    <text>last salon visit 4:37 pm</text>
  </threadedComment>
  <threadedComment ref="R34" dT="2026-02-13T14:37:47.40" personId="{76359D42-6891-47F0-B835-5009E8FDB92F}" id="{E2127C1B-A35F-4C29-A9DC-4AB6567C4D33}">
    <text>Should be in kolkata but in west bengal becz of diariya</text>
  </threadedComment>
  <threadedComment ref="X41" dT="2026-02-19T11:33:48.68" personId="{76359D42-6891-47F0-B835-5009E8FDB92F}" id="{C759F36A-596D-4984-8A10-697F674D90F4}">
    <text xml:space="preserve">Visit 1-2 in morning then return back to home </text>
  </threadedComment>
  <threadedComment ref="R46" dT="2026-02-13T14:38:12.28" personId="{76359D42-6891-47F0-B835-5009E8FDB92F}" id="{F6D075B3-052A-48FC-896F-879423ADB5D4}">
    <text>Should be in kolkata but in west bengal becz of diariya</text>
  </threadedComment>
  <threadedComment ref="G48" dT="2026-02-05T05:43:38.67" personId="{76359D42-6891-47F0-B835-5009E8FDB92F}" id="{7B28E9D2-48C2-4FC6-96A4-86DF45EF5B6B}">
    <text>No report in the group and no visit marked in the software</text>
  </threadedComment>
  <threadedComment ref="S49" dT="2026-02-14T11:42:58.21" personId="{76359D42-6891-47F0-B835-5009E8FDB92F}" id="{64C1C128-41B5-4112-AD86-F2A0B545EC07}">
    <text>gone to bathinda at 3 o'clock</text>
  </threadedComment>
  <threadedComment ref="I50" dT="2026-02-07T08:05:35.87" personId="{76359D42-6891-47F0-B835-5009E8FDB92F}" id="{296E6144-D236-47C2-A900-9B797E38CAA7}">
    <text>Message by shariq</text>
  </threadedComment>
  <threadedComment ref="R60" dT="2026-02-13T14:38:33.09" personId="{76359D42-6891-47F0-B835-5009E8FDB92F}" id="{4A61BECA-069E-4C11-BE27-B4A4C2862ACF}">
    <text>Should be in kolkata but in west bengal becz of diariya</text>
  </threadedComment>
  <threadedComment ref="J79" dT="2026-02-13T08:16:00.16" personId="{76359D42-6891-47F0-B835-5009E8FDB92F}" id="{16284F6F-402F-4885-8852-FA0BAE2306DE}">
    <text xml:space="preserve">No working in the software </text>
  </threadedComment>
  <threadedComment ref="K85" dT="2026-02-13T05:12:21.17" personId="{76359D42-6891-47F0-B835-5009E8FDB92F}" id="{60238B76-36E9-4D7D-AB55-DD75EF589A09}">
    <text xml:space="preserve">NO working in software </text>
  </threadedComment>
  <threadedComment ref="N85" dT="2026-02-13T05:12:58.25" personId="{76359D42-6891-47F0-B835-5009E8FDB92F}" id="{3B8AB7E8-1B60-4BC7-A3D9-AD479DF669BC}">
    <text>No working in software</text>
  </threadedComment>
</ThreadedComments>
</file>

<file path=xl/threadedComments/threadedComment12.xml><?xml version="1.0" encoding="utf-8"?>
<ThreadedComments xmlns="http://schemas.microsoft.com/office/spreadsheetml/2018/threadedcomments" xmlns:x="http://schemas.openxmlformats.org/spreadsheetml/2006/main">
  <threadedComment ref="O2" dT="2026-03-12T05:54:08.04" personId="{76359D42-6891-47F0-B835-5009E8FDB92F}" id="{84C3115C-2C70-47B8-BD72-AFCB3C12B1BF}">
    <text>Mechanical issue in Bike</text>
  </threadedComment>
  <threadedComment ref="T3" dT="2026-03-14T10:30:11.24" personId="{76359D42-6891-47F0-B835-5009E8FDB92F}" id="{702290F3-21C8-4548-B00D-1DE1061669F8}">
    <text xml:space="preserve">Informed in the group </text>
  </threadedComment>
  <threadedComment ref="I5" dT="2026-03-05T12:48:26.83" personId="{01016558-68F2-428B-8E94-7FE3380B345F}" id="{E0DE5E61-4EA1-43BF-BCB2-B2F4A688C393}">
    <text>mentioned in group</text>
  </threadedComment>
  <threadedComment ref="S8" dT="2026-03-14T10:34:22.88" personId="{76359D42-6891-47F0-B835-5009E8FDB92F}" id="{65C61689-735B-4F7B-BC26-D603AE7434BF}">
    <text xml:space="preserve">Confirmed in the group </text>
  </threadedComment>
  <threadedComment ref="I10" dT="2026-03-05T11:31:57.41" personId="{01016558-68F2-428B-8E94-7FE3380B345F}" id="{7D82DBFB-D5F2-4A80-B785-53BF0773D0AB}">
    <text>Last visit 2:26 on daytrack</text>
  </threadedComment>
  <threadedComment ref="Y16" dT="2026-03-20T07:14:46.12" personId="{76359D42-6891-47F0-B835-5009E8FDB92F}" id="{5BD9CF9F-A815-402D-8882-0139DC22DD6A}">
    <text xml:space="preserve">No visit added travelled only 13km </text>
  </threadedComment>
  <threadedComment ref="H21" dT="2026-03-09T08:34:06.22" personId="{01016558-68F2-428B-8E94-7FE3380B345F}" id="{1F802CD9-DAED-4121-86A8-73C334EBF264}">
    <text>informed on group</text>
  </threadedComment>
  <threadedComment ref="I21" dT="2026-03-05T12:26:13.45" personId="{01016558-68F2-428B-8E94-7FE3380B345F}" id="{6ABDBB50-4814-4FE9-B14B-849C465DD6E6}">
    <text>Last visit at 2:28pm in daytrack as salon is closed due to holi</text>
  </threadedComment>
  <threadedComment ref="O23" dT="2026-03-09T05:13:24.09" personId="{01016558-68F2-428B-8E94-7FE3380B345F}" id="{20F0D60F-D7EB-4F9F-8DB9-12C496E8D36C}">
    <text>leave mail</text>
  </threadedComment>
  <threadedComment ref="M31" dT="2026-03-07T05:51:19.08" personId="{01016558-68F2-428B-8E94-7FE3380B345F}" id="{8F31E289-5172-49CE-9998-5F01A4FB8901}">
    <text>mentioned in group</text>
  </threadedComment>
  <threadedComment ref="L39" dT="2026-03-06T06:28:31.61" personId="{01016558-68F2-428B-8E94-7FE3380B345F}" id="{1D1F3BD3-73AF-488A-A4A2-8F4FAECEC5C7}">
    <text>leave mail</text>
  </threadedComment>
  <threadedComment ref="M41" dT="2026-03-09T05:11:26.92" personId="{01016558-68F2-428B-8E94-7FE3380B345F}" id="{F6238A80-C1CC-4C22-A296-81C05E162238}">
    <text>leave mail</text>
  </threadedComment>
  <threadedComment ref="I43" dT="2026-03-09T06:59:35.35" personId="{01016558-68F2-428B-8E94-7FE3380B345F}" id="{E197621E-C210-4666-BC36-B048D5BF8A4F}">
    <text>leave mail</text>
  </threadedComment>
  <threadedComment ref="I45" dT="2026-03-09T06:59:35.35" personId="{01016558-68F2-428B-8E94-7FE3380B345F}" id="{3ACD68AD-AC8A-4B11-AAFE-6FEA8B979928}">
    <text>leave mail</text>
  </threadedComment>
  <threadedComment ref="K46" dT="2026-03-09T07:09:00.34" personId="{01016558-68F2-428B-8E94-7FE3380B345F}" id="{B2E4E053-BAE7-4D2F-B9F1-6514B0F89503}">
    <text>informed on whatsapp</text>
  </threadedComment>
  <threadedComment ref="L46" dT="2026-03-09T07:09:00.34" personId="{01016558-68F2-428B-8E94-7FE3380B345F}" id="{40733BA3-BC1C-4345-BF6F-C15C54BF3031}">
    <text>informed on whatsapp</text>
  </threadedComment>
  <threadedComment ref="M46" dT="2026-03-09T09:47:47.65" personId="{01016558-68F2-428B-8E94-7FE3380B345F}" id="{FE22814C-158D-4409-B05C-56351D37B29A}">
    <text>Not mentioned in group as well as in daytrack</text>
  </threadedComment>
  <threadedComment ref="M52" dT="2026-03-09T09:54:37.43" personId="{01016558-68F2-428B-8E94-7FE3380B345F}" id="{BBE2C726-849E-4794-840E-C891525CF110}">
    <text>leave mail</text>
  </threadedComment>
  <threadedComment ref="I53" dT="2026-03-09T07:09:00.34" personId="{01016558-68F2-428B-8E94-7FE3380B345F}" id="{23CC4535-02BA-42F6-9E44-C4B05A3FE17A}">
    <text>informed on whatsapp</text>
  </threadedComment>
  <threadedComment ref="K53" dT="2026-03-05T10:55:05.91" personId="{01016558-68F2-428B-8E94-7FE3380B345F}" id="{2FDFB352-713B-450D-B596-803C1CE7F05E}">
    <text>Not well during market</text>
  </threadedComment>
  <threadedComment ref="J55" dT="2026-03-05T15:57:35.01" personId="{76359D42-6891-47F0-B835-5009E8FDB92F}" id="{449DADEA-1937-4901-81D5-741B5DF4F3D0}">
    <text>Asked by karthikan sir</text>
  </threadedComment>
  <threadedComment ref="AH55" dT="2026-03-28T06:39:43.94" personId="{76359D42-6891-47F0-B835-5009E8FDB92F}" id="{04EB4F53-0BB2-4135-84C4-EF5CFD6E413B}">
    <text xml:space="preserve">LOP asked by karthikan </text>
  </threadedComment>
  <threadedComment ref="L56" dT="2026-03-06T05:36:57.73" personId="{01016558-68F2-428B-8E94-7FE3380B345F}" id="{C52D8F3C-5467-45DC-AF6B-A27F3FA8C68A}">
    <text>Not join the meeting</text>
  </threadedComment>
  <threadedComment ref="I57" dT="2026-03-09T07:13:25.73" personId="{01016558-68F2-428B-8E94-7FE3380B345F}" id="{816155C2-DFFA-436B-A5FD-1B0698FD63A1}">
    <text>Not shared the report as well as not login in daytrack</text>
  </threadedComment>
  <threadedComment ref="P58" dT="2026-03-12T09:10:08.44" personId="{76359D42-6891-47F0-B835-5009E8FDB92F}" id="{BA2B2D48-C269-48EB-BFF9-DC3B6BEF97F6}">
    <text xml:space="preserve">Received Mail </text>
  </threadedComment>
  <threadedComment ref="M66" dT="2026-03-07T05:51:19.08" personId="{01016558-68F2-428B-8E94-7FE3380B345F}" id="{0C6B1C76-F1CC-4D08-9655-960AA845F377}">
    <text>mentioned in group</text>
  </threadedComment>
  <threadedComment ref="I71" dT="2026-03-09T07:17:32.45" personId="{01016558-68F2-428B-8E94-7FE3380B345F}" id="{E07A702F-DCC5-42B5-8D02-767D38A4427D}">
    <text>Only 1 visit mark and after 3:23 pm not working in daytrack</text>
  </threadedComment>
  <threadedComment ref="K71" dT="2026-03-09T11:38:19.78" personId="{01016558-68F2-428B-8E94-7FE3380B345F}" id="{96975554-CEC6-4344-A600-A4EAD0D4CC42}">
    <text>Drop mail</text>
  </threadedComment>
  <threadedComment ref="L71" dT="2026-03-09T11:38:19.78" personId="{01016558-68F2-428B-8E94-7FE3380B345F}" id="{4A6BFDA1-AC44-4199-9738-DC6F4D96437A}">
    <text>Drop mail</text>
  </threadedComment>
  <threadedComment ref="M71" dT="2026-03-09T11:38:19.78" personId="{01016558-68F2-428B-8E94-7FE3380B345F}" id="{55D1F111-6DC7-4886-B467-5FED813D5432}">
    <text>Drop mail</text>
  </threadedComment>
  <threadedComment ref="AJ71" dT="2026-03-31T07:23:33.76" personId="{76359D42-6891-47F0-B835-5009E8FDB92F}" id="{0E7F2E80-F915-4857-AD1C-FCD4737AE693}">
    <text xml:space="preserve">Middle of the market took leave </text>
  </threadedComment>
  <threadedComment ref="M77" dT="2026-03-09T11:55:48.33" personId="{01016558-68F2-428B-8E94-7FE3380B345F}" id="{76198CF9-8753-4846-9778-335955D73128}">
    <text>Informed in group</text>
  </threadedComment>
  <threadedComment ref="I78" dT="2026-03-13T11:58:56.92" personId="{76359D42-6891-47F0-B835-5009E8FDB92F}" id="{4BAB3278-7ECA-4251-8479-88768211A85F}">
    <text>Only visited 1 salon at 3:30 Pm</text>
  </threadedComment>
  <threadedComment ref="I78" dT="2026-03-13T12:12:24.07" personId="{76359D42-6891-47F0-B835-5009E8FDB92F}" id="{ED5795BF-90B1-469D-80F1-17D59833A332}" parentId="{4BAB3278-7ECA-4251-8479-88768211A85F}">
    <text xml:space="preserve">Absent asked by kiran sir </text>
  </threadedComment>
  <threadedComment ref="AC78" dT="2026-03-25T10:26:07.01" personId="{76359D42-6891-47F0-B835-5009E8FDB92F}" id="{09B540A9-D378-4ECB-892A-379DD46DCA89}">
    <text>Fist visit at 1:19 pm</text>
  </threadedComment>
  <threadedComment ref="M79" dT="2026-03-09T11:56:10.91" personId="{01016558-68F2-428B-8E94-7FE3380B345F}" id="{DECB1E6C-EA6F-4F00-887B-417715418630}">
    <text>not shared report and not login in group</text>
  </threadedComment>
</ThreadedComments>
</file>

<file path=xl/threadedComments/threadedComment13.xml><?xml version="1.0" encoding="utf-8"?>
<ThreadedComments xmlns="http://schemas.microsoft.com/office/spreadsheetml/2018/threadedcomments" xmlns:x="http://schemas.openxmlformats.org/spreadsheetml/2006/main">
  <threadedComment ref="AA3" dT="2026-04-22T02:26:30.11" personId="{76359D42-6891-47F0-B835-5009E8FDB92F}" id="{F4B27F21-263A-4A84-B3BE-73C4F8C4FFDC}">
    <text>No group report and software date</text>
  </threadedComment>
  <threadedComment ref="AB3" dT="2026-04-22T03:05:33.08" personId="{76359D42-6891-47F0-B835-5009E8FDB92F}" id="{A84F82E8-88C1-4956-83BC-07320AC11B27}">
    <text>No group report and software date</text>
  </threadedComment>
  <threadedComment ref="AK8" dT="2026-04-30T13:39:25.46" personId="{76359D42-6891-47F0-B835-5009E8FDB92F}" id="{478D9454-1027-4C6B-8339-ECC5C4BF9763}">
    <text>Visit till10:56 AM</text>
  </threadedComment>
  <threadedComment ref="J12" dT="2026-04-03T11:04:18.82" personId="{76359D42-6891-47F0-B835-5009E8FDB92F}" id="{6530B598-E7BA-48BE-9ACC-26B2BC41092E}">
    <text>Claiming that market is closed bz of good friday</text>
  </threadedComment>
  <threadedComment ref="W12" dT="2026-04-17T05:58:00.54" personId="{76359D42-6891-47F0-B835-5009E8FDB92F}" id="{B70F70B0-8F9F-4071-8D68-1EB05A52D3F0}">
    <text>Not added visits</text>
  </threadedComment>
  <threadedComment ref="J13" dT="2026-04-03T11:12:58.90" personId="{76359D42-6891-47F0-B835-5009E8FDB92F}" id="{BD8142FB-2954-49E2-A167-0669E5DC1C1A}">
    <text>Left from the market at 13:37 PM</text>
  </threadedComment>
  <threadedComment ref="Y14" dT="2026-04-20T06:05:13.20" personId="{76359D42-6891-47F0-B835-5009E8FDB92F}" id="{5442E905-A45E-44BE-B458-CA0124918283}">
    <text>Last punch at 15:00 pm</text>
  </threadedComment>
  <threadedComment ref="X17" dT="2026-04-19T15:23:48.64" personId="{76359D42-6891-47F0-B835-5009E8FDB92F}" id="{3C0C8DFC-1CBD-41DA-8365-CBC10E0C9B02}">
    <text>Started market at 1:30 pm</text>
  </threadedComment>
  <threadedComment ref="J23" dT="2026-04-06T13:46:35.58" personId="{76359D42-6891-47F0-B835-5009E8FDB92F}" id="{E0CFFCBB-8113-44BF-9EF2-C3B635B25964}">
    <text>Working not marked in the software</text>
  </threadedComment>
  <threadedComment ref="Q26" dT="2026-05-05T04:51:17.27" personId="{76359D42-6891-47F0-B835-5009E8FDB92F}" id="{581174AD-4028-40B4-A801-BF75F21F4AF7}">
    <text>No proper working on the software asked for the report over the mail shared after the deadline , asked karthikan to verify the same still no reply</text>
  </threadedComment>
  <threadedComment ref="R26" dT="2026-05-05T04:51:23.77" personId="{76359D42-6891-47F0-B835-5009E8FDB92F}" id="{9B21EDB3-4203-4CC8-946B-820849946A3B}">
    <text>No proper working on the software asked for the report over the mail shared after the deadline , asked karthikan to verify the same still no reply</text>
  </threadedComment>
  <threadedComment ref="R29" dT="2026-04-13T10:55:04.04" personId="{76359D42-6891-47F0-B835-5009E8FDB92F}" id="{722DC8F4-7C60-4380-BBDE-E69674AD5647}">
    <text>confirmed personally in chat</text>
  </threadedComment>
  <threadedComment ref="J39" dT="2026-04-04T12:26:48.30" personId="{76359D42-6891-47F0-B835-5009E8FDB92F}" id="{A6796E51-E488-422F-B511-5710A119D652}">
    <text>Asked her personally in the chat</text>
  </threadedComment>
  <threadedComment ref="AG39" dT="2026-04-27T12:29:55.23" personId="{76359D42-6891-47F0-B835-5009E8FDB92F}" id="{37994F4E-E102-40A9-AEB0-1F557EF02A2A}">
    <text>Return from Jammu</text>
  </threadedComment>
  <threadedComment ref="AB42" dT="2026-04-22T02:36:57.73" personId="{76359D42-6891-47F0-B835-5009E8FDB92F}" id="{E5A6D835-380F-490C-86B7-CF6A9DA87792}">
    <text>Worked till 3:52 PM</text>
  </threadedComment>
  <threadedComment ref="AD46" dT="2026-04-28T13:40:39.02" personId="{76359D42-6891-47F0-B835-5009E8FDB92F}" id="{BF93B971-7017-487F-BA4F-FF7474BC92C9}">
    <text>Asked personally</text>
  </threadedComment>
  <threadedComment ref="AE52" dT="2026-04-27T10:59:43.85" personId="{76359D42-6891-47F0-B835-5009E8FDB92F}" id="{F61BE47F-47B0-4D01-8B8E-4E4C98299C7F}">
    <text>Worked till 14:44 PM</text>
  </threadedComment>
  <threadedComment ref="K62" dT="2026-04-09T05:02:40.05" personId="{76359D42-6891-47F0-B835-5009E8FDB92F}" id="{BC9933E0-85FE-4D87-A075-8F269F120F55}">
    <text xml:space="preserve">Worked till 3PM bz of heavy rain </text>
  </threadedComment>
  <threadedComment ref="N62" dT="2026-04-09T05:02:45.60" personId="{76359D42-6891-47F0-B835-5009E8FDB92F}" id="{007E1DBE-BB7B-4A03-976C-C245AF9AAC0F}">
    <text xml:space="preserve">Worked till 3PM bz of heavy rain </text>
  </threadedComment>
  <threadedComment ref="I69" dT="2026-04-04T04:57:49.15" personId="{76359D42-6891-47F0-B835-5009E8FDB92F}" id="{CD2DCC8D-6C01-49F4-AB33-A2E4B428543F}">
    <text>Taken leave in between</text>
  </threadedComment>
  <threadedComment ref="H70" dT="2026-04-01T11:56:29.57" personId="{76359D42-6891-47F0-B835-5009E8FDB92F}" id="{BE87B981-7C5B-4529-A8B9-CAB5DC27E9FF}">
    <text>Mentioned in group</text>
  </threadedComment>
  <threadedComment ref="Q70" dT="2026-04-11T13:01:55.29" personId="{76359D42-6891-47F0-B835-5009E8FDB92F}" id="{7B924DB5-090F-4140-8615-59CC54D2BBCF}">
    <text>Last visit at 12:00 pm</text>
  </threadedComment>
  <threadedComment ref="X70" dT="2026-04-19T15:29:32.04" personId="{76359D42-6891-47F0-B835-5009E8FDB92F}" id="{D84EAA04-2522-4FE6-9FB2-E7B20510031B}">
    <text>Last working till 12:48 PM</text>
  </threadedComment>
  <threadedComment ref="AE70" dT="2026-04-27T10:32:24.63" personId="{76359D42-6891-47F0-B835-5009E8FDB92F}" id="{453E55E9-ABD8-4764-9FAF-CBAC35C4C340}">
    <text>Working in software till 12pm in morning and claiming her recharge is ended neither proper evening report</text>
  </threadedComment>
  <threadedComment ref="H73" dT="2026-04-01T11:54:33.78" personId="{76359D42-6891-47F0-B835-5009E8FDB92F}" id="{23329EC3-9D0E-440D-BDD6-CCC16CA6B3D8}">
    <text>Last salon checkout at  13:41 PM</text>
  </threadedComment>
  <threadedComment ref="X73" dT="2026-04-19T15:25:27.37" personId="{76359D42-6891-47F0-B835-5009E8FDB92F}" id="{29522F72-7378-4601-88C9-7066C80AE38E}">
    <text>Worked last till 13:43 PM</text>
  </threadedComment>
  <threadedComment ref="Y73" dT="2026-04-19T15:51:09.71" personId="{76359D42-6891-47F0-B835-5009E8FDB92F}" id="{0D8DDF81-EB4F-4A30-B699-B4D294C494D2}">
    <text>Last visit till 13:59 PM</text>
  </threadedComment>
  <threadedComment ref="W75" dT="2026-04-17T03:15:06.42" personId="{76359D42-6891-47F0-B835-5009E8FDB92F}" id="{32808B5D-03FC-416E-BAD4-5353DB34E3BA}">
    <text>Hospitalized in EX- city</text>
  </threadedComment>
  <threadedComment ref="AI79" dT="2026-04-30T08:50:35.17" personId="{76359D42-6891-47F0-B835-5009E8FDB92F}" id="{3F8473B2-ABF8-4419-968D-A0B2B6290295}">
    <text>Asked in wp group didn't reply, as worked till 15:07 PM </text>
  </threadedComment>
</ThreadedComments>
</file>

<file path=xl/threadedComments/threadedComment14.xml><?xml version="1.0" encoding="utf-8"?>
<ThreadedComments xmlns="http://schemas.microsoft.com/office/spreadsheetml/2018/threadedcomments" xmlns:x="http://schemas.openxmlformats.org/spreadsheetml/2006/main">
  <threadedComment ref="T6" dT="2026-05-09T13:36:04.06" personId="{76359D42-6891-47F0-B835-5009E8FDB92F}" id="{6E188F9E-E0FC-4022-9F80-469CFAED6C57}">
    <text>Due to fever</text>
  </threadedComment>
  <threadedComment ref="V8" dT="2026-05-11T12:49:33.01" personId="{76359D42-6891-47F0-B835-5009E8FDB92F}" id="{81C01608-3EF2-4E89-9627-5B336929C2BD}">
    <text xml:space="preserve">visit started at 14:31 PM, claiming it was raining , ask to mail the report </text>
  </threadedComment>
  <threadedComment ref="AH11" dT="2026-05-23T12:20:15.63" personId="{76359D42-6891-47F0-B835-5009E8FDB92F}" id="{37484C19-062F-4BBF-B006-60C41D941237}">
    <text>Fall ill</text>
  </threadedComment>
  <threadedComment ref="AL11" dT="2026-06-01T05:31:22.82" personId="{76359D42-6891-47F0-B835-5009E8FDB92F}" id="{93056598-D2C2-4CF4-9FAF-3F6F7EB608C4}">
    <text>group report is their but no attendance and working in the software</text>
  </threadedComment>
  <threadedComment ref="AD12" dT="2026-05-23T10:16:37.03" personId="{76359D42-6891-47F0-B835-5009E8FDB92F}" id="{FAE63784-F048-4D3F-AB16-39519960BB51}">
    <text xml:space="preserve">No report in the software </text>
  </threadedComment>
  <threadedComment ref="L14" dT="2026-05-02T11:43:02.34" personId="{76359D42-6891-47F0-B835-5009E8FDB92F}" id="{98C6BAC6-7547-4254-B712-FD0BDFF10F2F}">
    <text>Worked last till 13:12 PM</text>
  </threadedComment>
  <threadedComment ref="S16" dT="2026-05-09T09:06:10.62" personId="{76359D42-6891-47F0-B835-5009E8FDB92F}" id="{AAA59AC7-0FCB-45F1-8280-B030D5299C7D}">
    <text>No report in software and confirmed personally</text>
  </threadedComment>
  <threadedComment ref="AD27" dT="2026-05-23T10:26:37.32" personId="{76359D42-6891-47F0-B835-5009E8FDB92F}" id="{1A033A83-6770-4CF8-B22A-B5260A42A5BA}">
    <text xml:space="preserve">Mentioned in group </text>
  </threadedComment>
  <threadedComment ref="O28" dT="2026-05-08T06:14:21.20" personId="{76359D42-6891-47F0-B835-5009E8FDB92F}" id="{A9D791A3-FD4E-4F40-951A-8387445E2A4A}">
    <text xml:space="preserve">Excuse of postpaid bill was not paid marked him present this time </text>
  </threadedComment>
  <threadedComment ref="R28" dT="2026-05-08T06:07:23.83" personId="{76359D42-6891-47F0-B835-5009E8FDB92F}" id="{721CC8D7-C5C9-4C5E-AEC2-ADD0740A91FC}">
    <text xml:space="preserve">Their is no proper working given excuse of software license got expired which is already  resolved by @10:30 am </text>
  </threadedComment>
  <threadedComment ref="AN28" dT="2026-06-01T07:55:19.69" personId="{76359D42-6891-47F0-B835-5009E8FDB92F}" id="{33E12B71-CE58-4DA9-AF56-94D23506A64D}">
    <text xml:space="preserve">Traveled dist. 0.98 km only no visit is punched </text>
  </threadedComment>
  <threadedComment ref="T29" dT="2026-05-11T09:07:21.07" personId="{76359D42-6891-47F0-B835-5009E8FDB92F}" id="{E5F4CCA7-E666-468A-921B-36868F11AD75}">
    <text xml:space="preserve">Asked personally also no reply </text>
  </threadedComment>
  <threadedComment ref="AJ32" dT="2026-05-30T05:49:08.33" personId="{76359D42-6891-47F0-B835-5009E8FDB92F}" id="{909621E4-54F0-471C-A13E-18D6BFED2F5B}">
    <text>1st checkin at 14:52 PM no check out from the salon no other visit is marked</text>
  </threadedComment>
  <threadedComment ref="Y33" dT="2026-05-20T13:00:09.05" personId="{76359D42-6891-47F0-B835-5009E8FDB92F}" id="{2632BC04-3177-4EC8-8C11-C299DCBB30BA}">
    <text xml:space="preserve">No report &amp; data </text>
  </threadedComment>
  <threadedComment ref="Z33" dT="2026-05-20T13:00:16.63" personId="{76359D42-6891-47F0-B835-5009E8FDB92F}" id="{8CC811AA-03E6-43AA-A2F9-38813B0043CB}">
    <text xml:space="preserve">No report &amp; data </text>
  </threadedComment>
  <threadedComment ref="AO34" dT="2026-06-01T12:51:25.80" personId="{76359D42-6891-47F0-B835-5009E8FDB92F}" id="{36C0A06E-EB7A-4873-ABAF-CCE73BD389B4}">
    <text>Last check out is at 13:02 PM</text>
  </threadedComment>
  <threadedComment ref="L35" dT="2026-05-01T08:51:44.21" personId="{76359D42-6891-47F0-B835-5009E8FDB92F}" id="{1E2A96B8-3D72-4258-AF80-BE6ADAEE5DD8}">
    <text xml:space="preserve">Messaged me personally </text>
  </threadedComment>
  <threadedComment ref="AO35" dT="2026-06-01T12:57:07.12" personId="{76359D42-6891-47F0-B835-5009E8FDB92F}" id="{46E916AB-68A1-4F23-98F2-F8E9545653E7}">
    <text xml:space="preserve">Single visit no checkout record </text>
  </threadedComment>
  <threadedComment ref="AO43" dT="2026-05-30T11:14:54.04" personId="{76359D42-6891-47F0-B835-5009E8FDB92F}" id="{76AE5171-4800-4F52-8FE9-995A73EA02F4}">
    <text>Started market after 3PM</text>
  </threadedComment>
  <threadedComment ref="O46" dT="2026-05-04T13:00:13.18" personId="{76359D42-6891-47F0-B835-5009E8FDB92F}" id="{922EF18B-E00F-4EB8-BC59-298341DFA1BD}">
    <text>Election result</text>
  </threadedComment>
  <threadedComment ref="Z48" dT="2026-05-16T03:58:02.50" personId="{76359D42-6891-47F0-B835-5009E8FDB92F}" id="{BAC97505-5898-46B8-9AB4-7891710EA9C9}">
    <text>Not well</text>
  </threadedComment>
  <threadedComment ref="O52" dT="2026-05-04T12:59:08.75" personId="{76359D42-6891-47F0-B835-5009E8FDB92F}" id="{BE24F3BD-459A-4EDB-83A0-6DB5D5E23CF0}">
    <text>Election result</text>
  </threadedComment>
  <threadedComment ref="AO52" dT="2026-06-02T13:43:09.32" personId="{76359D42-6891-47F0-B835-5009E8FDB92F}" id="{7E600778-8300-4AE7-B88D-5649439CD526}">
    <text>Worked till 13:23 PM</text>
  </threadedComment>
  <threadedComment ref="AO53" dT="2026-06-02T13:55:08.50" personId="{76359D42-6891-47F0-B835-5009E8FDB92F}" id="{3B724FF2-28FC-4358-9EDE-A2F40A5E8AE8}">
    <text>No record of visit in the software</text>
  </threadedComment>
  <threadedComment ref="AA62" dT="2026-05-20T13:45:29.68" personId="{76359D42-6891-47F0-B835-5009E8FDB92F}" id="{C9EC1220-0A1E-4E0C-8C75-7AD3ED011774}">
    <text>Asked personally</text>
  </threadedComment>
  <threadedComment ref="X64" dT="2026-05-14T14:09:08.32" personId="{76359D42-6891-47F0-B835-5009E8FDB92F}" id="{56780BCF-11C6-4260-88EC-F0D868A7FE72}">
    <text xml:space="preserve">No data in software </text>
  </threadedComment>
  <threadedComment ref="Y64" dT="2026-05-14T14:09:14.17" personId="{76359D42-6891-47F0-B835-5009E8FDB92F}" id="{4AD1AD4A-4E97-4E2C-8FB9-5FFDE984D4F6}">
    <text xml:space="preserve">No data in software </text>
  </threadedComment>
  <threadedComment ref="Z64" dT="2026-05-20T13:06:15.34" personId="{76359D42-6891-47F0-B835-5009E8FDB92F}" id="{A0AEFA90-7AEE-448D-A6AB-2CCE34D7AA69}">
    <text xml:space="preserve">No data in software </text>
  </threadedComment>
  <threadedComment ref="AH71" dT="2026-05-23T12:20:49.80" personId="{76359D42-6891-47F0-B835-5009E8FDB92F}" id="{DB0A53DF-8187-4B14-A9FC-CA5E81F2F5F0}">
    <text>Start work after 1 pm</text>
  </threadedComment>
  <threadedComment ref="M72" dT="2026-05-05T06:32:45.36" personId="{76359D42-6891-47F0-B835-5009E8FDB92F}" id="{E0C337B4-2AF3-4136-BC7F-58DC5D0F1C3E}">
    <text>Asked on call</text>
  </threadedComment>
  <threadedComment ref="V72" dT="2026-05-12T10:57:13.88" personId="{76359D42-6891-47F0-B835-5009E8FDB92F}" id="{39A713DC-7307-4AC4-9D80-0B9DC74F17D9}">
    <text>Message by kiran , that having health issues</text>
  </threadedComment>
  <threadedComment ref="Y72" dT="2026-05-14T14:00:23.23" personId="{76359D42-6891-47F0-B835-5009E8FDB92F}" id="{FB2352FE-D4B9-44D3-94D3-286BE8945EA4}">
    <text xml:space="preserve">Last vist 12:04 PM and no check out </text>
  </threadedComment>
  <threadedComment ref="AA73" dT="2026-05-20T13:36:58.91" personId="{76359D42-6891-47F0-B835-5009E8FDB92F}" id="{A334DEF6-7379-4C3D-BC82-BEF97652CDA7}">
    <text>Shariq sir asked to mark</text>
  </threadedComment>
  <threadedComment ref="O75" dT="2026-05-04T12:59:35.77" personId="{76359D42-6891-47F0-B835-5009E8FDB92F}" id="{76A26A4B-84FA-497A-A020-4DF076023F4E}">
    <text>Election result</text>
  </threadedComment>
  <threadedComment ref="W76" dT="2026-05-14T07:08:06.11" personId="{76359D42-6891-47F0-B835-5009E8FDB92F}" id="{964FF5DE-0D31-4B48-B561-3D796D3AE024}">
    <text xml:space="preserve">No report , no working in the software </text>
  </threadedComment>
</ThreadedComments>
</file>

<file path=xl/threadedComments/threadedComment15.xml><?xml version="1.0" encoding="utf-8"?>
<ThreadedComments xmlns="http://schemas.microsoft.com/office/spreadsheetml/2018/threadedcomments" xmlns:x="http://schemas.openxmlformats.org/spreadsheetml/2006/main">
  <threadedComment ref="AK3" dT="2026-06-30T12:35:15.94" personId="{76359D42-6891-47F0-B835-5009E8FDB92F}" id="{BFDF261F-4AD8-4D26-B727-38ADDF65A278}">
    <text>No visit after 13:10 PM</text>
  </threadedComment>
  <threadedComment ref="X8" dT="2026-06-19T06:41:22.58" personId="{76359D42-6891-47F0-B835-5009E8FDB92F}" id="{23A2B3A5-4430-425C-9FE6-98C3C2A246C6}">
    <text>Started work at 15:08 PM</text>
  </threadedComment>
  <threadedComment ref="AD8" dT="2026-06-26T10:57:44.61" personId="{76359D42-6891-47F0-B835-5009E8FDB92F}" id="{F2873A41-EFDD-4722-8F15-8310FCCC5771}">
    <text>Started work at 15:02 PM</text>
  </threadedComment>
  <threadedComment ref="AF8" dT="2026-06-26T16:11:46.00" personId="{76359D42-6891-47F0-B835-5009E8FDB92F}" id="{72781288-753A-4DF9-8727-8388A3C1B492}">
    <text>Single visit in software at 13:17 PM</text>
  </threadedComment>
  <threadedComment ref="AH8" dT="2026-06-29T08:40:45.11" personId="{76359D42-6891-47F0-B835-5009E8FDB92F}" id="{DC566F1E-74D3-4952-A3DF-545BC91AB28D}">
    <text>Work started at 14:09 PM</text>
  </threadedComment>
  <threadedComment ref="AD9" dT="2026-06-26T08:51:32.96" personId="{76359D42-6891-47F0-B835-5009E8FDB92F}" id="{2830D563-FF7B-4E71-973C-F2C2866FF322}">
    <text>Last working till 15:03 PM</text>
  </threadedComment>
  <threadedComment ref="AG10" dT="2026-06-26T16:41:50.75" personId="{76359D42-6891-47F0-B835-5009E8FDB92F}" id="{03ECF20D-6D43-4363-8704-253D33FF0F96}">
    <text>Working till 15:39 PM</text>
  </threadedComment>
  <threadedComment ref="AH10" dT="2026-06-29T08:45:26.72" personId="{76359D42-6891-47F0-B835-5009E8FDB92F}" id="{C5C142E0-DA59-483A-B8C7-C894D75A8F2A}">
    <text>Working till 15:10 PM</text>
  </threadedComment>
  <threadedComment ref="P12" dT="2026-06-15T15:54:56.16" personId="{76359D42-6891-47F0-B835-5009E8FDB92F}" id="{1B2685FB-4952-41D4-8DB1-D1CCF158AC5A}">
    <text>No record of visits</text>
  </threadedComment>
  <threadedComment ref="AE13" dT="2026-06-26T14:32:41.84" personId="{76359D42-6891-47F0-B835-5009E8FDB92F}" id="{CAE2ED24-7249-4B94-953A-070DAE152BE2}">
    <text>Work started at 17:22 PM</text>
  </threadedComment>
  <threadedComment ref="AF16" dT="2026-06-26T16:14:37.99" personId="{76359D42-6891-47F0-B835-5009E8FDB92F}" id="{CCAF500E-5A91-498C-A56C-EF061D0867F6}">
    <text>Working till 15:47 PM</text>
  </threadedComment>
  <threadedComment ref="AH18" dT="2026-06-29T09:25:49.17" personId="{76359D42-6891-47F0-B835-5009E8FDB92F}" id="{83C6933F-073A-4C32-B070-03A40D8022BF}">
    <text>Last working till 13:42 PM</text>
  </threadedComment>
  <threadedComment ref="Q19" dT="2026-06-16T12:00:01.28" personId="{76359D42-6891-47F0-B835-5009E8FDB92F}" id="{4D136DF6-EC32-4AD0-A7AE-02BC0F1D5DEA}">
    <text>Last checkout at 11:41 AM</text>
  </threadedComment>
  <threadedComment ref="AF19" dT="2026-06-26T16:17:14.73" personId="{76359D42-6891-47F0-B835-5009E8FDB92F}" id="{E1E851EE-8780-49B6-B1B3-CAB449D15754}">
    <text>Working last till 15:58 PM</text>
  </threadedComment>
  <threadedComment ref="AG19" dT="2026-06-26T16:46:48.53" personId="{76359D42-6891-47F0-B835-5009E8FDB92F}" id="{2697BFD9-C980-4757-95E2-9DA3F9203A52}">
    <text>working till 12:26 PM</text>
  </threadedComment>
  <threadedComment ref="AF23" dT="2026-06-26T16:18:45.78" personId="{76359D42-6891-47F0-B835-5009E8FDB92F}" id="{292470B6-55FE-438E-87BA-CFFFE82BB3B4}">
    <text>working last till 14:34 PM</text>
  </threadedComment>
  <threadedComment ref="O24" dT="2026-06-15T15:25:11.19" personId="{76359D42-6891-47F0-B835-5009E8FDB92F}" id="{24CC796C-81AF-4997-81B6-500CECDB2A9C}">
    <text>No record in software...given report in group</text>
  </threadedComment>
  <threadedComment ref="Y26" dT="2026-06-19T10:51:43.64" personId="{76359D42-6891-47F0-B835-5009E8FDB92F}" id="{7B16B136-F522-4546-8344-E128D068CE1D}">
    <text>First punch is at 13:02 PM and last checkout at 14:30 PM</text>
  </threadedComment>
  <threadedComment ref="AF26" dT="2026-06-26T16:21:20.03" personId="{76359D42-6891-47F0-B835-5009E8FDB92F}" id="{9EE09B63-5A36-43D3-8B05-C715F80D2C38}">
    <text>last visit till 15:36 PM</text>
  </threadedComment>
  <threadedComment ref="AJ26" dT="2026-06-29T13:21:57.04" personId="{76359D42-6891-47F0-B835-5009E8FDB92F}" id="{9ABD2462-6572-4FB2-9F83-FD4979B3DD15}">
    <text>Working till 15:16 PM</text>
  </threadedComment>
  <threadedComment ref="S29" dT="2026-06-16T14:31:22.40" personId="{76359D42-6891-47F0-B835-5009E8FDB92F}" id="{188EE681-CE23-4AE6-A781-C00D0DE27B46}">
    <text>Single visit at 14:45 PM</text>
  </threadedComment>
  <threadedComment ref="W29" dT="2026-06-19T11:14:55.12" personId="{76359D42-6891-47F0-B835-5009E8FDB92F}" id="{0EB4CFF5-E597-402C-A24A-5CF87179765A}">
    <text>Single visit at 14:38 PM</text>
  </threadedComment>
  <threadedComment ref="AC29" dT="2026-06-24T15:47:12.32" personId="{76359D42-6891-47F0-B835-5009E8FDB92F}" id="{DB9E545B-1641-4090-A59D-20D7B5301003}">
    <text>Visit start at 15:22 PM</text>
  </threadedComment>
  <threadedComment ref="AF29" dT="2026-06-26T16:22:47.46" personId="{76359D42-6891-47F0-B835-5009E8FDB92F}" id="{180A9391-C4EA-4BB3-B71A-D293259228B8}">
    <text>single visit at distributor at 16:31 PM</text>
  </threadedComment>
  <threadedComment ref="Y30" dT="2026-06-19T11:21:38.73" personId="{76359D42-6891-47F0-B835-5009E8FDB92F}" id="{51DB94C4-FC60-4BB7-97B3-59E2B15E99F9}">
    <text>Single visit at 14:23 PM</text>
  </threadedComment>
  <threadedComment ref="Q33" dT="2026-06-16T12:05:35.93" personId="{76359D42-6891-47F0-B835-5009E8FDB92F}" id="{A82AC9A9-0E29-4FC4-A88A-2D09427B7888}">
    <text>Single visit only from13:36 PM to 16:43 PM</text>
  </threadedComment>
  <threadedComment ref="AG33" dT="2026-06-26T16:50:39.18" personId="{76359D42-6891-47F0-B835-5009E8FDB92F}" id="{E821E449-5B48-4AD7-AE4E-835C6E537671}">
    <text>Single visit at 17:13 PM</text>
  </threadedComment>
  <threadedComment ref="AJ34" dT="2026-06-30T01:29:03.10" personId="{76359D42-6891-47F0-B835-5009E8FDB92F}" id="{150E0B9B-B8BE-4C57-8A5B-B5EB01B39049}">
    <text>Started work at 1 pm</text>
  </threadedComment>
  <threadedComment ref="W38" dT="2026-06-19T12:27:04.08" personId="{76359D42-6891-47F0-B835-5009E8FDB92F}" id="{CFD41F7A-08C4-4655-861B-38AD88D91871}">
    <text>Working hours from 11:57 AM to 15:20 PM</text>
  </threadedComment>
  <threadedComment ref="W40" dT="2026-06-22T08:36:06.01" personId="{76359D42-6891-47F0-B835-5009E8FDB92F}" id="{5C371282-0663-4721-95E7-D3601015BEBB}">
    <text>last working from 14:51 PM to 15:05 PM Involved in expences and meeting later on</text>
  </threadedComment>
  <threadedComment ref="AK41" dT="2026-07-01T11:48:50.54" personId="{76359D42-6891-47F0-B835-5009E8FDB92F}" id="{74964287-DCED-4D56-B00E-DF3B19B4A6DD}">
    <text>Last working at 14:41 PM</text>
  </threadedComment>
  <threadedComment ref="AF46" dT="2026-06-26T16:27:22.03" personId="{76359D42-6891-47F0-B835-5009E8FDB92F}" id="{3BF6864C-06D1-4935-96AB-C7F77D8D3A72}">
    <text>worked till 14:57 PM</text>
  </threadedComment>
  <threadedComment ref="W48" dT="2026-06-22T13:06:19.75" personId="{76359D42-6891-47F0-B835-5009E8FDB92F}" id="{F843B211-4263-4A3C-B198-846BD999E864}">
    <text>Working till 13:12 PM to 15:22 PM</text>
  </threadedComment>
  <threadedComment ref="AE48" dT="2026-06-26T14:53:58.84" personId="{76359D42-6891-47F0-B835-5009E8FDB92F}" id="{545A8342-8B78-42FC-BD79-54ED37B70C93}">
    <text>Single demo 12:13 PM to 15:07 PM</text>
  </threadedComment>
  <threadedComment ref="S49" dT="2026-07-03T09:22:46.05" personId="{76359D42-6891-47F0-B835-5009E8FDB92F}" id="{35205306-F50E-47F7-9310-56B111B2790E}">
    <text>Only TA and DA no salarly</text>
  </threadedComment>
  <threadedComment ref="T52" dT="2026-06-17T12:41:27.24" personId="{76359D42-6891-47F0-B835-5009E8FDB92F}" id="{AE0E3B7C-28AF-487E-9209-8A1D29AD2C48}">
    <text>Last visit till 13:51 PM</text>
  </threadedComment>
  <threadedComment ref="AF52" dT="2026-06-26T16:30:51.26" personId="{76359D42-6891-47F0-B835-5009E8FDB92F}" id="{2929356C-A5F9-406E-88D6-EE0E020A53CE}">
    <text>visit start at 15:00 PM</text>
  </threadedComment>
  <threadedComment ref="AG54" dT="2026-06-26T16:56:21.09" personId="{76359D42-6891-47F0-B835-5009E8FDB92F}" id="{05C4CD27-F867-40C2-8DC0-5DA5BFA03D62}">
    <text>Working till 15:41 PM</text>
  </threadedComment>
  <threadedComment ref="I55" dT="2026-06-04T12:33:43.44" personId="{76359D42-6891-47F0-B835-5009E8FDB92F}" id="{6B028B1C-1E4F-43AC-AF8B-C510798A3705}">
    <text>No visit punced and no report in the group</text>
  </threadedComment>
  <threadedComment ref="M55" dT="2026-06-15T12:48:54.32" personId="{76359D42-6891-47F0-B835-5009E8FDB92F}" id="{4ADF6602-0D03-4B28-A5E9-D30EE51FA9FD}">
    <text>No record of working in the software</text>
  </threadedComment>
  <threadedComment ref="O55" dT="2026-07-03T11:50:42.78" personId="{76359D42-6891-47F0-B835-5009E8FDB92F}" id="{F3DBE081-672D-420D-B9B9-7B032B885DAC}">
    <text>Single visit at 15:08 PM</text>
  </threadedComment>
  <threadedComment ref="R55" dT="2026-07-03T11:52:06.62" personId="{76359D42-6891-47F0-B835-5009E8FDB92F}" id="{66F064E6-20FE-4B9B-8A2E-0E1393A4F7E4}">
    <text>No visit record only attendance is marked and traveled 0 km</text>
  </threadedComment>
  <threadedComment ref="T55" dT="2026-07-03T11:55:51.66" personId="{76359D42-6891-47F0-B835-5009E8FDB92F}" id="{36502322-3001-4E19-85A0-0EF35A208D3B}">
    <text>Fake visit marked hardly travelled 0.06 Km , GPS was off from 15:45 - 23:59pm for 8hr</text>
  </threadedComment>
  <threadedComment ref="V55" dT="2026-07-03T12:17:43.19" personId="{76359D42-6891-47F0-B835-5009E8FDB92F}" id="{959DA5F0-BB2E-4BF7-9F3C-59845C63E8D5}">
    <text>11:41 am -21:59pm for 12hr GPS off</text>
  </threadedComment>
  <threadedComment ref="AC55" dT="2026-07-03T12:20:43.62" personId="{76359D42-6891-47F0-B835-5009E8FDB92F}" id="{F2EC90BB-E561-4A3E-9243-6DD1207347E7}">
    <text>11:38 -23:59 PM for 12hr GPS was off</text>
  </threadedComment>
  <threadedComment ref="AE55" dT="2026-06-26T14:47:10.34" personId="{76359D42-6891-47F0-B835-5009E8FDB92F}" id="{6CB6BCA3-28C7-4264-9E25-C3045F76CB1E}">
    <text>No record of visit only attendance is marked not even travelled 1km</text>
  </threadedComment>
  <threadedComment ref="AK55" dT="2026-07-01T12:10:37.47" personId="{76359D42-6891-47F0-B835-5009E8FDB92F}" id="{18CF8CA4-F9BD-4660-B299-4C009F2A0CA7}">
    <text>Fake visit</text>
  </threadedComment>
  <threadedComment ref="AK57" dT="2026-07-01T12:15:12.33" personId="{76359D42-6891-47F0-B835-5009E8FDB92F}" id="{B1D90E32-7D49-4225-9C10-2B054F5E1AE9}">
    <text>Last visit at 14:29 PM</text>
  </threadedComment>
  <threadedComment ref="AA59" dT="2026-06-23T14:44:23.14" personId="{76359D42-6891-47F0-B835-5009E8FDB92F}" id="{FF14C4BB-BD55-434E-85BC-25674999C0C8}">
    <text>No report and attendance</text>
  </threadedComment>
  <threadedComment ref="AK59" dT="2026-07-01T12:32:08.32" personId="{76359D42-6891-47F0-B835-5009E8FDB92F}" id="{116ABBB5-7FC4-4B1A-A802-E9F7AB541186}">
    <text>Working start at 15:55 PM , BZ of rain</text>
  </threadedComment>
  <threadedComment ref="Z64" dT="2026-06-23T14:33:09.37" personId="{76359D42-6891-47F0-B835-5009E8FDB92F}" id="{E9DC3F49-F46F-4634-92AE-875CDA4F90FA}">
    <text>Started work at 14:33 PM</text>
  </threadedComment>
  <threadedComment ref="M65" dT="2026-06-15T13:11:50.40" personId="{76359D42-6891-47F0-B835-5009E8FDB92F}" id="{8D8076BC-40F3-4AED-B5B0-593FCCE42198}">
    <text xml:space="preserve">Single visit 0.54km is travelled </text>
  </threadedComment>
  <threadedComment ref="AG65" dT="2026-06-26T16:58:35.43" personId="{76359D42-6891-47F0-B835-5009E8FDB92F}" id="{18643CB3-8F6D-4915-BC98-B1062AB23A6F}">
    <text>Last visit at 15:53 PM</text>
  </threadedComment>
  <threadedComment ref="AH65" dT="2026-06-29T13:46:19.78" personId="{76359D42-6891-47F0-B835-5009E8FDB92F}" id="{16863395-69E7-4DFB-9B23-33B58A886933}">
    <text>Only single visit at 13:52 PM</text>
  </threadedComment>
  <threadedComment ref="AJ65" dT="2026-06-29T13:45:26.56" personId="{76359D42-6891-47F0-B835-5009E8FDB92F}" id="{204941A4-F982-4313-BA13-FEA697487777}">
    <text>Working last till 12:50 PM</text>
  </threadedComment>
  <threadedComment ref="AK65" dT="2026-07-01T12:40:38.82" personId="{76359D42-6891-47F0-B835-5009E8FDB92F}" id="{5E2BD6D6-0834-4AA2-8691-DEE31197404B}">
    <text>Single visit at 15:16 PM</text>
  </threadedComment>
  <threadedComment ref="AD66" dT="2026-06-23T14:24:33.26" personId="{76359D42-6891-47F0-B835-5009E8FDB92F}" id="{A058F27B-1EE9-4261-900C-943A3EFF93B9}">
    <text>Single visit with no address</text>
  </threadedComment>
  <threadedComment ref="AE66" dT="2026-06-26T14:39:17.76" personId="{76359D42-6891-47F0-B835-5009E8FDB92F}" id="{5C3A3966-F924-416F-81F3-C7E96C8B945A}">
    <text>Last visit at 12:36 PM</text>
  </threadedComment>
  <threadedComment ref="P67" dT="2026-06-16T11:50:48.48" personId="{76359D42-6891-47F0-B835-5009E8FDB92F}" id="{A3D55A95-D3B3-4505-9DAB-FBFA46762B1A}">
    <text>Last working till 13:38 PM</text>
  </threadedComment>
  <threadedComment ref="AA69" dT="2026-06-23T14:09:33.18" personId="{76359D42-6891-47F0-B835-5009E8FDB92F}" id="{2830B523-2727-4748-9FC0-EF715C6D83EC}">
    <text xml:space="preserve">No visit was punched </text>
  </threadedComment>
  <threadedComment ref="W71" dT="2026-06-23T14:01:46.69" personId="{76359D42-6891-47F0-B835-5009E8FDB92F}" id="{F830FD29-7A12-409C-A60D-D6EC35DE773A}">
    <text>Work punched at 16:16 PM</text>
  </threadedComment>
  <threadedComment ref="X71" dT="2026-06-23T14:03:15.16" personId="{76359D42-6891-47F0-B835-5009E8FDB92F}" id="{3CC32085-29F3-419E-8494-8FF294781036}">
    <text>Work punched at 15:48 PM</text>
  </threadedComment>
  <threadedComment ref="AA71" dT="2026-06-23T13:57:14.25" personId="{76359D42-6891-47F0-B835-5009E8FDB92F}" id="{45765E79-4832-4A99-BE35-8D7A999B0699}">
    <text>No visit</text>
  </threadedComment>
  <threadedComment ref="K73" dT="2026-06-12T12:49:04.10" personId="{76359D42-6891-47F0-B835-5009E8FDB92F}" id="{4B078920-97B7-46BC-A1A2-FC22DFF02E5C}">
    <text xml:space="preserve">No record in software </text>
  </threadedComment>
  <threadedComment ref="Q74" dT="2026-06-16T12:33:35.26" personId="{76359D42-6891-47F0-B835-5009E8FDB92F}" id="{3AF1079D-F8E4-4D0B-B593-454D16E5A613}">
    <text>worked till 12:49 PM</text>
  </threadedComment>
  <threadedComment ref="Z74" dT="2026-06-23T10:56:53.24" personId="{76359D42-6891-47F0-B835-5009E8FDB92F}" id="{CB4673BA-06CA-47A1-8C33-963238593CCD}">
    <text>No visit are punched</text>
  </threadedComment>
  <threadedComment ref="AA74" dT="2026-06-23T10:56:04.03" personId="{76359D42-6891-47F0-B835-5009E8FDB92F}" id="{172FDA46-E3BC-462B-9750-4726E6132971}">
    <text>last visit till 15:38 PM</text>
  </threadedComment>
</ThreadedComments>
</file>

<file path=xl/threadedComments/threadedComment16.xml><?xml version="1.0" encoding="utf-8"?>
<ThreadedComments xmlns="http://schemas.microsoft.com/office/spreadsheetml/2018/threadedcomments" xmlns:x="http://schemas.openxmlformats.org/spreadsheetml/2006/main">
  <threadedComment ref="O2" dT="2026-07-09T09:30:30.87" personId="{76359D42-6891-47F0-B835-5009E8FDB92F}" id="{875C5E3A-6051-4296-9671-6AD8E9A4E8F0}">
    <text>No record and attendance only report in the group</text>
  </threadedComment>
  <threadedComment ref="I3" dT="2026-07-01T14:23:10.71" personId="{76359D42-6891-47F0-B835-5009E8FDB92F}" id="{8538E133-E99D-43B3-AA93-5F09A0276BAC}">
    <text>Last working till 15:31 PM</text>
  </threadedComment>
  <threadedComment ref="Q7" dT="2026-07-11T10:55:35.51" personId="{76359D42-6891-47F0-B835-5009E8FDB92F}" id="{D7AE8EE9-259F-448B-AC5F-20A775C98067}">
    <text>Started at 12:26 PM Last working till 13:46 PM</text>
  </threadedComment>
  <threadedComment ref="V7" dT="2026-07-17T08:47:33.37" personId="{76359D42-6891-47F0-B835-5009E8FDB92F}" id="{9C7BB754-84E5-43AB-AA58-8704BECF8182}">
    <text>Working till 16:30 PM</text>
  </threadedComment>
  <threadedComment ref="AK7" dT="2026-07-29T14:27:00.22" personId="{76359D42-6891-47F0-B835-5009E8FDB92F}" id="{CF724AFF-37C3-44FE-B850-204C859BCAA1}">
    <text>Working start at 13:32 PM</text>
  </threadedComment>
  <threadedComment ref="AL7" dT="2026-08-01T15:01:50.82" personId="{76359D42-6891-47F0-B835-5009E8FDB92F}" id="{CE54F7EB-D286-4412-B51B-58D47DE59695}">
    <text>No visit after 3 pm</text>
  </threadedComment>
  <threadedComment ref="U8" dT="2026-07-13T12:18:09.94" personId="{76359D42-6891-47F0-B835-5009E8FDB92F}" id="{6059DC2D-C1CB-46CB-A726-9CFD5EE4A2D0}">
    <text>Single visit punched at 12:04 PM with no check out hardly travelled 0.32km</text>
  </threadedComment>
  <threadedComment ref="U9" dT="2026-07-13T12:16:00.80" personId="{76359D42-6891-47F0-B835-5009E8FDB92F}" id="{A5EC105F-1583-4F12-88A6-823A0A1ECB4F}">
    <text>Working start at 14:00 PM</text>
  </threadedComment>
  <threadedComment ref="V9" dT="2026-07-17T08:52:58.95" personId="{76359D42-6891-47F0-B835-5009E8FDB92F}" id="{59289EE3-FB76-4E1E-BA5E-E24714CD9E3F}">
    <text>working started at 14:15 PM</text>
  </threadedComment>
  <threadedComment ref="U10" dT="2026-07-13T12:20:27.62" personId="{76359D42-6891-47F0-B835-5009E8FDB92F}" id="{CF77F53A-23DC-4786-8B74-47E5A7890C2E}">
    <text>Last working till 15:39 PM</text>
  </threadedComment>
  <threadedComment ref="X10" dT="2026-07-20T07:48:16.21" personId="{76359D42-6891-47F0-B835-5009E8FDB92F}" id="{873B4C8A-8876-4784-8D65-CADAE3C0EEEB}">
    <text>Last working till 15:37 PM</text>
  </threadedComment>
  <threadedComment ref="V12" dT="2026-07-17T09:01:20.03" personId="{76359D42-6891-47F0-B835-5009E8FDB92F}" id="{352F32B9-A287-46D0-BA1B-008189A6F382}">
    <text>Last working till 16:19 PM</text>
  </threadedComment>
  <threadedComment ref="AC12" dT="2026-07-25T13:00:57.98" personId="{76359D42-6891-47F0-B835-5009E8FDB92F}" id="{0C96F075-7C63-4BC8-B39B-6367C2F03219}">
    <text>Visit started at 15:06 PM</text>
  </threadedComment>
  <threadedComment ref="P14" dT="2026-07-11T11:16:24.51" personId="{76359D42-6891-47F0-B835-5009E8FDB92F}" id="{4DAD7A48-99C4-44C9-A040-CA047F0645ED}">
    <text>Last working till 16:32 PM</text>
  </threadedComment>
  <threadedComment ref="U14" dT="2026-07-15T10:18:41.99" personId="{76359D42-6891-47F0-B835-5009E8FDB92F}" id="{0C0ABE55-E1E6-4F01-9EA3-1EF60673EBAD}">
    <text>Last working till 15:59 PM</text>
  </threadedComment>
  <threadedComment ref="L15" dT="2026-07-04T06:46:43.84" personId="{76359D42-6891-47F0-B835-5009E8FDB92F}" id="{8E6EAB13-AD83-4876-962E-43C0182A5B5F}">
    <text>Single visit from 10:47 AM to 11:50 AM</text>
  </threadedComment>
  <threadedComment ref="AB15" dT="2026-07-20T14:06:14.10" personId="{76359D42-6891-47F0-B835-5009E8FDB92F}" id="{51D35B77-E963-4A66-96E5-3DDDFB0BF0F3}">
    <text>Work started at 14:23 PM</text>
  </threadedComment>
  <threadedComment ref="AK15" dT="2026-07-29T14:13:54.38" personId="{76359D42-6891-47F0-B835-5009E8FDB92F}" id="{237F068D-2551-41AA-9AF2-030FB4CAA751}">
    <text>Working start at 13:04 PM</text>
  </threadedComment>
  <threadedComment ref="L16" dT="2026-07-09T03:27:09.58" personId="{76359D42-6891-47F0-B835-5009E8FDB92F}" id="{C904A510-4F54-41D9-A1D6-2BFA928A5616}">
    <text>Single visit from 11:21 AM to 16:14 PM</text>
  </threadedComment>
  <threadedComment ref="P16" dT="2026-08-01T06:39:36.23" personId="{76359D42-6891-47F0-B835-5009E8FDB92F}" id="{6E34C04A-2B67-4DBE-ADDF-A3FFE82F1C14}">
    <text>single visit from 2pm to 4:30 pm</text>
  </threadedComment>
  <threadedComment ref="S16" dT="2026-08-01T08:56:09.37" personId="{76359D42-6891-47F0-B835-5009E8FDB92F}" id="{57221FE5-B8A6-425A-91BE-6E9736EF514B}">
    <text>GPS was off 1:49pm -20:28pm</text>
  </threadedComment>
  <threadedComment ref="U16" dT="2026-08-01T09:06:05.10" personId="{76359D42-6891-47F0-B835-5009E8FDB92F}" id="{6440C5AD-0231-49EB-ACF4-F3DAAAE933BA}">
    <text xml:space="preserve">1st visit punched is fake , 2nd visit started at 1:00 pm </text>
  </threadedComment>
  <threadedComment ref="X16" dT="2026-08-01T09:14:01.41" personId="{76359D42-6891-47F0-B835-5009E8FDB92F}" id="{53F1D7D4-E01F-45A3-818A-C7A75F40F481}">
    <text xml:space="preserve">Single visit from 12 pm - 2 pm </text>
  </threadedComment>
  <threadedComment ref="Y16" dT="2026-08-01T09:49:10.82" personId="{76359D42-6891-47F0-B835-5009E8FDB92F}" id="{F0769B94-BD04-4DB3-B8D2-B8C757E12FF9}">
    <text>Single visit from 12pm  to 2pm &amp; 2nd visit added is fake</text>
  </threadedComment>
  <threadedComment ref="AE16" dT="2026-07-25T09:58:32.27" personId="{76359D42-6891-47F0-B835-5009E8FDB92F}" id="{3D27126E-15AC-49F2-AD5B-55A258687154}">
    <text>Single visit from 12:00 PM to1:20 PM</text>
  </threadedComment>
  <threadedComment ref="AG16" dT="2026-07-29T14:10:20.59" personId="{76359D42-6891-47F0-B835-5009E8FDB92F}" id="{7F6C3B43-C5FA-4C11-8BA4-E62D2078B3A5}">
    <text xml:space="preserve">Fake visit marked at home location </text>
  </threadedComment>
  <threadedComment ref="AM16" dT="2026-08-01T11:50:44.87" personId="{76359D42-6891-47F0-B835-5009E8FDB92F}" id="{61B241AA-CA0F-420C-90B5-FA069BC88C30}">
    <text xml:space="preserve">Just did the product trial at home </text>
  </threadedComment>
  <threadedComment ref="K18" dT="2026-07-09T03:09:31.91" personId="{76359D42-6891-47F0-B835-5009E8FDB92F}" id="{DDC0B5DE-C499-4332-ABB6-7087E75BFBCF}">
    <text>Last working till 14:59 PM</text>
  </threadedComment>
  <threadedComment ref="N18" dT="2026-07-09T08:45:30.33" personId="{76359D42-6891-47F0-B835-5009E8FDB92F}" id="{78A903AA-0FA7-4AA2-8742-BD987691A5D3}">
    <text>Last working till 16:29 PM</text>
  </threadedComment>
  <threadedComment ref="AM20" dT="2026-07-31T16:59:20.83" personId="{76359D42-6891-47F0-B835-5009E8FDB92F}" id="{CA278FBC-7534-47F1-B6E3-5D656346FB9E}">
    <text>No visit after 15:02 PM RAINING</text>
  </threadedComment>
  <threadedComment ref="V22" dT="2026-07-18T06:35:57.08" personId="{76359D42-6891-47F0-B835-5009E8FDB92F}" id="{6CE662B7-0461-45DE-98DF-BCD672B1AFF4}">
    <text>Work started at 13:01 PM</text>
  </threadedComment>
  <threadedComment ref="AK23" dT="2026-07-29T13:46:40.72" personId="{76359D42-6891-47F0-B835-5009E8FDB92F}" id="{5EF324C7-88D1-4D9C-9E1C-C406DF6B7D85}">
    <text>No visit after 12:40 PM</text>
  </threadedComment>
  <threadedComment ref="K27" dT="2026-07-09T03:15:03.41" personId="{76359D42-6891-47F0-B835-5009E8FDB92F}" id="{434075A5-E6BD-4781-9959-5F8FFC8F4FC2}">
    <text xml:space="preserve">No working record in the software only attendance is marked hardly travelled 2km </text>
  </threadedComment>
  <threadedComment ref="Q27" dT="2026-07-11T15:08:31.49" personId="{76359D42-6891-47F0-B835-5009E8FDB92F}" id="{C118FC67-A724-45A5-8174-F83EDF520564}">
    <text>Single visit 12:57 PM15:59 PM ,travelled to Tiroda But its raining</text>
  </threadedComment>
  <threadedComment ref="AG27" dT="2026-07-29T12:15:27.98" personId="{76359D42-6891-47F0-B835-5009E8FDB92F}" id="{06C1241D-ADF4-40CC-A2CB-60E7B3D9B773}">
    <text>No vist after 15:35 PM</text>
  </threadedComment>
  <threadedComment ref="J28" dT="2026-07-07T06:08:03.87" personId="{76359D42-6891-47F0-B835-5009E8FDB92F}" id="{DD631FF1-8351-4D60-B9C8-EAFD26E867FE}">
    <text>Single visit 2:42 PM - 16:32 PM</text>
  </threadedComment>
  <threadedComment ref="L28" dT="2026-07-09T03:29:44.66" personId="{76359D42-6891-47F0-B835-5009E8FDB92F}" id="{A784E309-5F5A-4070-95B8-ACC43C5B1449}">
    <text>Single Visit from 13:19 PM to 16:48 PM</text>
  </threadedComment>
  <threadedComment ref="X28" dT="2026-07-20T07:53:56.05" personId="{76359D42-6891-47F0-B835-5009E8FDB92F}" id="{846A726F-4C35-4BB9-A8EC-FAA431C8341D}">
    <text>Work started at 14:23 PM</text>
  </threadedComment>
  <threadedComment ref="Y28" dT="2026-07-21T13:16:19.69" personId="{76359D42-6891-47F0-B835-5009E8FDB92F}" id="{021EA782-9268-4B50-A8B2-8ADEA050FB76}">
    <text>single punch at 17:34 PM</text>
  </threadedComment>
  <threadedComment ref="AB28" dT="2026-07-21T13:18:21.88" personId="{76359D42-6891-47F0-B835-5009E8FDB92F}" id="{483E3FE8-7DF0-4C4F-9AC9-4FF25067E925}">
    <text>Work started at 14:34 PM</text>
  </threadedComment>
  <threadedComment ref="AD28" dT="2026-07-24T14:52:32.39" personId="{76359D42-6891-47F0-B835-5009E8FDB92F}" id="{15B8E4C3-5F81-49F1-88EC-81B43D28C154}">
    <text>Work start at 14:07 PM</text>
  </threadedComment>
  <threadedComment ref="AE28" dT="2026-07-24T14:53:49.44" personId="{76359D42-6891-47F0-B835-5009E8FDB92F}" id="{71E31A28-C3A6-48CE-B322-E55430D81991}">
    <text>Work start at 14:18 PM</text>
  </threadedComment>
  <threadedComment ref="AF28" dT="2026-07-24T14:54:56.48" personId="{76359D42-6891-47F0-B835-5009E8FDB92F}" id="{BED52D54-13EF-48AB-8CE7-FEE3C5A661F2}">
    <text>Single visit at 17:51 PM</text>
  </threadedComment>
  <threadedComment ref="AL28" dT="2026-07-31T16:36:16.62" personId="{76359D42-6891-47F0-B835-5009E8FDB92F}" id="{460605B1-2369-4C14-BB39-C30FBF0D025E}">
    <text>No visist after 14:44 PM</text>
  </threadedComment>
  <threadedComment ref="AM28" dT="2026-07-31T16:38:13.61" personId="{76359D42-6891-47F0-B835-5009E8FDB92F}" id="{EFA7575B-426F-4EFE-8D5A-C0B026B48929}">
    <text>visit started at 15:02 PM</text>
  </threadedComment>
  <threadedComment ref="K29" dT="2026-07-09T03:16:19.53" personId="{76359D42-6891-47F0-B835-5009E8FDB92F}" id="{DC912BE3-2F60-45DC-B9C6-5C17492001E8}">
    <text>Single visit in whole day from 13:59 PM to 16:41 PM</text>
  </threadedComment>
  <threadedComment ref="AB29" dT="2026-07-21T13:22:28.81" personId="{76359D42-6891-47F0-B835-5009E8FDB92F}" id="{DB956E79-432C-43A5-8ED2-E4CC9C05E57E}">
    <text>No visit punched after 13:04 PM</text>
  </threadedComment>
  <threadedComment ref="AD29" dT="2026-07-24T14:49:15.46" personId="{76359D42-6891-47F0-B835-5009E8FDB92F}" id="{337AE2FF-F989-47D2-91F8-D87160DBC6E7}">
    <text>No visit is punched only attendance is marked</text>
  </threadedComment>
  <threadedComment ref="AE29" dT="2026-07-24T14:45:03.31" personId="{76359D42-6891-47F0-B835-5009E8FDB92F}" id="{146E3873-31C3-42D0-A725-5B8F3D87850C}">
    <text>Last visit till 14:43 pm</text>
  </threadedComment>
  <threadedComment ref="AM29" dT="2026-07-31T16:33:50.44" personId="{76359D42-6891-47F0-B835-5009E8FDB92F}" id="{C7F247BA-E34E-4683-9FB8-5788444A105D}">
    <text>No visit is marked</text>
  </threadedComment>
  <threadedComment ref="I30" dT="2026-07-04T06:51:05.54" personId="{76359D42-6891-47F0-B835-5009E8FDB92F}" id="{C25EE1BD-6514-4B1B-A6AC-A8E8DDA4BD83}">
    <text>Work started at 13:12 PM</text>
  </threadedComment>
  <threadedComment ref="J30" dT="2026-07-07T06:10:46.63" personId="{76359D42-6891-47F0-B835-5009E8FDB92F}" id="{0C159F1F-EEB5-49A3-A8A7-FD5FA78D884F}">
    <text>Last working till 16:34 PM</text>
  </threadedComment>
  <threadedComment ref="L30" dT="2026-07-09T03:30:43.14" personId="{76359D42-6891-47F0-B835-5009E8FDB92F}" id="{30D61FBE-EE99-481E-9779-D7BEDE2CB6B0}">
    <text>Last working till 13:18 PM to 14:06 PM</text>
  </threadedComment>
  <threadedComment ref="AC30" dT="2026-07-21T13:25:03.38" personId="{76359D42-6891-47F0-B835-5009E8FDB92F}" id="{05C02DE7-9632-4D62-A41F-13EF9F3BCA05}">
    <text>First visit 13:42 PM</text>
  </threadedComment>
  <threadedComment ref="I31" dT="2026-07-04T06:53:45.92" personId="{76359D42-6891-47F0-B835-5009E8FDB92F}" id="{6F0D8788-4806-43AD-AF4A-482A1839BBEF}">
    <text>Working last till 15:47 PM</text>
  </threadedComment>
  <threadedComment ref="AJ32" dT="2026-07-29T12:06:56.36" personId="{76359D42-6891-47F0-B835-5009E8FDB92F}" id="{6433040D-70B7-404B-927B-926FEE38CB45}">
    <text>Single visit at 17:34 PM</text>
  </threadedComment>
  <threadedComment ref="AK32" dT="2026-07-29T12:08:16.08" personId="{76359D42-6891-47F0-B835-5009E8FDB92F}" id="{FAE90D0B-BF3F-4D8B-BFFF-A6E09A35FA11}">
    <text>Single visit at 16:02 PM</text>
  </threadedComment>
  <threadedComment ref="U35" dT="2026-07-13T12:06:01.29" personId="{76359D42-6891-47F0-B835-5009E8FDB92F}" id="{E43BF03B-F49E-4B54-B33E-3EB835DEA3AA}">
    <text>Last visit visit till 16:10 PM</text>
  </threadedComment>
  <threadedComment ref="I36" dT="2026-07-04T06:56:56.38" personId="{76359D42-6891-47F0-B835-5009E8FDB92F}" id="{FC4F4CBC-0821-4130-AE90-5FFE93EF0832}">
    <text>Work started at 15:54 PM</text>
  </threadedComment>
  <threadedComment ref="U36" dT="2026-07-13T12:04:23.48" personId="{76359D42-6891-47F0-B835-5009E8FDB92F}" id="{D57284CA-F432-4F9B-B13C-AD9036F2A502}">
    <text>No visit after 14:47 PM</text>
  </threadedComment>
  <threadedComment ref="AL36" dT="2026-07-31T15:57:37.42" personId="{76359D42-6891-47F0-B835-5009E8FDB92F}" id="{01C454D2-16CF-46E8-8B38-9E9B61525732}">
    <text>Working start at 14:42 PM</text>
  </threadedComment>
  <threadedComment ref="J38" dT="2026-07-07T06:18:13.58" personId="{76359D42-6891-47F0-B835-5009E8FDB92F}" id="{7ECB3125-2005-476B-A5F0-BF1EDBFFB907}">
    <text>Started work at 14:04 PM</text>
  </threadedComment>
  <threadedComment ref="AM41" dT="2026-07-31T15:41:23.60" personId="{76359D42-6891-47F0-B835-5009E8FDB92F}" id="{61BDD829-4782-49EB-BE5F-210A88BF8C56}">
    <text>No visit after 15:29 PM</text>
  </threadedComment>
  <threadedComment ref="AL43" dT="2026-07-31T15:38:06.70" personId="{76359D42-6891-47F0-B835-5009E8FDB92F}" id="{5F203107-B241-46F3-A1AF-8D20CD2E2E98}">
    <text>No visit after 14:28 PM</text>
  </threadedComment>
  <threadedComment ref="N46" dT="2026-07-09T04:56:25.54" personId="{76359D42-6891-47F0-B835-5009E8FDB92F}" id="{FD16D053-F54D-4CED-AEEE-0A9A864A3768}">
    <text>Work Started at 13:36 PM and ended at 15:16 PM</text>
  </threadedComment>
  <threadedComment ref="V46" dT="2026-07-18T06:55:43.21" personId="{76359D42-6891-47F0-B835-5009E8FDB92F}" id="{83B4DABC-5F73-48E5-81C8-70AC1FD694A4}">
    <text>Single demo in whole day 15:21PM -17:33 PM</text>
  </threadedComment>
  <threadedComment ref="AG47" dT="2026-07-29T11:45:36.49" personId="{76359D42-6891-47F0-B835-5009E8FDB92F}" id="{01833809-4C5F-456F-8A20-98033740B4EA}">
    <text>No record of visit only attendance is punced</text>
  </threadedComment>
  <threadedComment ref="AI47" dT="2026-07-29T11:46:57.06" personId="{76359D42-6891-47F0-B835-5009E8FDB92F}" id="{0C5AE7A8-11ED-4C01-884B-CFC99ACA500C}">
    <text>No visit after 15:38 PM</text>
  </threadedComment>
  <threadedComment ref="I48" dT="2026-07-06T07:58:56.72" personId="{76359D42-6891-47F0-B835-5009E8FDB92F}" id="{05E3AD1F-1330-44D8-9298-F99970A83943}">
    <text>Started at 12:19 PM Ended work at 16:07 PM</text>
  </threadedComment>
  <threadedComment ref="N48" dT="2026-07-09T04:59:24.31" personId="{76359D42-6891-47F0-B835-5009E8FDB92F}" id="{F9B7541F-C8D6-4FDC-A95E-D1154D9F82A7}">
    <text>Work started at 12:31 PM and ended at 12:31 PM</text>
  </threadedComment>
  <threadedComment ref="AK48" dT="2026-07-29T11:44:00.55" personId="{76359D42-6891-47F0-B835-5009E8FDB92F}" id="{E9005C34-68B7-4275-B927-027AF92E03E4}">
    <text>No visit after 15:26 PM- Raining</text>
  </threadedComment>
  <threadedComment ref="I49" dT="2026-07-06T08:00:23.57" personId="{76359D42-6891-47F0-B835-5009E8FDB92F}" id="{E1452C21-5C51-4946-8085-C9376946070B}">
    <text>Started work at 11:51 AM ended work at 16:04 PM</text>
  </threadedComment>
  <threadedComment ref="O49" dT="2026-07-09T05:18:00.90" personId="{76359D42-6891-47F0-B835-5009E8FDB92F}" id="{83A4C8CA-460E-4B82-A92A-6FBF98C8B9DA}">
    <text>Last working till 14:57 PM</text>
  </threadedComment>
  <threadedComment ref="P49" dT="2026-07-09T06:09:22.36" personId="{76359D42-6891-47F0-B835-5009E8FDB92F}" id="{7663DD49-C955-48BC-B6F7-87CD0C5558F1}">
    <text>Last working till 13:49 PM , claimed that she is not well</text>
  </threadedComment>
  <threadedComment ref="I51" dT="2026-07-06T08:03:12.18" personId="{76359D42-6891-47F0-B835-5009E8FDB92F}" id="{8C9120C0-7E1E-4993-8638-6A67069FE44C}">
    <text>Last working 16:31 PM</text>
  </threadedComment>
  <threadedComment ref="J51" dT="2026-07-07T06:32:27.79" personId="{76359D42-6891-47F0-B835-5009E8FDB92F}" id="{1B68F4E2-9268-4C44-91F4-980B3F5F2417}">
    <text>Last visit till 14:13 PM to 14:14 PM</text>
  </threadedComment>
  <threadedComment ref="L51" dT="2026-07-09T05:40:58.33" personId="{76359D42-6891-47F0-B835-5009E8FDB92F}" id="{B361C598-54EE-43CC-9030-5BECCA69ABE1}">
    <text>Heavy Rain</text>
  </threadedComment>
  <threadedComment ref="AG52" dT="2026-07-29T11:29:26.89" personId="{76359D42-6891-47F0-B835-5009E8FDB92F}" id="{A5CF0CF7-855F-4ED3-86AD-2E84EE5E4BA5}">
    <text>No visit after 13:41 PM</text>
  </threadedComment>
  <threadedComment ref="O54" dT="2026-07-09T05:58:52.29" personId="{76359D42-6891-47F0-B835-5009E8FDB92F}" id="{74A0B7DC-92E8-484B-8998-B6D0F2B66C01}">
    <text>GPS off from 12:51 to 23:59 pm &amp; 9:57 to 12:49 pm</text>
  </threadedComment>
  <threadedComment ref="P54" dT="2026-07-09T05:56:36.65" personId="{76359D42-6891-47F0-B835-5009E8FDB92F}" id="{B9BBB58F-2433-49EB-855B-7602E2B79D7E}">
    <text xml:space="preserve">GPS off From 13:04 to 16:04 &amp; 12:31 to13:04 </text>
  </threadedComment>
  <threadedComment ref="AK54" dT="2026-07-29T14:34:52.22" personId="{76359D42-6891-47F0-B835-5009E8FDB92F}" id="{87DF0360-ADC3-4A9B-AB1C-5489EA2C5429}">
    <text>Single visit till 12:14:02 PM</text>
  </threadedComment>
  <threadedComment ref="AK55" dT="2026-07-29T11:25:36.75" personId="{76359D42-6891-47F0-B835-5009E8FDB92F}" id="{F505679C-01E0-40EA-8957-9C1D7DD0863B}">
    <text>No visit after 12:58 PM , as per the rohit sir order marked absent</text>
  </threadedComment>
  <threadedComment ref="L56" dT="2026-07-09T06:05:19.89" personId="{76359D42-6891-47F0-B835-5009E8FDB92F}" id="{2D257EF4-50F7-4EE6-B6A9-6466AB801329}">
    <text>Last working till 16:10 PM</text>
  </threadedComment>
  <threadedComment ref="AG57" dT="2026-07-29T11:00:06.48" personId="{76359D42-6891-47F0-B835-5009E8FDB92F}" id="{3FFA3150-506D-447A-A613-70CA7CB781C0}">
    <text>No visit after 14:20 PM</text>
  </threadedComment>
  <threadedComment ref="I58" dT="2026-07-06T13:41:36.07" personId="{76359D42-6891-47F0-B835-5009E8FDB92F}" id="{3A5E8D59-245A-403D-B3F2-DA0C7F064D86}">
    <text>Last working at 15:54 PM</text>
  </threadedComment>
  <threadedComment ref="L59" dT="2026-07-09T08:28:37.81" personId="{76359D42-6891-47F0-B835-5009E8FDB92F}" id="{493A79B2-0023-4285-B86E-3755AFE2EEB9}">
    <text>Last working till 16:24 PM</text>
  </threadedComment>
  <threadedComment ref="O59" dT="2026-07-09T08:30:32.23" personId="{76359D42-6891-47F0-B835-5009E8FDB92F}" id="{29E38B8E-444F-4403-994E-D74A8B8305FD}">
    <text>Started at 13:19 PM &amp; last visit till 15:05 PM</text>
  </threadedComment>
  <threadedComment ref="AE59" dT="2026-07-24T13:01:53.46" personId="{76359D42-6891-47F0-B835-5009E8FDB92F}" id="{0F9505A8-7317-4FDF-AC54-B8C960BBD533}">
    <text>Last working till 14:36 PM</text>
  </threadedComment>
  <threadedComment ref="AI59" dT="2026-07-29T10:54:50.59" personId="{76359D42-6891-47F0-B835-5009E8FDB92F}" id="{B1963E5E-001B-4B48-B261-AFE5032C2BA7}">
    <text>Last working till 13:31 PM</text>
  </threadedComment>
  <threadedComment ref="L60" dT="2026-07-09T08:32:23.38" personId="{76359D42-6891-47F0-B835-5009E8FDB92F}" id="{4FA3A529-BDFE-4014-B5B3-81021C14DC35}">
    <text>Heavy rain</text>
  </threadedComment>
  <threadedComment ref="N60" dT="2026-07-09T08:33:03.89" personId="{76359D42-6891-47F0-B835-5009E8FDB92F}" id="{DD8EC4CF-0FFB-4FB8-B05F-DA670554E3A4}">
    <text>Heavy rain</text>
  </threadedComment>
  <threadedComment ref="AJ60" dT="2026-07-29T10:53:33.11" personId="{76359D42-6891-47F0-B835-5009E8FDB92F}" id="{E26B379D-037B-4429-A4E3-E92D298A5395}">
    <text>Working start at 14:03 PM</text>
  </threadedComment>
  <threadedComment ref="R62" dT="2026-07-13T11:40:42.67" personId="{76359D42-6891-47F0-B835-5009E8FDB92F}" id="{CB1593D6-96E2-49E7-B935-9A0FB1058304}">
    <text>Only Attendance is marked no record of vizits</text>
  </threadedComment>
  <threadedComment ref="J64" dT="2026-07-07T13:03:44.16" personId="{76359D42-6891-47F0-B835-5009E8FDB92F}" id="{5DA3596B-3AAB-4732-8540-63FE2FF6ECB7}">
    <text>Single visit at 13:16 PM to 14:30 PM-Fake Visit</text>
  </threadedComment>
  <threadedComment ref="U64" dT="2026-07-15T13:55:48.68" personId="{76359D42-6891-47F0-B835-5009E8FDB92F}" id="{E0A9D045-87C1-4D78-82E2-2EFD338F92CA}">
    <text>13th no punch after 13:24 PM</text>
  </threadedComment>
  <threadedComment ref="Y64" dT="2026-07-18T14:50:55.40" personId="{76359D42-6891-47F0-B835-5009E8FDB92F}" id="{C19DE520-19A1-4281-9F78-0CC38F034EEA}">
    <text>Single demo 12:43 PM13:42 PM</text>
  </threadedComment>
  <threadedComment ref="AB64" dT="2026-07-21T10:36:48.77" personId="{76359D42-6891-47F0-B835-5009E8FDB92F}" id="{EEC0B939-DB57-4C32-922D-47C03395B84D}">
    <text>Only attendance is punned taken leave in between</text>
  </threadedComment>
  <threadedComment ref="AD64" dT="2026-07-23T15:18:05.62" personId="{76359D42-6891-47F0-B835-5009E8FDB92F}" id="{12D6CAE5-7169-4232-898E-2D9B4E6CD089}">
    <text>No visit aqfter 13:59 PM</text>
  </threadedComment>
  <threadedComment ref="AE64" dT="2026-07-23T15:18:56.37" personId="{76359D42-6891-47F0-B835-5009E8FDB92F}" id="{C0A8AAC5-4021-4B67-9133-F8D53F437E7D}">
    <text>No visit after 15:34 PM</text>
  </threadedComment>
  <threadedComment ref="AJ64" dT="2026-07-29T10:45:18.04" personId="{76359D42-6891-47F0-B835-5009E8FDB92F}" id="{AAA778EE-2808-4467-A7A6-1755D1D34824}">
    <text>Working start at 13:42 PM</text>
  </threadedComment>
  <threadedComment ref="O66" dT="2026-07-07T12:42:04.48" personId="{76359D42-6891-47F0-B835-5009E8FDB92F}" id="{04126A18-0C24-49A5-A027-29546BCD68D3}">
    <text xml:space="preserve">Heavy rainfall </text>
  </threadedComment>
  <threadedComment ref="AC70" dT="2026-07-23T14:01:32.10" personId="{76359D42-6891-47F0-B835-5009E8FDB92F}" id="{F05F6E7B-DC6B-4C6C-BB1E-5B9CB1E43ED6}">
    <text>Last visit till 13:30 PM</text>
  </threadedComment>
  <threadedComment ref="V71" dT="2026-07-15T14:05:20.52" personId="{76359D42-6891-47F0-B835-5009E8FDB92F}" id="{9549E7CE-D49F-40FB-A49E-697A613D4B3F}">
    <text>work started at 15:15 PM</text>
  </threadedComment>
  <threadedComment ref="AG71" dT="2026-07-29T05:48:10.78" personId="{76359D42-6891-47F0-B835-5009E8FDB92F}" id="{CE2A8F79-2685-47FB-A5E7-97F9BA8F027E}">
    <text>First visit marked at 14:40 PM</text>
  </threadedComment>
  <threadedComment ref="AI71" dT="2026-07-29T05:47:09.74" personId="{76359D42-6891-47F0-B835-5009E8FDB92F}" id="{4E142B54-9BE9-40CF-827B-C971C96D360C}">
    <text>First vsist marked at 14:33 PM</text>
  </threadedComment>
  <threadedComment ref="AL71" dT="2026-07-31T15:02:30.46" personId="{76359D42-6891-47F0-B835-5009E8FDB92F}" id="{92052B3F-5738-4E48-A49E-59D0FC1288CF}">
    <text>Not a single visit is punched , travelled 0km</text>
  </threadedComment>
</ThreadedComments>
</file>

<file path=xl/threadedComments/threadedComment17.xml><?xml version="1.0" encoding="utf-8"?>
<ThreadedComments xmlns="http://schemas.microsoft.com/office/spreadsheetml/2018/threadedcomments" xmlns:x="http://schemas.openxmlformats.org/spreadsheetml/2006/main">
  <threadedComment ref="I3" dT="2026-07-01T14:23:10.71" personId="{76359D42-6891-47F0-B835-5009E8FDB92F}" id="{5476E4F8-4ABA-4E40-B914-30893E6A3A88}">
    <text>Visit started at 15:03 PM</text>
  </threadedComment>
  <threadedComment ref="AK7" dT="2026-07-29T14:27:00.22" personId="{76359D42-6891-47F0-B835-5009E8FDB92F}" id="{54DC2938-2A69-4573-A1CE-F5DBB18DDC1B}">
    <text>Working start at 13:32 PM</text>
  </threadedComment>
  <threadedComment ref="AL7" dT="2026-08-01T15:01:50.82" personId="{76359D42-6891-47F0-B835-5009E8FDB92F}" id="{1C540761-5459-405F-A871-63347E9EB811}">
    <text>No visit after 3 pm</text>
  </threadedComment>
  <threadedComment ref="I9" dT="2026-08-01T15:13:40.23" personId="{76359D42-6891-47F0-B835-5009E8FDB92F}" id="{5857AD59-6BFB-4C2C-B55F-052D1DD64320}">
    <text>Visit started at 15:10 PM</text>
  </threadedComment>
  <threadedComment ref="I10" dT="2026-08-01T15:15:44.65" personId="{76359D42-6891-47F0-B835-5009E8FDB92F}" id="{BD323CD4-5A91-4145-9B3C-16C43CE2F7EA}">
    <text>Visit started at 15:20 PM</text>
  </threadedComment>
  <threadedComment ref="I11" dT="2026-08-03T16:26:36.37" personId="{76359D42-6891-47F0-B835-5009E8FDB92F}" id="{A4128449-25F2-4C5E-A7CE-66138E4190C8}">
    <text>Visit start at 15:24 PM</text>
  </threadedComment>
  <threadedComment ref="AK15" dT="2026-07-29T14:13:54.38" personId="{76359D42-6891-47F0-B835-5009E8FDB92F}" id="{62C05126-6B27-4645-AB9E-950363BB5394}">
    <text>Working start at 13:04 PM</text>
  </threadedComment>
  <threadedComment ref="AM16" dT="2026-08-01T11:50:44.87" personId="{76359D42-6891-47F0-B835-5009E8FDB92F}" id="{2736EEF3-F72D-4292-B794-5CBA3240F3DD}">
    <text xml:space="preserve">Just did the product trial at home </text>
  </threadedComment>
  <threadedComment ref="AM20" dT="2026-07-31T16:59:20.83" personId="{76359D42-6891-47F0-B835-5009E8FDB92F}" id="{6C6FBFF7-0F91-4753-9EE1-051F7F54DD7D}">
    <text>No visit after 15:02 PM</text>
  </threadedComment>
  <threadedComment ref="AK23" dT="2026-07-29T13:46:40.72" personId="{76359D42-6891-47F0-B835-5009E8FDB92F}" id="{7A38F8C3-A716-434C-A8F3-724F27C1F0C9}">
    <text>No visit after 12:40 PM</text>
  </threadedComment>
  <threadedComment ref="AL28" dT="2026-07-31T16:36:16.62" personId="{76359D42-6891-47F0-B835-5009E8FDB92F}" id="{E4702061-B50E-4B0C-8577-0B6DAA5F6E22}">
    <text>No visist after 14:44 PM</text>
  </threadedComment>
  <threadedComment ref="AM28" dT="2026-07-31T16:38:13.61" personId="{76359D42-6891-47F0-B835-5009E8FDB92F}" id="{E146343B-8E05-4E43-B5CF-F6F451EC7383}">
    <text>visit started at 15:02 PM</text>
  </threadedComment>
  <threadedComment ref="AM29" dT="2026-07-31T16:33:50.44" personId="{76359D42-6891-47F0-B835-5009E8FDB92F}" id="{DC9F4F23-231D-4053-9B1E-2D04C0FC0CAA}">
    <text>No visit is marked</text>
  </threadedComment>
  <threadedComment ref="AJ32" dT="2026-07-29T12:06:56.36" personId="{76359D42-6891-47F0-B835-5009E8FDB92F}" id="{D8782443-1870-48CA-84B3-FA2C044570B7}">
    <text>Single visit at 17:34 PM</text>
  </threadedComment>
  <threadedComment ref="AK32" dT="2026-07-29T12:08:16.08" personId="{76359D42-6891-47F0-B835-5009E8FDB92F}" id="{3C80321E-8269-493D-B43C-05BFB62D9006}">
    <text>Single visit at 16:02 PM</text>
  </threadedComment>
  <threadedComment ref="I36" dT="2026-07-04T06:56:56.38" personId="{76359D42-6891-47F0-B835-5009E8FDB92F}" id="{88F6DC55-C9F2-4351-AEAF-1845383E9DE6}">
    <text>Work started at 15:54 PM</text>
  </threadedComment>
  <threadedComment ref="AL36" dT="2026-07-31T15:57:37.42" personId="{76359D42-6891-47F0-B835-5009E8FDB92F}" id="{1C9FEFF0-7C86-4055-94F1-3440A9F33E55}">
    <text>Working start at 14:42 PM</text>
  </threadedComment>
  <threadedComment ref="AM41" dT="2026-07-31T15:41:23.60" personId="{76359D42-6891-47F0-B835-5009E8FDB92F}" id="{4A222679-67CD-47E8-8567-4EDF737158C4}">
    <text>No visit after 15:29 PM</text>
  </threadedComment>
  <threadedComment ref="AL43" dT="2026-07-31T15:38:06.70" personId="{76359D42-6891-47F0-B835-5009E8FDB92F}" id="{C186BD95-DBC8-4866-A327-4799B87AAB45}">
    <text>No visit after 14:28 PM</text>
  </threadedComment>
  <threadedComment ref="AI47" dT="2026-07-29T11:46:57.06" personId="{76359D42-6891-47F0-B835-5009E8FDB92F}" id="{734040D0-3532-4740-9378-D44D8A49F510}">
    <text>No visit after 15:38 PM</text>
  </threadedComment>
  <threadedComment ref="I48" dT="2026-07-06T07:58:56.72" personId="{76359D42-6891-47F0-B835-5009E8FDB92F}" id="{27E4D391-9BFD-4B0B-BD18-220DA31673B6}">
    <text>Started at 12:19 PM Ended work at 16:07 PM</text>
  </threadedComment>
  <threadedComment ref="AK48" dT="2026-07-29T11:44:00.55" personId="{76359D42-6891-47F0-B835-5009E8FDB92F}" id="{34A3A557-E90F-448E-A46A-1AF037DB64D1}">
    <text>No visit after 15:26 PM- Raining</text>
  </threadedComment>
  <threadedComment ref="I49" dT="2026-07-06T08:00:23.57" personId="{76359D42-6891-47F0-B835-5009E8FDB92F}" id="{827149EC-366E-4B51-A295-8292546E1849}">
    <text>Started work at 11:51 AM ended work at 16:04 PM</text>
  </threadedComment>
  <threadedComment ref="AK54" dT="2026-07-29T14:34:52.22" personId="{76359D42-6891-47F0-B835-5009E8FDB92F}" id="{4E5F6F8C-9C43-4B6B-B676-475100CD92B7}">
    <text>Single visit till 12:14:02 PM</text>
  </threadedComment>
  <threadedComment ref="AK55" dT="2026-07-29T11:25:36.75" personId="{76359D42-6891-47F0-B835-5009E8FDB92F}" id="{2AE75273-83D8-48CB-80AF-E668D8CDCBF9}">
    <text>No visit after 12:58 PM , as per the rohit sir order marked absent</text>
  </threadedComment>
  <threadedComment ref="I58" dT="2026-07-06T13:41:36.07" personId="{76359D42-6891-47F0-B835-5009E8FDB92F}" id="{90A5BEBF-84BA-40AD-BBCC-1750C2D8B853}">
    <text>Last working at 15:54 PM</text>
  </threadedComment>
  <threadedComment ref="AI59" dT="2026-07-29T10:54:50.59" personId="{76359D42-6891-47F0-B835-5009E8FDB92F}" id="{979F25FB-A9F0-4232-8EB6-1CA5E6DB4FF4}">
    <text>Last working till 13:31 PM</text>
  </threadedComment>
  <threadedComment ref="AJ60" dT="2026-07-29T10:53:33.11" personId="{76359D42-6891-47F0-B835-5009E8FDB92F}" id="{FEDBCCF5-3EDB-47DB-94CE-3B656665BF84}">
    <text>Working start at 14:03 PM</text>
  </threadedComment>
  <threadedComment ref="AJ64" dT="2026-07-29T10:45:18.04" personId="{76359D42-6891-47F0-B835-5009E8FDB92F}" id="{85514BBE-C909-4D0F-9F80-29F9FD3F8870}">
    <text>Working start at 13:42 PM</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opLeftCell="B58" workbookViewId="0">
      <selection activeCell="B2" sqref="B2"/>
    </sheetView>
  </sheetViews>
  <sheetFormatPr defaultColWidth="8.86328125" defaultRowHeight="14.25"/>
  <cols>
    <col min="2" max="2" width="25" customWidth="1"/>
    <col min="3" max="3" width="11.86328125" style="4" bestFit="1" customWidth="1"/>
    <col min="4" max="4" width="7.73046875" style="4" customWidth="1"/>
    <col min="5" max="5" width="9.1328125" style="4" customWidth="1"/>
  </cols>
  <sheetData>
    <row r="1" spans="1:6">
      <c r="A1" s="2" t="s">
        <v>0</v>
      </c>
      <c r="B1" s="2" t="s">
        <v>1</v>
      </c>
      <c r="C1" s="4" t="s">
        <v>2</v>
      </c>
      <c r="D1" s="4" t="s">
        <v>3</v>
      </c>
      <c r="E1" s="4" t="s">
        <v>4</v>
      </c>
    </row>
    <row r="2" spans="1:6" ht="15.75">
      <c r="A2" s="2">
        <v>1</v>
      </c>
      <c r="B2" s="1" t="s">
        <v>5</v>
      </c>
      <c r="C2" s="4">
        <v>2</v>
      </c>
      <c r="D2" s="4">
        <v>1</v>
      </c>
      <c r="E2" s="4">
        <f>C2-D2</f>
        <v>1</v>
      </c>
      <c r="F2" s="3"/>
    </row>
    <row r="3" spans="1:6" ht="15.75">
      <c r="A3" s="2">
        <f>A2+1</f>
        <v>2</v>
      </c>
      <c r="B3" s="1" t="s">
        <v>6</v>
      </c>
      <c r="C3" s="4">
        <v>4</v>
      </c>
      <c r="D3" s="4">
        <v>4</v>
      </c>
      <c r="E3" s="4">
        <f t="shared" ref="E3:E61" si="0">C3-D3</f>
        <v>0</v>
      </c>
      <c r="F3" s="3"/>
    </row>
    <row r="4" spans="1:6" ht="15.75">
      <c r="A4" s="2">
        <f t="shared" ref="A4:A61" si="1">A3+1</f>
        <v>3</v>
      </c>
      <c r="B4" s="1" t="s">
        <v>7</v>
      </c>
      <c r="C4" s="4">
        <v>5</v>
      </c>
      <c r="D4" s="4">
        <v>5</v>
      </c>
      <c r="E4" s="4">
        <f t="shared" si="0"/>
        <v>0</v>
      </c>
      <c r="F4" s="3"/>
    </row>
    <row r="5" spans="1:6" ht="15.75">
      <c r="A5" s="2">
        <f t="shared" si="1"/>
        <v>4</v>
      </c>
      <c r="B5" s="1" t="s">
        <v>8</v>
      </c>
      <c r="C5" s="4">
        <v>4</v>
      </c>
      <c r="D5" s="4">
        <v>4</v>
      </c>
      <c r="E5" s="4">
        <f t="shared" si="0"/>
        <v>0</v>
      </c>
      <c r="F5" s="3"/>
    </row>
    <row r="6" spans="1:6" ht="15.75">
      <c r="A6" s="2">
        <f t="shared" si="1"/>
        <v>5</v>
      </c>
      <c r="B6" s="23" t="s">
        <v>9</v>
      </c>
      <c r="C6" s="4">
        <v>6</v>
      </c>
      <c r="D6" s="4">
        <v>0</v>
      </c>
      <c r="E6" s="4">
        <f t="shared" si="0"/>
        <v>6</v>
      </c>
      <c r="F6" s="3"/>
    </row>
    <row r="7" spans="1:6" ht="15.75">
      <c r="A7" s="2">
        <f t="shared" si="1"/>
        <v>6</v>
      </c>
      <c r="B7" s="1" t="s">
        <v>10</v>
      </c>
      <c r="C7" s="4">
        <v>1</v>
      </c>
      <c r="D7" s="4">
        <v>1</v>
      </c>
      <c r="E7" s="4">
        <f t="shared" si="0"/>
        <v>0</v>
      </c>
      <c r="F7" s="3"/>
    </row>
    <row r="8" spans="1:6" ht="15.75">
      <c r="A8" s="2">
        <f t="shared" si="1"/>
        <v>7</v>
      </c>
      <c r="B8" s="1" t="s">
        <v>11</v>
      </c>
      <c r="C8" s="4">
        <v>4</v>
      </c>
      <c r="D8" s="4">
        <v>4</v>
      </c>
      <c r="E8" s="4">
        <f t="shared" si="0"/>
        <v>0</v>
      </c>
      <c r="F8" s="3"/>
    </row>
    <row r="9" spans="1:6" ht="15.75">
      <c r="A9" s="2">
        <f t="shared" si="1"/>
        <v>8</v>
      </c>
      <c r="B9" s="1" t="s">
        <v>12</v>
      </c>
      <c r="C9" s="4">
        <v>7</v>
      </c>
      <c r="D9" s="4">
        <v>7</v>
      </c>
      <c r="E9" s="4">
        <f t="shared" si="0"/>
        <v>0</v>
      </c>
      <c r="F9" s="3"/>
    </row>
    <row r="10" spans="1:6" ht="15.75">
      <c r="A10" s="2">
        <f t="shared" si="1"/>
        <v>9</v>
      </c>
      <c r="B10" s="1" t="s">
        <v>13</v>
      </c>
      <c r="C10" s="4">
        <v>6</v>
      </c>
      <c r="D10" s="4">
        <v>6</v>
      </c>
      <c r="E10" s="4">
        <f t="shared" si="0"/>
        <v>0</v>
      </c>
      <c r="F10" s="3"/>
    </row>
    <row r="11" spans="1:6" ht="15.75">
      <c r="A11" s="2">
        <f t="shared" si="1"/>
        <v>10</v>
      </c>
      <c r="B11" s="1" t="s">
        <v>14</v>
      </c>
      <c r="C11" s="4">
        <v>0</v>
      </c>
      <c r="D11" s="4">
        <v>0</v>
      </c>
      <c r="E11" s="4">
        <f t="shared" si="0"/>
        <v>0</v>
      </c>
      <c r="F11" s="3"/>
    </row>
    <row r="12" spans="1:6" ht="15.75">
      <c r="A12" s="2">
        <f t="shared" si="1"/>
        <v>11</v>
      </c>
      <c r="B12" s="23" t="s">
        <v>15</v>
      </c>
      <c r="C12" s="4">
        <v>16.5</v>
      </c>
      <c r="D12" s="4">
        <v>0</v>
      </c>
      <c r="E12" s="4">
        <f t="shared" si="0"/>
        <v>16.5</v>
      </c>
      <c r="F12" s="3"/>
    </row>
    <row r="13" spans="1:6" ht="15.75">
      <c r="A13" s="2">
        <f t="shared" si="1"/>
        <v>12</v>
      </c>
      <c r="B13" s="1" t="s">
        <v>16</v>
      </c>
      <c r="C13" s="4">
        <v>9.5</v>
      </c>
      <c r="D13" s="4">
        <v>9.5</v>
      </c>
      <c r="E13" s="4">
        <f t="shared" si="0"/>
        <v>0</v>
      </c>
      <c r="F13" s="3"/>
    </row>
    <row r="14" spans="1:6" ht="15.75">
      <c r="A14" s="2">
        <f t="shared" si="1"/>
        <v>13</v>
      </c>
      <c r="B14" s="1" t="s">
        <v>17</v>
      </c>
      <c r="C14" s="4">
        <v>1</v>
      </c>
      <c r="D14" s="4">
        <v>1</v>
      </c>
      <c r="E14" s="4">
        <f t="shared" si="0"/>
        <v>0</v>
      </c>
      <c r="F14" s="3"/>
    </row>
    <row r="15" spans="1:6" ht="15.75">
      <c r="A15" s="2">
        <f t="shared" si="1"/>
        <v>14</v>
      </c>
      <c r="B15" s="24" t="s">
        <v>18</v>
      </c>
      <c r="C15" s="4">
        <v>0</v>
      </c>
      <c r="D15" s="4">
        <v>0</v>
      </c>
      <c r="E15" s="4">
        <f t="shared" si="0"/>
        <v>0</v>
      </c>
      <c r="F15" s="3"/>
    </row>
    <row r="16" spans="1:6" ht="15.75">
      <c r="A16" s="2">
        <f t="shared" si="1"/>
        <v>15</v>
      </c>
      <c r="B16" s="1" t="s">
        <v>19</v>
      </c>
      <c r="C16" s="4">
        <v>1</v>
      </c>
      <c r="D16" s="4">
        <v>1</v>
      </c>
      <c r="E16" s="4">
        <f t="shared" si="0"/>
        <v>0</v>
      </c>
      <c r="F16" s="3"/>
    </row>
    <row r="17" spans="1:6" ht="15.75">
      <c r="A17" s="2">
        <f t="shared" si="1"/>
        <v>16</v>
      </c>
      <c r="B17" s="1" t="s">
        <v>20</v>
      </c>
      <c r="C17" s="4">
        <v>2</v>
      </c>
      <c r="D17" s="4">
        <v>2</v>
      </c>
      <c r="E17" s="4">
        <f t="shared" si="0"/>
        <v>0</v>
      </c>
      <c r="F17" s="3"/>
    </row>
    <row r="18" spans="1:6" ht="15.75">
      <c r="A18" s="2">
        <f t="shared" si="1"/>
        <v>17</v>
      </c>
      <c r="B18" s="1" t="s">
        <v>21</v>
      </c>
      <c r="C18" s="4">
        <v>0</v>
      </c>
      <c r="D18" s="4">
        <v>0</v>
      </c>
      <c r="E18" s="4">
        <f t="shared" si="0"/>
        <v>0</v>
      </c>
      <c r="F18" s="3"/>
    </row>
    <row r="19" spans="1:6" ht="15.75">
      <c r="A19" s="2">
        <f t="shared" si="1"/>
        <v>18</v>
      </c>
      <c r="B19" s="1" t="s">
        <v>22</v>
      </c>
      <c r="C19" s="4">
        <v>0</v>
      </c>
      <c r="D19" s="4">
        <v>0</v>
      </c>
      <c r="E19" s="4">
        <f t="shared" si="0"/>
        <v>0</v>
      </c>
      <c r="F19" s="3"/>
    </row>
    <row r="20" spans="1:6" ht="15.75">
      <c r="A20" s="2">
        <f t="shared" si="1"/>
        <v>19</v>
      </c>
      <c r="B20" s="1" t="s">
        <v>23</v>
      </c>
      <c r="C20" s="4">
        <v>1</v>
      </c>
      <c r="D20" s="4">
        <v>1</v>
      </c>
      <c r="E20" s="4">
        <f t="shared" si="0"/>
        <v>0</v>
      </c>
      <c r="F20" s="3"/>
    </row>
    <row r="21" spans="1:6" ht="15.75">
      <c r="A21" s="2">
        <f t="shared" si="1"/>
        <v>20</v>
      </c>
      <c r="B21" s="23" t="s">
        <v>24</v>
      </c>
      <c r="C21" s="4">
        <v>11</v>
      </c>
      <c r="D21" s="4">
        <v>0</v>
      </c>
      <c r="E21" s="4">
        <f t="shared" si="0"/>
        <v>11</v>
      </c>
      <c r="F21" s="3"/>
    </row>
    <row r="22" spans="1:6" ht="15.75">
      <c r="A22" s="2">
        <f t="shared" si="1"/>
        <v>21</v>
      </c>
      <c r="B22" s="24" t="s">
        <v>25</v>
      </c>
      <c r="C22" s="4">
        <v>0</v>
      </c>
      <c r="D22" s="4">
        <v>0</v>
      </c>
      <c r="E22" s="4">
        <f t="shared" si="0"/>
        <v>0</v>
      </c>
      <c r="F22" s="3"/>
    </row>
    <row r="23" spans="1:6" ht="15.75">
      <c r="A23" s="2">
        <f t="shared" si="1"/>
        <v>22</v>
      </c>
      <c r="B23" s="1" t="s">
        <v>26</v>
      </c>
      <c r="C23" s="4">
        <v>4.5</v>
      </c>
      <c r="D23" s="4">
        <v>4.5</v>
      </c>
      <c r="E23" s="4">
        <f t="shared" si="0"/>
        <v>0</v>
      </c>
      <c r="F23" s="3"/>
    </row>
    <row r="24" spans="1:6" ht="15.75">
      <c r="A24" s="2">
        <f t="shared" si="1"/>
        <v>23</v>
      </c>
      <c r="B24" s="1" t="s">
        <v>27</v>
      </c>
      <c r="C24" s="4">
        <v>2</v>
      </c>
      <c r="D24" s="4">
        <v>1</v>
      </c>
      <c r="E24" s="4">
        <f t="shared" si="0"/>
        <v>1</v>
      </c>
      <c r="F24" s="3"/>
    </row>
    <row r="25" spans="1:6" ht="15.75">
      <c r="A25" s="2">
        <f t="shared" si="1"/>
        <v>24</v>
      </c>
      <c r="B25" s="1" t="s">
        <v>28</v>
      </c>
      <c r="C25" s="4">
        <v>0</v>
      </c>
      <c r="D25" s="4">
        <v>0</v>
      </c>
      <c r="E25" s="4">
        <f t="shared" si="0"/>
        <v>0</v>
      </c>
      <c r="F25" s="3"/>
    </row>
    <row r="26" spans="1:6" ht="15.75">
      <c r="A26" s="2">
        <f t="shared" si="1"/>
        <v>25</v>
      </c>
      <c r="B26" s="1" t="s">
        <v>29</v>
      </c>
      <c r="C26" s="4">
        <v>1</v>
      </c>
      <c r="D26" s="4">
        <v>1</v>
      </c>
      <c r="E26" s="4">
        <f t="shared" si="0"/>
        <v>0</v>
      </c>
      <c r="F26" s="3"/>
    </row>
    <row r="27" spans="1:6" ht="15.75">
      <c r="A27" s="2">
        <f t="shared" si="1"/>
        <v>26</v>
      </c>
      <c r="B27" s="1" t="s">
        <v>30</v>
      </c>
      <c r="C27" s="4">
        <v>1</v>
      </c>
      <c r="D27" s="4">
        <v>1</v>
      </c>
      <c r="E27" s="4">
        <f t="shared" si="0"/>
        <v>0</v>
      </c>
      <c r="F27" s="3"/>
    </row>
    <row r="28" spans="1:6" ht="15.75">
      <c r="A28" s="2">
        <f t="shared" si="1"/>
        <v>27</v>
      </c>
      <c r="B28" s="1" t="s">
        <v>31</v>
      </c>
      <c r="C28" s="4">
        <v>0</v>
      </c>
      <c r="D28" s="4">
        <v>0</v>
      </c>
      <c r="E28" s="4">
        <f t="shared" si="0"/>
        <v>0</v>
      </c>
      <c r="F28" s="3"/>
    </row>
    <row r="29" spans="1:6" ht="15.75">
      <c r="A29" s="2">
        <f t="shared" si="1"/>
        <v>28</v>
      </c>
      <c r="B29" s="1" t="s">
        <v>32</v>
      </c>
      <c r="C29" s="4">
        <v>1</v>
      </c>
      <c r="D29" s="4">
        <v>1</v>
      </c>
      <c r="E29" s="4">
        <f t="shared" si="0"/>
        <v>0</v>
      </c>
      <c r="F29" s="3"/>
    </row>
    <row r="30" spans="1:6" ht="15.75">
      <c r="A30" s="2">
        <f t="shared" si="1"/>
        <v>29</v>
      </c>
      <c r="B30" s="23" t="s">
        <v>33</v>
      </c>
      <c r="C30" s="4">
        <v>3</v>
      </c>
      <c r="D30" s="4">
        <v>0</v>
      </c>
      <c r="E30" s="4">
        <f t="shared" si="0"/>
        <v>3</v>
      </c>
      <c r="F30" s="3"/>
    </row>
    <row r="31" spans="1:6" ht="15.75">
      <c r="A31" s="2">
        <f t="shared" si="1"/>
        <v>30</v>
      </c>
      <c r="B31" s="1" t="s">
        <v>34</v>
      </c>
      <c r="C31" s="4">
        <v>2</v>
      </c>
      <c r="D31" s="4">
        <v>2</v>
      </c>
      <c r="E31" s="4">
        <f t="shared" si="0"/>
        <v>0</v>
      </c>
      <c r="F31" s="3"/>
    </row>
    <row r="32" spans="1:6" ht="15.75">
      <c r="A32" s="2">
        <f t="shared" si="1"/>
        <v>31</v>
      </c>
      <c r="B32" s="23" t="s">
        <v>35</v>
      </c>
      <c r="C32" s="4">
        <v>7</v>
      </c>
      <c r="D32" s="4">
        <v>0</v>
      </c>
      <c r="E32" s="4">
        <f t="shared" si="0"/>
        <v>7</v>
      </c>
      <c r="F32" s="3"/>
    </row>
    <row r="33" spans="1:6" ht="15.75">
      <c r="A33" s="2">
        <f t="shared" si="1"/>
        <v>32</v>
      </c>
      <c r="B33" s="24" t="s">
        <v>36</v>
      </c>
      <c r="C33" s="4">
        <v>1</v>
      </c>
      <c r="D33" s="4">
        <v>1</v>
      </c>
      <c r="E33" s="4">
        <f t="shared" si="0"/>
        <v>0</v>
      </c>
      <c r="F33" s="3"/>
    </row>
    <row r="34" spans="1:6" ht="15.75">
      <c r="A34" s="2">
        <f t="shared" si="1"/>
        <v>33</v>
      </c>
      <c r="B34" s="1" t="s">
        <v>37</v>
      </c>
      <c r="C34" s="4">
        <v>2</v>
      </c>
      <c r="D34" s="4">
        <v>1</v>
      </c>
      <c r="E34" s="4">
        <f t="shared" si="0"/>
        <v>1</v>
      </c>
      <c r="F34" s="3"/>
    </row>
    <row r="35" spans="1:6" ht="15.75">
      <c r="A35" s="2">
        <f t="shared" si="1"/>
        <v>34</v>
      </c>
      <c r="B35" s="1" t="s">
        <v>38</v>
      </c>
      <c r="C35" s="4">
        <v>0</v>
      </c>
      <c r="D35" s="4">
        <v>0</v>
      </c>
      <c r="E35" s="4">
        <f t="shared" si="0"/>
        <v>0</v>
      </c>
      <c r="F35" s="3"/>
    </row>
    <row r="36" spans="1:6" ht="15.75">
      <c r="A36" s="2">
        <f t="shared" si="1"/>
        <v>35</v>
      </c>
      <c r="B36" s="1" t="s">
        <v>39</v>
      </c>
      <c r="C36" s="4">
        <v>2</v>
      </c>
      <c r="E36" s="4">
        <f t="shared" si="0"/>
        <v>2</v>
      </c>
      <c r="F36" s="3"/>
    </row>
    <row r="37" spans="1:6" ht="15.75">
      <c r="A37" s="2">
        <f t="shared" si="1"/>
        <v>36</v>
      </c>
      <c r="B37" s="1" t="s">
        <v>40</v>
      </c>
      <c r="C37" s="4">
        <v>4</v>
      </c>
      <c r="D37" s="4">
        <v>4</v>
      </c>
      <c r="E37" s="4">
        <f t="shared" si="0"/>
        <v>0</v>
      </c>
      <c r="F37" s="3"/>
    </row>
    <row r="38" spans="1:6" ht="15.75">
      <c r="A38" s="2">
        <f t="shared" si="1"/>
        <v>37</v>
      </c>
      <c r="B38" s="24" t="s">
        <v>41</v>
      </c>
      <c r="C38" s="4">
        <v>1</v>
      </c>
      <c r="E38" s="4">
        <f t="shared" si="0"/>
        <v>1</v>
      </c>
      <c r="F38" s="3"/>
    </row>
    <row r="39" spans="1:6" ht="15.75">
      <c r="A39" s="2">
        <f t="shared" si="1"/>
        <v>38</v>
      </c>
      <c r="B39" s="1" t="s">
        <v>42</v>
      </c>
      <c r="C39" s="4">
        <v>1</v>
      </c>
      <c r="D39" s="4">
        <v>1</v>
      </c>
      <c r="E39" s="4">
        <f t="shared" si="0"/>
        <v>0</v>
      </c>
      <c r="F39" s="3"/>
    </row>
    <row r="40" spans="1:6" ht="15.75">
      <c r="A40" s="2">
        <f t="shared" si="1"/>
        <v>39</v>
      </c>
      <c r="B40" s="1" t="s">
        <v>43</v>
      </c>
      <c r="C40" s="4">
        <v>3</v>
      </c>
      <c r="E40" s="4">
        <f t="shared" si="0"/>
        <v>3</v>
      </c>
      <c r="F40" s="3"/>
    </row>
    <row r="41" spans="1:6" ht="15.75">
      <c r="A41" s="2">
        <f t="shared" si="1"/>
        <v>40</v>
      </c>
      <c r="B41" s="24" t="s">
        <v>44</v>
      </c>
      <c r="C41" s="4">
        <v>6</v>
      </c>
      <c r="E41" s="4">
        <f t="shared" si="0"/>
        <v>6</v>
      </c>
      <c r="F41" s="3"/>
    </row>
    <row r="42" spans="1:6" ht="15.75">
      <c r="A42" s="2">
        <f t="shared" si="1"/>
        <v>41</v>
      </c>
      <c r="B42" s="1" t="s">
        <v>45</v>
      </c>
      <c r="C42" s="4">
        <v>0</v>
      </c>
      <c r="E42" s="4">
        <f t="shared" si="0"/>
        <v>0</v>
      </c>
      <c r="F42" s="3"/>
    </row>
    <row r="43" spans="1:6" ht="15.75">
      <c r="A43" s="2">
        <f t="shared" si="1"/>
        <v>42</v>
      </c>
      <c r="B43" s="1" t="s">
        <v>46</v>
      </c>
      <c r="C43" s="4">
        <v>1</v>
      </c>
      <c r="D43" s="4">
        <v>1</v>
      </c>
      <c r="E43" s="4">
        <f t="shared" si="0"/>
        <v>0</v>
      </c>
      <c r="F43" s="3"/>
    </row>
    <row r="44" spans="1:6" ht="15.75">
      <c r="A44" s="2">
        <f t="shared" si="1"/>
        <v>43</v>
      </c>
      <c r="B44" s="1" t="s">
        <v>47</v>
      </c>
      <c r="C44" s="4">
        <v>12.5</v>
      </c>
      <c r="D44" s="4">
        <v>1</v>
      </c>
      <c r="E44" s="4">
        <f t="shared" si="0"/>
        <v>11.5</v>
      </c>
      <c r="F44" s="3"/>
    </row>
    <row r="45" spans="1:6" ht="15.75">
      <c r="A45" s="2">
        <f t="shared" si="1"/>
        <v>44</v>
      </c>
      <c r="B45" s="1" t="s">
        <v>48</v>
      </c>
      <c r="C45" s="4">
        <v>2</v>
      </c>
      <c r="D45" s="4">
        <v>1</v>
      </c>
      <c r="E45" s="4">
        <f t="shared" si="0"/>
        <v>1</v>
      </c>
      <c r="F45" s="3"/>
    </row>
    <row r="46" spans="1:6" ht="15.75">
      <c r="A46" s="2">
        <f t="shared" si="1"/>
        <v>45</v>
      </c>
      <c r="B46" s="1" t="s">
        <v>49</v>
      </c>
      <c r="C46" s="4">
        <v>0</v>
      </c>
      <c r="D46" s="4">
        <v>0</v>
      </c>
      <c r="E46" s="4">
        <f t="shared" si="0"/>
        <v>0</v>
      </c>
      <c r="F46" s="3"/>
    </row>
    <row r="47" spans="1:6" ht="15.75">
      <c r="A47" s="2">
        <f t="shared" si="1"/>
        <v>46</v>
      </c>
      <c r="B47" s="1" t="s">
        <v>50</v>
      </c>
      <c r="C47" s="4">
        <v>4</v>
      </c>
      <c r="E47" s="4">
        <f t="shared" si="0"/>
        <v>4</v>
      </c>
      <c r="F47" s="3"/>
    </row>
    <row r="48" spans="1:6" ht="15.75">
      <c r="A48" s="2">
        <f t="shared" si="1"/>
        <v>47</v>
      </c>
      <c r="B48" s="1" t="s">
        <v>51</v>
      </c>
      <c r="C48" s="4">
        <v>1.5</v>
      </c>
      <c r="D48" s="4">
        <v>1</v>
      </c>
      <c r="E48" s="4">
        <f t="shared" si="0"/>
        <v>0.5</v>
      </c>
      <c r="F48" s="3"/>
    </row>
    <row r="49" spans="1:6" ht="15.75">
      <c r="A49" s="2">
        <f t="shared" si="1"/>
        <v>48</v>
      </c>
      <c r="B49" s="1" t="s">
        <v>52</v>
      </c>
      <c r="C49" s="4">
        <v>0.5</v>
      </c>
      <c r="D49" s="4">
        <v>0.5</v>
      </c>
      <c r="E49" s="4">
        <f t="shared" si="0"/>
        <v>0</v>
      </c>
      <c r="F49" s="3"/>
    </row>
    <row r="50" spans="1:6" ht="15.75">
      <c r="A50" s="2">
        <f t="shared" si="1"/>
        <v>49</v>
      </c>
      <c r="B50" s="1" t="s">
        <v>53</v>
      </c>
      <c r="C50" s="4">
        <v>4</v>
      </c>
      <c r="D50" s="4">
        <v>4</v>
      </c>
      <c r="E50" s="4">
        <f t="shared" si="0"/>
        <v>0</v>
      </c>
      <c r="F50" s="3"/>
    </row>
    <row r="51" spans="1:6" ht="15.75">
      <c r="A51" s="2">
        <f t="shared" si="1"/>
        <v>50</v>
      </c>
      <c r="B51" s="23" t="s">
        <v>54</v>
      </c>
      <c r="C51" s="4">
        <v>19</v>
      </c>
      <c r="E51" s="4">
        <f t="shared" si="0"/>
        <v>19</v>
      </c>
      <c r="F51" s="3"/>
    </row>
    <row r="52" spans="1:6" ht="15.75">
      <c r="A52" s="2">
        <f t="shared" si="1"/>
        <v>51</v>
      </c>
      <c r="B52" s="1" t="s">
        <v>55</v>
      </c>
      <c r="C52" s="4">
        <v>0</v>
      </c>
      <c r="D52" s="4">
        <v>0</v>
      </c>
      <c r="E52" s="4">
        <f t="shared" si="0"/>
        <v>0</v>
      </c>
      <c r="F52" s="3"/>
    </row>
    <row r="53" spans="1:6" ht="15.75">
      <c r="A53" s="2">
        <f t="shared" si="1"/>
        <v>52</v>
      </c>
      <c r="B53" s="24" t="s">
        <v>56</v>
      </c>
      <c r="C53" s="4">
        <v>8</v>
      </c>
      <c r="E53" s="4">
        <f t="shared" si="0"/>
        <v>8</v>
      </c>
      <c r="F53" s="3"/>
    </row>
    <row r="54" spans="1:6" ht="15.75">
      <c r="A54" s="2">
        <f t="shared" si="1"/>
        <v>53</v>
      </c>
      <c r="B54" s="1" t="s">
        <v>57</v>
      </c>
      <c r="C54" s="4">
        <v>0</v>
      </c>
      <c r="E54" s="4">
        <f t="shared" si="0"/>
        <v>0</v>
      </c>
      <c r="F54" s="3"/>
    </row>
    <row r="55" spans="1:6" ht="15.75">
      <c r="A55" s="2">
        <f t="shared" si="1"/>
        <v>54</v>
      </c>
      <c r="B55" s="1" t="s">
        <v>58</v>
      </c>
      <c r="C55" s="4">
        <v>3</v>
      </c>
      <c r="E55" s="4">
        <f t="shared" si="0"/>
        <v>3</v>
      </c>
      <c r="F55" s="3"/>
    </row>
    <row r="56" spans="1:6" ht="15.75">
      <c r="A56" s="2">
        <f t="shared" si="1"/>
        <v>55</v>
      </c>
      <c r="B56" s="1" t="s">
        <v>59</v>
      </c>
      <c r="C56" s="4">
        <v>9</v>
      </c>
      <c r="D56" s="4">
        <v>9</v>
      </c>
      <c r="E56" s="4">
        <f t="shared" si="0"/>
        <v>0</v>
      </c>
      <c r="F56" s="3"/>
    </row>
    <row r="57" spans="1:6" ht="15.75">
      <c r="A57" s="2">
        <f t="shared" si="1"/>
        <v>56</v>
      </c>
      <c r="B57" s="23" t="s">
        <v>60</v>
      </c>
      <c r="C57" s="4">
        <v>14</v>
      </c>
      <c r="E57" s="4">
        <f t="shared" si="0"/>
        <v>14</v>
      </c>
      <c r="F57" s="3"/>
    </row>
    <row r="58" spans="1:6" ht="15.75">
      <c r="A58" s="2">
        <f t="shared" si="1"/>
        <v>57</v>
      </c>
      <c r="B58" s="1" t="s">
        <v>61</v>
      </c>
      <c r="C58" s="4">
        <v>0</v>
      </c>
      <c r="E58" s="4">
        <f t="shared" si="0"/>
        <v>0</v>
      </c>
      <c r="F58" s="3"/>
    </row>
    <row r="59" spans="1:6" ht="15.75">
      <c r="A59" s="2">
        <f t="shared" si="1"/>
        <v>58</v>
      </c>
      <c r="B59" s="1" t="s">
        <v>62</v>
      </c>
      <c r="C59" s="4">
        <v>16</v>
      </c>
      <c r="E59" s="4">
        <f t="shared" si="0"/>
        <v>16</v>
      </c>
      <c r="F59" s="3"/>
    </row>
    <row r="60" spans="1:6" ht="15.75">
      <c r="A60" s="2">
        <f t="shared" si="1"/>
        <v>59</v>
      </c>
      <c r="B60" s="1" t="s">
        <v>63</v>
      </c>
      <c r="C60" s="4">
        <v>2</v>
      </c>
      <c r="E60" s="4">
        <f t="shared" si="0"/>
        <v>2</v>
      </c>
      <c r="F60" s="3"/>
    </row>
    <row r="61" spans="1:6" ht="15.75">
      <c r="A61" s="2">
        <f t="shared" si="1"/>
        <v>60</v>
      </c>
      <c r="B61" s="1"/>
      <c r="E61" s="4">
        <f t="shared" si="0"/>
        <v>0</v>
      </c>
      <c r="F61" s="3"/>
    </row>
  </sheetData>
  <sortState xmlns:xlrd2="http://schemas.microsoft.com/office/spreadsheetml/2017/richdata2" ref="B2:B61">
    <sortCondition ref="B2:B6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9DA69-578C-45A4-863D-C7BD0DF1587A}">
  <dimension ref="A1:EZ383"/>
  <sheetViews>
    <sheetView zoomScale="120" zoomScaleNormal="120" workbookViewId="0">
      <pane xSplit="2" topLeftCell="C1" activePane="topRight" state="frozen"/>
      <selection pane="topRight" activeCell="B18" sqref="B18"/>
    </sheetView>
  </sheetViews>
  <sheetFormatPr defaultColWidth="8.86328125" defaultRowHeight="14.25"/>
  <cols>
    <col min="1" max="1" width="7" style="5" customWidth="1"/>
    <col min="2" max="2" width="29.86328125" style="56" customWidth="1"/>
    <col min="3" max="3" width="11.1328125" style="42" customWidth="1"/>
    <col min="4" max="4" width="11.1328125" style="42" bestFit="1" customWidth="1"/>
    <col min="5" max="5" width="9.3984375" style="42" customWidth="1"/>
    <col min="6" max="6" width="7.73046875" style="42" customWidth="1"/>
    <col min="7" max="7" width="6.59765625" style="35" customWidth="1"/>
    <col min="8" max="8" width="7.1328125" style="42" customWidth="1"/>
    <col min="9" max="10" width="7.73046875" style="42" customWidth="1"/>
    <col min="11" max="11" width="6.265625" style="42" customWidth="1"/>
    <col min="12" max="12" width="7.265625" style="42" customWidth="1"/>
    <col min="13" max="13" width="6.265625" style="42" customWidth="1"/>
    <col min="14" max="14" width="6.1328125" style="42" customWidth="1"/>
    <col min="15" max="15" width="7.3984375" style="42" customWidth="1"/>
    <col min="16" max="16" width="8.59765625" style="42" customWidth="1"/>
    <col min="17" max="17" width="7.86328125" style="42" customWidth="1"/>
    <col min="18" max="22" width="8.86328125" style="42"/>
    <col min="23" max="23" width="8.73046875" style="42" customWidth="1"/>
    <col min="24" max="24" width="8.3984375" style="42" customWidth="1"/>
    <col min="25" max="25" width="8.86328125" style="42"/>
    <col min="26" max="26" width="7.3984375" style="42" customWidth="1"/>
    <col min="27" max="27" width="8.265625" style="42" customWidth="1"/>
    <col min="28" max="28" width="7.59765625" style="42" customWidth="1"/>
    <col min="29" max="29" width="9.1328125" style="42" customWidth="1"/>
    <col min="30" max="30" width="8.59765625" style="42" customWidth="1"/>
    <col min="31" max="31" width="9" style="42" customWidth="1"/>
    <col min="32" max="32" width="9.59765625" style="42" customWidth="1"/>
    <col min="33" max="16384" width="8.86328125" style="42"/>
  </cols>
  <sheetData>
    <row r="1" spans="1:156" s="13" customFormat="1" ht="72" customHeight="1">
      <c r="A1" s="13" t="s">
        <v>64</v>
      </c>
      <c r="B1" s="13" t="s">
        <v>65</v>
      </c>
      <c r="C1" s="13" t="s">
        <v>66</v>
      </c>
      <c r="D1" s="13" t="s">
        <v>67</v>
      </c>
      <c r="E1" s="13" t="s">
        <v>68</v>
      </c>
      <c r="F1" s="13">
        <v>1</v>
      </c>
      <c r="G1" s="13">
        <v>2</v>
      </c>
      <c r="H1" s="13">
        <v>3</v>
      </c>
      <c r="I1" s="13">
        <v>4</v>
      </c>
      <c r="J1" s="13">
        <v>5</v>
      </c>
      <c r="K1" s="13">
        <v>6</v>
      </c>
      <c r="L1" s="13">
        <v>7</v>
      </c>
      <c r="M1" s="14">
        <v>8</v>
      </c>
      <c r="N1" s="13">
        <v>9</v>
      </c>
      <c r="O1" s="13">
        <v>10</v>
      </c>
      <c r="P1" s="13">
        <v>11</v>
      </c>
      <c r="Q1" s="13">
        <v>12</v>
      </c>
      <c r="R1" s="13">
        <v>13</v>
      </c>
      <c r="S1" s="13">
        <v>14</v>
      </c>
      <c r="T1" s="13">
        <v>15</v>
      </c>
      <c r="U1" s="13">
        <v>16</v>
      </c>
      <c r="V1" s="13">
        <v>17</v>
      </c>
      <c r="W1" s="13">
        <v>18</v>
      </c>
      <c r="X1" s="13">
        <v>19</v>
      </c>
      <c r="Y1" s="13">
        <v>20</v>
      </c>
      <c r="Z1" s="13">
        <v>21</v>
      </c>
      <c r="AA1" s="13">
        <v>22</v>
      </c>
      <c r="AB1" s="13">
        <v>23</v>
      </c>
      <c r="AC1" s="13">
        <v>24</v>
      </c>
      <c r="AD1" s="13">
        <v>25</v>
      </c>
      <c r="AE1" s="13">
        <v>26</v>
      </c>
      <c r="AF1" s="13">
        <v>27</v>
      </c>
      <c r="AG1" s="13">
        <v>28</v>
      </c>
      <c r="AH1" s="13">
        <v>29</v>
      </c>
      <c r="AI1" s="13">
        <v>30</v>
      </c>
      <c r="AJ1" s="37">
        <v>31</v>
      </c>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6"/>
      <c r="EI1" s="36"/>
      <c r="EJ1" s="36"/>
      <c r="EK1" s="36"/>
      <c r="EL1" s="36"/>
      <c r="EM1" s="36"/>
      <c r="EN1" s="36"/>
      <c r="EO1" s="36"/>
      <c r="EP1" s="36"/>
      <c r="EQ1" s="36"/>
      <c r="ER1" s="36"/>
      <c r="ES1" s="36"/>
      <c r="ET1" s="36"/>
      <c r="EU1" s="36"/>
      <c r="EV1" s="36"/>
      <c r="EW1" s="36"/>
      <c r="EX1" s="36"/>
      <c r="EY1" s="36"/>
      <c r="EZ1" s="38"/>
    </row>
    <row r="2" spans="1:156" ht="18">
      <c r="A2" s="8">
        <v>1</v>
      </c>
      <c r="B2" s="15" t="s">
        <v>5</v>
      </c>
      <c r="C2" s="73">
        <v>1</v>
      </c>
      <c r="D2" s="74">
        <v>0</v>
      </c>
      <c r="E2" s="74">
        <v>1</v>
      </c>
      <c r="F2" s="72" t="s">
        <v>69</v>
      </c>
      <c r="G2" s="75" t="s">
        <v>69</v>
      </c>
      <c r="H2" s="75" t="s">
        <v>69</v>
      </c>
      <c r="I2" s="75" t="s">
        <v>69</v>
      </c>
      <c r="J2" s="75" t="s">
        <v>69</v>
      </c>
      <c r="K2" s="75" t="s">
        <v>69</v>
      </c>
      <c r="L2" s="75" t="s">
        <v>69</v>
      </c>
      <c r="M2" s="76" t="s">
        <v>70</v>
      </c>
      <c r="N2" s="75" t="s">
        <v>69</v>
      </c>
      <c r="O2" s="75" t="s">
        <v>69</v>
      </c>
      <c r="P2" s="75" t="s">
        <v>69</v>
      </c>
      <c r="Q2" s="75" t="s">
        <v>69</v>
      </c>
      <c r="R2" s="75" t="s">
        <v>69</v>
      </c>
      <c r="S2" s="77" t="s">
        <v>71</v>
      </c>
      <c r="T2" s="78" t="s">
        <v>72</v>
      </c>
      <c r="U2" s="75" t="s">
        <v>69</v>
      </c>
      <c r="V2" s="75" t="s">
        <v>69</v>
      </c>
      <c r="W2" s="75" t="s">
        <v>69</v>
      </c>
      <c r="X2" s="75" t="s">
        <v>69</v>
      </c>
      <c r="Y2" s="75" t="s">
        <v>69</v>
      </c>
      <c r="Z2" s="75" t="s">
        <v>69</v>
      </c>
      <c r="AA2" s="75" t="s">
        <v>69</v>
      </c>
      <c r="AB2" s="75" t="s">
        <v>69</v>
      </c>
      <c r="AC2" s="75" t="s">
        <v>69</v>
      </c>
      <c r="AD2" s="75" t="s">
        <v>69</v>
      </c>
      <c r="AE2" s="75" t="s">
        <v>69</v>
      </c>
      <c r="AF2" s="75" t="s">
        <v>69</v>
      </c>
      <c r="AG2" s="75" t="s">
        <v>69</v>
      </c>
      <c r="AH2" s="75" t="s">
        <v>69</v>
      </c>
      <c r="AI2" s="75" t="s">
        <v>69</v>
      </c>
      <c r="AJ2" s="75" t="s">
        <v>69</v>
      </c>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row>
    <row r="3" spans="1:156" ht="18">
      <c r="A3" s="5">
        <v>2</v>
      </c>
      <c r="B3" s="16" t="s">
        <v>6</v>
      </c>
      <c r="C3" s="79">
        <v>1</v>
      </c>
      <c r="D3" s="80">
        <v>0</v>
      </c>
      <c r="E3" s="80">
        <v>1</v>
      </c>
      <c r="F3" s="71" t="s">
        <v>69</v>
      </c>
      <c r="G3" s="71" t="s">
        <v>69</v>
      </c>
      <c r="H3" s="71" t="s">
        <v>69</v>
      </c>
      <c r="I3" s="66" t="s">
        <v>72</v>
      </c>
      <c r="J3" s="71" t="s">
        <v>69</v>
      </c>
      <c r="K3" s="71" t="s">
        <v>69</v>
      </c>
      <c r="L3" s="71" t="s">
        <v>69</v>
      </c>
      <c r="M3" s="81" t="s">
        <v>69</v>
      </c>
      <c r="N3" s="71" t="s">
        <v>69</v>
      </c>
      <c r="O3" s="71" t="s">
        <v>69</v>
      </c>
      <c r="P3" s="71" t="s">
        <v>69</v>
      </c>
      <c r="Q3" s="71" t="s">
        <v>69</v>
      </c>
      <c r="R3" s="71" t="s">
        <v>69</v>
      </c>
      <c r="S3" s="77" t="s">
        <v>71</v>
      </c>
      <c r="T3" s="71" t="s">
        <v>69</v>
      </c>
      <c r="U3" s="75" t="s">
        <v>69</v>
      </c>
      <c r="V3" s="71" t="s">
        <v>69</v>
      </c>
      <c r="W3" s="71" t="s">
        <v>69</v>
      </c>
      <c r="X3" s="71" t="s">
        <v>69</v>
      </c>
      <c r="Y3" s="71" t="s">
        <v>69</v>
      </c>
      <c r="Z3" s="71" t="s">
        <v>69</v>
      </c>
      <c r="AA3" s="71" t="s">
        <v>69</v>
      </c>
      <c r="AB3" s="75" t="s">
        <v>69</v>
      </c>
      <c r="AC3" s="75" t="s">
        <v>69</v>
      </c>
      <c r="AD3" s="75" t="s">
        <v>69</v>
      </c>
      <c r="AE3" s="75" t="s">
        <v>69</v>
      </c>
      <c r="AF3" s="75" t="s">
        <v>69</v>
      </c>
      <c r="AG3" s="82" t="s">
        <v>72</v>
      </c>
      <c r="AH3" s="71" t="s">
        <v>69</v>
      </c>
      <c r="AI3" s="75" t="s">
        <v>69</v>
      </c>
      <c r="AJ3" s="83" t="s">
        <v>71</v>
      </c>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41"/>
      <c r="DB3" s="41"/>
      <c r="DC3" s="41"/>
      <c r="DD3" s="41"/>
      <c r="DE3" s="41"/>
      <c r="DF3" s="41"/>
      <c r="DG3" s="41"/>
      <c r="DH3" s="41"/>
      <c r="DI3" s="41"/>
      <c r="DJ3" s="41"/>
      <c r="DK3" s="41"/>
      <c r="DL3" s="41"/>
      <c r="DM3" s="41"/>
      <c r="DN3" s="41"/>
      <c r="DO3" s="41"/>
      <c r="DP3" s="41"/>
      <c r="DQ3" s="41"/>
      <c r="DR3" s="41"/>
      <c r="DS3" s="41"/>
      <c r="DT3" s="41"/>
      <c r="DU3" s="41"/>
      <c r="DV3" s="41"/>
      <c r="DW3" s="41"/>
      <c r="DX3" s="41"/>
      <c r="DY3" s="41"/>
      <c r="DZ3" s="41"/>
      <c r="EA3" s="41"/>
      <c r="EB3" s="41"/>
      <c r="EC3" s="41"/>
      <c r="ED3" s="41"/>
      <c r="EE3" s="41"/>
      <c r="EF3" s="41"/>
      <c r="EG3" s="41"/>
    </row>
    <row r="4" spans="1:156" ht="18">
      <c r="A4" s="5">
        <v>3</v>
      </c>
      <c r="B4" s="16" t="s">
        <v>8</v>
      </c>
      <c r="C4" s="79">
        <v>0.5</v>
      </c>
      <c r="D4" s="80">
        <v>0</v>
      </c>
      <c r="E4" s="80">
        <v>0.5</v>
      </c>
      <c r="F4" s="71" t="s">
        <v>69</v>
      </c>
      <c r="G4" s="71" t="s">
        <v>69</v>
      </c>
      <c r="H4" s="71" t="s">
        <v>69</v>
      </c>
      <c r="I4" s="71" t="s">
        <v>69</v>
      </c>
      <c r="J4" s="71" t="s">
        <v>69</v>
      </c>
      <c r="K4" s="71" t="s">
        <v>69</v>
      </c>
      <c r="L4" s="71" t="s">
        <v>69</v>
      </c>
      <c r="M4" s="81" t="s">
        <v>69</v>
      </c>
      <c r="N4" s="71" t="s">
        <v>69</v>
      </c>
      <c r="O4" s="71" t="s">
        <v>69</v>
      </c>
      <c r="P4" s="84" t="s">
        <v>73</v>
      </c>
      <c r="Q4" s="71" t="s">
        <v>69</v>
      </c>
      <c r="R4" s="71" t="s">
        <v>69</v>
      </c>
      <c r="S4" s="77" t="s">
        <v>71</v>
      </c>
      <c r="T4" s="71" t="s">
        <v>69</v>
      </c>
      <c r="U4" s="75" t="s">
        <v>69</v>
      </c>
      <c r="V4" s="71" t="s">
        <v>69</v>
      </c>
      <c r="W4" s="71" t="s">
        <v>69</v>
      </c>
      <c r="X4" s="71" t="s">
        <v>69</v>
      </c>
      <c r="Y4" s="71" t="s">
        <v>69</v>
      </c>
      <c r="Z4" s="71" t="s">
        <v>69</v>
      </c>
      <c r="AA4" s="71" t="s">
        <v>69</v>
      </c>
      <c r="AB4" s="75" t="s">
        <v>69</v>
      </c>
      <c r="AC4" s="75" t="s">
        <v>69</v>
      </c>
      <c r="AD4" s="75" t="s">
        <v>69</v>
      </c>
      <c r="AE4" s="75" t="s">
        <v>69</v>
      </c>
      <c r="AF4" s="71" t="s">
        <v>69</v>
      </c>
      <c r="AG4" s="71" t="s">
        <v>69</v>
      </c>
      <c r="AH4" s="71" t="s">
        <v>69</v>
      </c>
      <c r="AI4" s="75" t="s">
        <v>69</v>
      </c>
      <c r="AJ4" s="75" t="s">
        <v>69</v>
      </c>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1"/>
      <c r="CS4" s="41"/>
      <c r="CT4" s="41"/>
      <c r="CU4" s="41"/>
      <c r="CV4" s="41"/>
      <c r="CW4" s="41"/>
      <c r="CX4" s="41"/>
      <c r="CY4" s="41"/>
      <c r="CZ4" s="41"/>
      <c r="DA4" s="41"/>
      <c r="DB4" s="41"/>
      <c r="DC4" s="41"/>
      <c r="DD4" s="41"/>
      <c r="DE4" s="41"/>
      <c r="DF4" s="41"/>
      <c r="DG4" s="41"/>
      <c r="DH4" s="41"/>
      <c r="DI4" s="41"/>
      <c r="DJ4" s="41"/>
      <c r="DK4" s="41"/>
      <c r="DL4" s="41"/>
      <c r="DM4" s="41"/>
      <c r="DN4" s="41"/>
      <c r="DO4" s="41"/>
      <c r="DP4" s="41"/>
      <c r="DQ4" s="41"/>
      <c r="DR4" s="41"/>
      <c r="DS4" s="41"/>
      <c r="DT4" s="41"/>
      <c r="DU4" s="41"/>
      <c r="DV4" s="41"/>
      <c r="DW4" s="41"/>
      <c r="DX4" s="41"/>
      <c r="DY4" s="41"/>
      <c r="DZ4" s="41"/>
      <c r="EA4" s="41"/>
      <c r="EB4" s="41"/>
      <c r="EC4" s="41"/>
      <c r="ED4" s="41"/>
      <c r="EE4" s="41"/>
      <c r="EF4" s="41"/>
      <c r="EG4" s="41"/>
    </row>
    <row r="5" spans="1:156" ht="18">
      <c r="A5" s="5">
        <v>4</v>
      </c>
      <c r="B5" s="16" t="s">
        <v>7</v>
      </c>
      <c r="C5" s="79">
        <v>5</v>
      </c>
      <c r="D5" s="80">
        <v>0</v>
      </c>
      <c r="E5" s="80">
        <v>5</v>
      </c>
      <c r="F5" s="71" t="s">
        <v>69</v>
      </c>
      <c r="G5" s="71" t="s">
        <v>69</v>
      </c>
      <c r="H5" s="85" t="s">
        <v>74</v>
      </c>
      <c r="I5" s="71" t="s">
        <v>69</v>
      </c>
      <c r="J5" s="71" t="s">
        <v>69</v>
      </c>
      <c r="K5" s="71" t="s">
        <v>69</v>
      </c>
      <c r="L5" s="71" t="s">
        <v>69</v>
      </c>
      <c r="M5" s="81" t="s">
        <v>69</v>
      </c>
      <c r="N5" s="71" t="s">
        <v>69</v>
      </c>
      <c r="O5" s="71" t="s">
        <v>69</v>
      </c>
      <c r="P5" s="71" t="s">
        <v>69</v>
      </c>
      <c r="Q5" s="71" t="s">
        <v>69</v>
      </c>
      <c r="R5" s="71" t="s">
        <v>69</v>
      </c>
      <c r="S5" s="77" t="s">
        <v>71</v>
      </c>
      <c r="T5" s="71" t="s">
        <v>69</v>
      </c>
      <c r="U5" s="75" t="s">
        <v>69</v>
      </c>
      <c r="V5" s="71" t="s">
        <v>69</v>
      </c>
      <c r="W5" s="71" t="s">
        <v>69</v>
      </c>
      <c r="X5" s="71" t="s">
        <v>69</v>
      </c>
      <c r="Y5" s="71" t="s">
        <v>69</v>
      </c>
      <c r="Z5" s="71" t="s">
        <v>69</v>
      </c>
      <c r="AA5" s="71" t="s">
        <v>69</v>
      </c>
      <c r="AB5" s="75" t="s">
        <v>69</v>
      </c>
      <c r="AC5" s="82" t="s">
        <v>72</v>
      </c>
      <c r="AD5" s="82" t="s">
        <v>72</v>
      </c>
      <c r="AE5" s="82" t="s">
        <v>72</v>
      </c>
      <c r="AF5" s="82" t="s">
        <v>72</v>
      </c>
      <c r="AG5" s="82" t="s">
        <v>72</v>
      </c>
      <c r="AH5" s="71" t="s">
        <v>69</v>
      </c>
      <c r="AI5" s="75" t="s">
        <v>69</v>
      </c>
      <c r="AJ5" s="86" t="s">
        <v>69</v>
      </c>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row>
    <row r="6" spans="1:156" ht="18">
      <c r="A6" s="5">
        <v>5</v>
      </c>
      <c r="B6" s="17" t="s">
        <v>9</v>
      </c>
      <c r="C6" s="79">
        <v>1</v>
      </c>
      <c r="D6" s="80">
        <v>1</v>
      </c>
      <c r="E6" s="80">
        <v>2</v>
      </c>
      <c r="F6" s="71" t="s">
        <v>69</v>
      </c>
      <c r="G6" s="71" t="s">
        <v>69</v>
      </c>
      <c r="H6" s="66" t="s">
        <v>72</v>
      </c>
      <c r="I6" s="71" t="s">
        <v>69</v>
      </c>
      <c r="J6" s="71" t="s">
        <v>69</v>
      </c>
      <c r="K6" s="71" t="s">
        <v>69</v>
      </c>
      <c r="L6" s="71" t="s">
        <v>69</v>
      </c>
      <c r="M6" s="81" t="s">
        <v>69</v>
      </c>
      <c r="N6" s="71" t="s">
        <v>69</v>
      </c>
      <c r="O6" s="71" t="s">
        <v>69</v>
      </c>
      <c r="P6" s="71" t="s">
        <v>69</v>
      </c>
      <c r="Q6" s="71" t="s">
        <v>69</v>
      </c>
      <c r="R6" s="71" t="s">
        <v>69</v>
      </c>
      <c r="S6" s="77" t="s">
        <v>71</v>
      </c>
      <c r="T6" s="71" t="s">
        <v>69</v>
      </c>
      <c r="U6" s="75" t="s">
        <v>69</v>
      </c>
      <c r="V6" s="71" t="s">
        <v>69</v>
      </c>
      <c r="W6" s="71" t="s">
        <v>69</v>
      </c>
      <c r="X6" s="71" t="s">
        <v>69</v>
      </c>
      <c r="Y6" s="71" t="s">
        <v>69</v>
      </c>
      <c r="Z6" s="71" t="s">
        <v>69</v>
      </c>
      <c r="AA6" s="71" t="s">
        <v>69</v>
      </c>
      <c r="AB6" s="75" t="s">
        <v>69</v>
      </c>
      <c r="AC6" s="71" t="s">
        <v>70</v>
      </c>
      <c r="AD6" s="71" t="s">
        <v>70</v>
      </c>
      <c r="AE6" s="82" t="s">
        <v>72</v>
      </c>
      <c r="AF6" s="71" t="s">
        <v>69</v>
      </c>
      <c r="AG6" s="71" t="s">
        <v>69</v>
      </c>
      <c r="AH6" s="71" t="s">
        <v>69</v>
      </c>
      <c r="AI6" s="75" t="s">
        <v>69</v>
      </c>
      <c r="AJ6" s="83" t="s">
        <v>71</v>
      </c>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c r="CD6" s="41"/>
      <c r="CE6" s="41"/>
      <c r="CF6" s="41"/>
      <c r="CG6" s="41"/>
      <c r="CH6" s="41"/>
      <c r="CI6" s="41"/>
      <c r="CJ6" s="41"/>
      <c r="CK6" s="41"/>
      <c r="CL6" s="41"/>
      <c r="CM6" s="41"/>
      <c r="CN6" s="41"/>
      <c r="CO6" s="41"/>
      <c r="CP6" s="41"/>
      <c r="CQ6" s="41"/>
      <c r="CR6" s="41"/>
      <c r="CS6" s="41"/>
      <c r="CT6" s="41"/>
      <c r="CU6" s="41"/>
      <c r="CV6" s="41"/>
      <c r="CW6" s="41"/>
      <c r="CX6" s="41"/>
      <c r="CY6" s="41"/>
      <c r="CZ6" s="41"/>
      <c r="DA6" s="41"/>
      <c r="DB6" s="41"/>
      <c r="DC6" s="41"/>
      <c r="DD6" s="41"/>
      <c r="DE6" s="41"/>
      <c r="DF6" s="41"/>
      <c r="DG6" s="41"/>
      <c r="DH6" s="41"/>
      <c r="DI6" s="41"/>
      <c r="DJ6" s="41"/>
      <c r="DK6" s="41"/>
      <c r="DL6" s="41"/>
      <c r="DM6" s="41"/>
      <c r="DN6" s="41"/>
      <c r="DO6" s="41"/>
      <c r="DP6" s="41"/>
      <c r="DQ6" s="41"/>
      <c r="DR6" s="41"/>
      <c r="DS6" s="41"/>
      <c r="DT6" s="41"/>
      <c r="DU6" s="41"/>
      <c r="DV6" s="41"/>
      <c r="DW6" s="41"/>
      <c r="DX6" s="41"/>
      <c r="DY6" s="41"/>
      <c r="DZ6" s="41"/>
      <c r="EA6" s="41"/>
      <c r="EB6" s="41"/>
      <c r="EC6" s="41"/>
      <c r="ED6" s="41"/>
      <c r="EE6" s="41"/>
      <c r="EF6" s="41"/>
      <c r="EG6" s="41"/>
    </row>
    <row r="7" spans="1:156" ht="18">
      <c r="A7" s="5">
        <v>6</v>
      </c>
      <c r="B7" s="16" t="s">
        <v>10</v>
      </c>
      <c r="C7" s="79">
        <v>1</v>
      </c>
      <c r="D7" s="80">
        <v>0</v>
      </c>
      <c r="E7" s="87">
        <f>AK7</f>
        <v>1</v>
      </c>
      <c r="F7" s="71" t="s">
        <v>69</v>
      </c>
      <c r="G7" s="71" t="s">
        <v>69</v>
      </c>
      <c r="H7" s="71" t="s">
        <v>69</v>
      </c>
      <c r="I7" s="71" t="s">
        <v>69</v>
      </c>
      <c r="J7" s="71" t="s">
        <v>69</v>
      </c>
      <c r="K7" s="71" t="s">
        <v>69</v>
      </c>
      <c r="L7" s="71" t="s">
        <v>69</v>
      </c>
      <c r="M7" s="81" t="s">
        <v>69</v>
      </c>
      <c r="N7" s="71" t="s">
        <v>69</v>
      </c>
      <c r="O7" s="71" t="s">
        <v>69</v>
      </c>
      <c r="P7" s="71" t="s">
        <v>69</v>
      </c>
      <c r="Q7" s="71" t="s">
        <v>69</v>
      </c>
      <c r="R7" s="71" t="s">
        <v>69</v>
      </c>
      <c r="S7" s="77" t="s">
        <v>71</v>
      </c>
      <c r="T7" s="71" t="s">
        <v>69</v>
      </c>
      <c r="U7" s="75" t="s">
        <v>69</v>
      </c>
      <c r="V7" s="71" t="s">
        <v>69</v>
      </c>
      <c r="W7" s="71" t="s">
        <v>69</v>
      </c>
      <c r="X7" s="71" t="s">
        <v>69</v>
      </c>
      <c r="Y7" s="71" t="s">
        <v>69</v>
      </c>
      <c r="Z7" s="88" t="s">
        <v>72</v>
      </c>
      <c r="AA7" s="71" t="s">
        <v>69</v>
      </c>
      <c r="AB7" s="75" t="s">
        <v>69</v>
      </c>
      <c r="AC7" s="75" t="s">
        <v>69</v>
      </c>
      <c r="AD7" s="71" t="s">
        <v>70</v>
      </c>
      <c r="AE7" s="71" t="s">
        <v>69</v>
      </c>
      <c r="AF7" s="71" t="s">
        <v>69</v>
      </c>
      <c r="AG7" s="71" t="s">
        <v>69</v>
      </c>
      <c r="AH7" s="71" t="s">
        <v>69</v>
      </c>
      <c r="AI7" s="75" t="s">
        <v>69</v>
      </c>
      <c r="AJ7" s="71" t="s">
        <v>69</v>
      </c>
      <c r="AK7" s="41">
        <v>1</v>
      </c>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1"/>
      <c r="CO7" s="41"/>
      <c r="CP7" s="41"/>
      <c r="CQ7" s="41"/>
      <c r="CR7" s="41"/>
      <c r="CS7" s="41"/>
      <c r="CT7" s="41"/>
      <c r="CU7" s="41"/>
      <c r="CV7" s="41"/>
      <c r="CW7" s="41"/>
      <c r="CX7" s="41"/>
      <c r="CY7" s="41"/>
      <c r="CZ7" s="41"/>
      <c r="DA7" s="41"/>
      <c r="DB7" s="41"/>
      <c r="DC7" s="41"/>
      <c r="DD7" s="41"/>
      <c r="DE7" s="41"/>
      <c r="DF7" s="41"/>
      <c r="DG7" s="41"/>
      <c r="DH7" s="41"/>
      <c r="DI7" s="41"/>
      <c r="DJ7" s="41"/>
      <c r="DK7" s="41"/>
      <c r="DL7" s="41"/>
      <c r="DM7" s="41"/>
      <c r="DN7" s="41"/>
      <c r="DO7" s="41"/>
      <c r="DP7" s="41"/>
      <c r="DQ7" s="41"/>
      <c r="DR7" s="41"/>
      <c r="DS7" s="41"/>
      <c r="DT7" s="41"/>
      <c r="DU7" s="41"/>
      <c r="DV7" s="41"/>
      <c r="DW7" s="41"/>
      <c r="DX7" s="41"/>
      <c r="DY7" s="41"/>
      <c r="DZ7" s="41"/>
      <c r="EA7" s="41"/>
      <c r="EB7" s="41"/>
      <c r="EC7" s="41"/>
      <c r="ED7" s="41"/>
      <c r="EE7" s="41"/>
      <c r="EF7" s="41"/>
      <c r="EG7" s="41"/>
    </row>
    <row r="8" spans="1:156" ht="18">
      <c r="A8" s="5">
        <v>7</v>
      </c>
      <c r="B8" s="16" t="s">
        <v>11</v>
      </c>
      <c r="C8" s="79">
        <v>5</v>
      </c>
      <c r="D8" s="80">
        <v>0</v>
      </c>
      <c r="E8" s="80">
        <v>5</v>
      </c>
      <c r="F8" s="66" t="s">
        <v>72</v>
      </c>
      <c r="G8" s="71" t="s">
        <v>69</v>
      </c>
      <c r="H8" s="71" t="s">
        <v>69</v>
      </c>
      <c r="I8" s="71" t="s">
        <v>69</v>
      </c>
      <c r="J8" s="71" t="s">
        <v>69</v>
      </c>
      <c r="K8" s="71" t="s">
        <v>69</v>
      </c>
      <c r="L8" s="71" t="s">
        <v>69</v>
      </c>
      <c r="M8" s="81" t="s">
        <v>69</v>
      </c>
      <c r="N8" s="71" t="s">
        <v>69</v>
      </c>
      <c r="O8" s="71" t="s">
        <v>69</v>
      </c>
      <c r="P8" s="71" t="s">
        <v>69</v>
      </c>
      <c r="Q8" s="71" t="s">
        <v>69</v>
      </c>
      <c r="R8" s="71" t="s">
        <v>69</v>
      </c>
      <c r="S8" s="77" t="s">
        <v>71</v>
      </c>
      <c r="T8" s="71" t="s">
        <v>69</v>
      </c>
      <c r="U8" s="75" t="s">
        <v>69</v>
      </c>
      <c r="V8" s="71" t="s">
        <v>69</v>
      </c>
      <c r="W8" s="71" t="s">
        <v>69</v>
      </c>
      <c r="X8" s="71" t="s">
        <v>69</v>
      </c>
      <c r="Y8" s="71" t="s">
        <v>69</v>
      </c>
      <c r="Z8" s="71" t="s">
        <v>69</v>
      </c>
      <c r="AA8" s="71" t="s">
        <v>69</v>
      </c>
      <c r="AB8" s="75" t="s">
        <v>69</v>
      </c>
      <c r="AC8" s="75" t="s">
        <v>69</v>
      </c>
      <c r="AD8" s="75" t="s">
        <v>69</v>
      </c>
      <c r="AE8" s="82" t="s">
        <v>72</v>
      </c>
      <c r="AF8" s="71" t="s">
        <v>69</v>
      </c>
      <c r="AG8" s="82" t="s">
        <v>72</v>
      </c>
      <c r="AH8" s="82" t="s">
        <v>72</v>
      </c>
      <c r="AI8" s="75" t="s">
        <v>69</v>
      </c>
      <c r="AJ8" s="82" t="s">
        <v>72</v>
      </c>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row>
    <row r="9" spans="1:156" ht="18">
      <c r="A9" s="5">
        <v>8</v>
      </c>
      <c r="B9" s="16" t="s">
        <v>12</v>
      </c>
      <c r="C9" s="79">
        <v>2</v>
      </c>
      <c r="D9" s="80">
        <v>0</v>
      </c>
      <c r="E9" s="80">
        <v>0</v>
      </c>
      <c r="F9" s="71" t="s">
        <v>69</v>
      </c>
      <c r="G9" s="71" t="s">
        <v>69</v>
      </c>
      <c r="H9" s="71" t="s">
        <v>69</v>
      </c>
      <c r="I9" s="71" t="s">
        <v>69</v>
      </c>
      <c r="J9" s="71" t="s">
        <v>69</v>
      </c>
      <c r="K9" s="71" t="s">
        <v>69</v>
      </c>
      <c r="L9" s="71" t="s">
        <v>69</v>
      </c>
      <c r="M9" s="81" t="s">
        <v>69</v>
      </c>
      <c r="N9" s="71" t="s">
        <v>69</v>
      </c>
      <c r="O9" s="71" t="s">
        <v>69</v>
      </c>
      <c r="P9" s="71" t="s">
        <v>69</v>
      </c>
      <c r="Q9" s="71" t="s">
        <v>69</v>
      </c>
      <c r="R9" s="71" t="s">
        <v>69</v>
      </c>
      <c r="S9" s="89" t="s">
        <v>71</v>
      </c>
      <c r="T9" s="82" t="s">
        <v>72</v>
      </c>
      <c r="U9" s="90" t="s">
        <v>72</v>
      </c>
      <c r="V9" s="71" t="s">
        <v>69</v>
      </c>
      <c r="W9" s="71" t="s">
        <v>69</v>
      </c>
      <c r="X9" s="71" t="s">
        <v>69</v>
      </c>
      <c r="Y9" s="71" t="s">
        <v>69</v>
      </c>
      <c r="Z9" s="71" t="s">
        <v>69</v>
      </c>
      <c r="AA9" s="71" t="s">
        <v>69</v>
      </c>
      <c r="AB9" s="75" t="s">
        <v>69</v>
      </c>
      <c r="AC9" s="75" t="s">
        <v>69</v>
      </c>
      <c r="AD9" s="75" t="s">
        <v>69</v>
      </c>
      <c r="AE9" s="75" t="s">
        <v>69</v>
      </c>
      <c r="AF9" s="75" t="s">
        <v>69</v>
      </c>
      <c r="AG9" s="75" t="s">
        <v>69</v>
      </c>
      <c r="AH9" s="75" t="s">
        <v>69</v>
      </c>
      <c r="AI9" s="75" t="s">
        <v>69</v>
      </c>
      <c r="AJ9" s="75" t="s">
        <v>69</v>
      </c>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row>
    <row r="10" spans="1:156" ht="18">
      <c r="A10" s="5">
        <v>9</v>
      </c>
      <c r="B10" s="16" t="s">
        <v>13</v>
      </c>
      <c r="C10" s="79">
        <v>1</v>
      </c>
      <c r="D10" s="80">
        <v>0</v>
      </c>
      <c r="E10" s="80">
        <v>1</v>
      </c>
      <c r="F10" s="71" t="s">
        <v>69</v>
      </c>
      <c r="G10" s="71" t="s">
        <v>69</v>
      </c>
      <c r="H10" s="71" t="s">
        <v>69</v>
      </c>
      <c r="I10" s="71" t="s">
        <v>69</v>
      </c>
      <c r="J10" s="71" t="s">
        <v>69</v>
      </c>
      <c r="K10" s="71" t="s">
        <v>69</v>
      </c>
      <c r="L10" s="71" t="s">
        <v>69</v>
      </c>
      <c r="M10" s="81" t="s">
        <v>69</v>
      </c>
      <c r="N10" s="71" t="s">
        <v>69</v>
      </c>
      <c r="O10" s="71" t="s">
        <v>69</v>
      </c>
      <c r="P10" s="88" t="s">
        <v>72</v>
      </c>
      <c r="Q10" s="71" t="s">
        <v>69</v>
      </c>
      <c r="R10" s="71" t="s">
        <v>69</v>
      </c>
      <c r="S10" s="89" t="s">
        <v>71</v>
      </c>
      <c r="T10" s="71" t="s">
        <v>69</v>
      </c>
      <c r="U10" s="75" t="s">
        <v>69</v>
      </c>
      <c r="V10" s="71" t="s">
        <v>69</v>
      </c>
      <c r="W10" s="71" t="s">
        <v>69</v>
      </c>
      <c r="X10" s="71" t="s">
        <v>69</v>
      </c>
      <c r="Y10" s="71" t="s">
        <v>69</v>
      </c>
      <c r="Z10" s="71" t="s">
        <v>69</v>
      </c>
      <c r="AA10" s="71" t="s">
        <v>69</v>
      </c>
      <c r="AB10" s="75" t="s">
        <v>69</v>
      </c>
      <c r="AC10" s="75" t="s">
        <v>69</v>
      </c>
      <c r="AD10" s="75" t="s">
        <v>69</v>
      </c>
      <c r="AE10" s="71" t="s">
        <v>69</v>
      </c>
      <c r="AF10" s="71" t="s">
        <v>69</v>
      </c>
      <c r="AG10" s="71" t="s">
        <v>69</v>
      </c>
      <c r="AH10" s="71" t="s">
        <v>69</v>
      </c>
      <c r="AI10" s="75" t="s">
        <v>69</v>
      </c>
      <c r="AJ10" s="71" t="s">
        <v>69</v>
      </c>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row>
    <row r="11" spans="1:156" ht="18">
      <c r="A11" s="5">
        <v>10</v>
      </c>
      <c r="B11" s="16" t="s">
        <v>14</v>
      </c>
      <c r="C11" s="79">
        <v>1.5</v>
      </c>
      <c r="D11" s="80">
        <v>0</v>
      </c>
      <c r="E11" s="80">
        <v>1.5</v>
      </c>
      <c r="F11" s="71" t="s">
        <v>69</v>
      </c>
      <c r="G11" s="71" t="s">
        <v>69</v>
      </c>
      <c r="H11" s="71" t="s">
        <v>69</v>
      </c>
      <c r="I11" s="71" t="s">
        <v>69</v>
      </c>
      <c r="J11" s="66" t="s">
        <v>72</v>
      </c>
      <c r="K11" s="71" t="s">
        <v>69</v>
      </c>
      <c r="L11" s="71" t="s">
        <v>69</v>
      </c>
      <c r="M11" s="81" t="s">
        <v>69</v>
      </c>
      <c r="N11" s="71" t="s">
        <v>69</v>
      </c>
      <c r="O11" s="71" t="s">
        <v>69</v>
      </c>
      <c r="P11" s="71" t="s">
        <v>69</v>
      </c>
      <c r="Q11" s="71" t="s">
        <v>69</v>
      </c>
      <c r="R11" s="71" t="s">
        <v>69</v>
      </c>
      <c r="S11" s="89" t="s">
        <v>71</v>
      </c>
      <c r="T11" s="71" t="s">
        <v>69</v>
      </c>
      <c r="U11" s="75" t="s">
        <v>69</v>
      </c>
      <c r="V11" s="71" t="s">
        <v>69</v>
      </c>
      <c r="W11" s="71" t="s">
        <v>69</v>
      </c>
      <c r="X11" s="71" t="s">
        <v>69</v>
      </c>
      <c r="Y11" s="71" t="s">
        <v>69</v>
      </c>
      <c r="Z11" s="71" t="s">
        <v>69</v>
      </c>
      <c r="AA11" s="71" t="s">
        <v>69</v>
      </c>
      <c r="AB11" s="75" t="s">
        <v>69</v>
      </c>
      <c r="AC11" s="75" t="s">
        <v>69</v>
      </c>
      <c r="AD11" s="75" t="s">
        <v>69</v>
      </c>
      <c r="AE11" s="75" t="s">
        <v>69</v>
      </c>
      <c r="AF11" s="91" t="s">
        <v>73</v>
      </c>
      <c r="AG11" s="71" t="s">
        <v>69</v>
      </c>
      <c r="AH11" s="71" t="s">
        <v>69</v>
      </c>
      <c r="AI11" s="75" t="s">
        <v>69</v>
      </c>
      <c r="AJ11" s="75" t="s">
        <v>69</v>
      </c>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row>
    <row r="12" spans="1:156" ht="18">
      <c r="A12" s="5">
        <v>11</v>
      </c>
      <c r="B12" s="17" t="s">
        <v>15</v>
      </c>
      <c r="C12" s="79">
        <v>1</v>
      </c>
      <c r="D12" s="80">
        <v>1</v>
      </c>
      <c r="E12" s="80">
        <v>2</v>
      </c>
      <c r="F12" s="66" t="s">
        <v>72</v>
      </c>
      <c r="G12" s="71" t="s">
        <v>69</v>
      </c>
      <c r="H12" s="71" t="s">
        <v>69</v>
      </c>
      <c r="I12" s="71" t="s">
        <v>69</v>
      </c>
      <c r="J12" s="71" t="s">
        <v>69</v>
      </c>
      <c r="K12" s="71" t="s">
        <v>69</v>
      </c>
      <c r="L12" s="71" t="s">
        <v>69</v>
      </c>
      <c r="M12" s="81" t="s">
        <v>69</v>
      </c>
      <c r="N12" s="71" t="s">
        <v>69</v>
      </c>
      <c r="O12" s="71" t="s">
        <v>69</v>
      </c>
      <c r="P12" s="71" t="s">
        <v>69</v>
      </c>
      <c r="Q12" s="71" t="s">
        <v>69</v>
      </c>
      <c r="R12" s="71" t="s">
        <v>69</v>
      </c>
      <c r="S12" s="71" t="s">
        <v>69</v>
      </c>
      <c r="T12" s="71" t="s">
        <v>69</v>
      </c>
      <c r="U12" s="75" t="s">
        <v>69</v>
      </c>
      <c r="V12" s="71" t="s">
        <v>69</v>
      </c>
      <c r="W12" s="71" t="s">
        <v>69</v>
      </c>
      <c r="X12" s="71" t="s">
        <v>69</v>
      </c>
      <c r="Y12" s="71" t="s">
        <v>69</v>
      </c>
      <c r="Z12" s="71" t="s">
        <v>69</v>
      </c>
      <c r="AA12" s="88" t="s">
        <v>72</v>
      </c>
      <c r="AB12" s="75" t="s">
        <v>69</v>
      </c>
      <c r="AC12" s="75" t="s">
        <v>69</v>
      </c>
      <c r="AD12" s="75" t="s">
        <v>69</v>
      </c>
      <c r="AE12" s="75" t="s">
        <v>69</v>
      </c>
      <c r="AF12" s="75" t="s">
        <v>69</v>
      </c>
      <c r="AG12" s="75" t="s">
        <v>69</v>
      </c>
      <c r="AH12" s="75" t="s">
        <v>69</v>
      </c>
      <c r="AI12" s="75" t="s">
        <v>69</v>
      </c>
      <c r="AJ12" s="75" t="s">
        <v>69</v>
      </c>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row>
    <row r="13" spans="1:156" ht="18">
      <c r="A13" s="5">
        <v>12</v>
      </c>
      <c r="B13" s="16" t="s">
        <v>16</v>
      </c>
      <c r="C13" s="79">
        <v>4</v>
      </c>
      <c r="D13" s="80">
        <v>0</v>
      </c>
      <c r="E13" s="80">
        <v>4</v>
      </c>
      <c r="F13" s="71" t="s">
        <v>69</v>
      </c>
      <c r="G13" s="71" t="s">
        <v>69</v>
      </c>
      <c r="H13" s="71" t="s">
        <v>69</v>
      </c>
      <c r="I13" s="71" t="s">
        <v>69</v>
      </c>
      <c r="J13" s="71" t="s">
        <v>69</v>
      </c>
      <c r="K13" s="71" t="s">
        <v>69</v>
      </c>
      <c r="L13" s="71" t="s">
        <v>69</v>
      </c>
      <c r="M13" s="81" t="s">
        <v>69</v>
      </c>
      <c r="N13" s="71" t="s">
        <v>69</v>
      </c>
      <c r="O13" s="71" t="s">
        <v>69</v>
      </c>
      <c r="P13" s="71" t="s">
        <v>69</v>
      </c>
      <c r="Q13" s="71" t="s">
        <v>69</v>
      </c>
      <c r="R13" s="71" t="s">
        <v>69</v>
      </c>
      <c r="S13" s="89" t="s">
        <v>71</v>
      </c>
      <c r="T13" s="71" t="s">
        <v>69</v>
      </c>
      <c r="U13" s="75" t="s">
        <v>69</v>
      </c>
      <c r="V13" s="88" t="s">
        <v>72</v>
      </c>
      <c r="W13" s="88" t="s">
        <v>72</v>
      </c>
      <c r="X13" s="88" t="s">
        <v>72</v>
      </c>
      <c r="Y13" s="88" t="s">
        <v>72</v>
      </c>
      <c r="Z13" s="71" t="s">
        <v>69</v>
      </c>
      <c r="AA13" s="71" t="s">
        <v>69</v>
      </c>
      <c r="AB13" s="75" t="s">
        <v>69</v>
      </c>
      <c r="AC13" s="75" t="s">
        <v>69</v>
      </c>
      <c r="AD13" s="75" t="s">
        <v>69</v>
      </c>
      <c r="AE13" s="75" t="s">
        <v>69</v>
      </c>
      <c r="AF13" s="75" t="s">
        <v>69</v>
      </c>
      <c r="AG13" s="75" t="s">
        <v>69</v>
      </c>
      <c r="AH13" s="75" t="s">
        <v>69</v>
      </c>
      <c r="AI13" s="75" t="s">
        <v>69</v>
      </c>
      <c r="AJ13" s="75" t="s">
        <v>69</v>
      </c>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row>
    <row r="14" spans="1:156" ht="18">
      <c r="A14" s="5">
        <v>13</v>
      </c>
      <c r="B14" s="16" t="s">
        <v>17</v>
      </c>
      <c r="C14" s="79">
        <v>1</v>
      </c>
      <c r="D14" s="80">
        <f t="shared" ref="D14:D61" si="0">E14-C14</f>
        <v>0</v>
      </c>
      <c r="E14" s="80">
        <v>1</v>
      </c>
      <c r="F14" s="71" t="s">
        <v>69</v>
      </c>
      <c r="G14" s="71" t="s">
        <v>69</v>
      </c>
      <c r="H14" s="71" t="s">
        <v>69</v>
      </c>
      <c r="I14" s="71" t="s">
        <v>69</v>
      </c>
      <c r="J14" s="71" t="s">
        <v>69</v>
      </c>
      <c r="K14" s="71" t="s">
        <v>69</v>
      </c>
      <c r="L14" s="71" t="s">
        <v>69</v>
      </c>
      <c r="M14" s="81" t="s">
        <v>69</v>
      </c>
      <c r="N14" s="71" t="s">
        <v>69</v>
      </c>
      <c r="O14" s="71" t="s">
        <v>69</v>
      </c>
      <c r="P14" s="71" t="s">
        <v>69</v>
      </c>
      <c r="Q14" s="71" t="s">
        <v>69</v>
      </c>
      <c r="R14" s="71" t="s">
        <v>69</v>
      </c>
      <c r="S14" s="71" t="s">
        <v>69</v>
      </c>
      <c r="T14" s="71" t="s">
        <v>69</v>
      </c>
      <c r="U14" s="75" t="s">
        <v>69</v>
      </c>
      <c r="V14" s="71" t="s">
        <v>69</v>
      </c>
      <c r="W14" s="71" t="s">
        <v>69</v>
      </c>
      <c r="X14" s="71" t="s">
        <v>69</v>
      </c>
      <c r="Y14" s="71" t="s">
        <v>69</v>
      </c>
      <c r="Z14" s="71" t="s">
        <v>69</v>
      </c>
      <c r="AA14" s="88" t="s">
        <v>72</v>
      </c>
      <c r="AB14" s="75" t="s">
        <v>69</v>
      </c>
      <c r="AC14" s="75" t="s">
        <v>69</v>
      </c>
      <c r="AD14" s="75" t="s">
        <v>69</v>
      </c>
      <c r="AE14" s="75" t="s">
        <v>69</v>
      </c>
      <c r="AF14" s="75" t="s">
        <v>69</v>
      </c>
      <c r="AG14" s="75" t="s">
        <v>69</v>
      </c>
      <c r="AH14" s="75" t="s">
        <v>69</v>
      </c>
      <c r="AI14" s="75" t="s">
        <v>69</v>
      </c>
      <c r="AJ14" s="75" t="s">
        <v>69</v>
      </c>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row>
    <row r="15" spans="1:156" ht="18">
      <c r="A15" s="5">
        <v>14</v>
      </c>
      <c r="B15" s="17" t="s">
        <v>75</v>
      </c>
      <c r="C15" s="92">
        <v>1.5</v>
      </c>
      <c r="D15" s="80">
        <f t="shared" si="0"/>
        <v>0</v>
      </c>
      <c r="E15" s="93">
        <v>1.5</v>
      </c>
      <c r="F15" s="94" t="s">
        <v>73</v>
      </c>
      <c r="G15" s="71" t="s">
        <v>69</v>
      </c>
      <c r="H15" s="71" t="s">
        <v>69</v>
      </c>
      <c r="I15" s="71" t="s">
        <v>69</v>
      </c>
      <c r="J15" s="66" t="s">
        <v>72</v>
      </c>
      <c r="K15" s="71" t="s">
        <v>69</v>
      </c>
      <c r="L15" s="71" t="s">
        <v>69</v>
      </c>
      <c r="M15" s="81" t="s">
        <v>69</v>
      </c>
      <c r="N15" s="71" t="s">
        <v>69</v>
      </c>
      <c r="O15" s="71" t="s">
        <v>69</v>
      </c>
      <c r="P15" s="71" t="s">
        <v>69</v>
      </c>
      <c r="Q15" s="71" t="s">
        <v>69</v>
      </c>
      <c r="R15" s="71" t="s">
        <v>69</v>
      </c>
      <c r="S15" s="89" t="s">
        <v>71</v>
      </c>
      <c r="T15" s="71" t="s">
        <v>69</v>
      </c>
      <c r="U15" s="75" t="s">
        <v>69</v>
      </c>
      <c r="V15" s="71" t="s">
        <v>69</v>
      </c>
      <c r="W15" s="71" t="s">
        <v>69</v>
      </c>
      <c r="X15" s="71" t="s">
        <v>69</v>
      </c>
      <c r="Y15" s="71" t="s">
        <v>69</v>
      </c>
      <c r="Z15" s="71" t="s">
        <v>69</v>
      </c>
      <c r="AA15" s="71" t="s">
        <v>69</v>
      </c>
      <c r="AB15" s="75" t="s">
        <v>69</v>
      </c>
      <c r="AC15" s="75" t="s">
        <v>69</v>
      </c>
      <c r="AD15" s="75" t="s">
        <v>69</v>
      </c>
      <c r="AE15" s="75" t="s">
        <v>69</v>
      </c>
      <c r="AF15" s="75" t="s">
        <v>69</v>
      </c>
      <c r="AG15" s="75" t="s">
        <v>69</v>
      </c>
      <c r="AH15" s="75" t="s">
        <v>69</v>
      </c>
      <c r="AI15" s="75" t="s">
        <v>69</v>
      </c>
      <c r="AJ15" s="95" t="s">
        <v>71</v>
      </c>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row>
    <row r="16" spans="1:156" ht="18">
      <c r="A16" s="5">
        <v>15</v>
      </c>
      <c r="B16" s="16" t="s">
        <v>19</v>
      </c>
      <c r="C16" s="79">
        <v>2.5</v>
      </c>
      <c r="D16" s="80">
        <f t="shared" si="0"/>
        <v>0.5</v>
      </c>
      <c r="E16" s="80">
        <v>3</v>
      </c>
      <c r="F16" s="71" t="s">
        <v>69</v>
      </c>
      <c r="G16" s="71" t="s">
        <v>69</v>
      </c>
      <c r="H16" s="71" t="s">
        <v>69</v>
      </c>
      <c r="I16" s="71" t="s">
        <v>69</v>
      </c>
      <c r="J16" s="71" t="s">
        <v>69</v>
      </c>
      <c r="K16" s="71" t="s">
        <v>69</v>
      </c>
      <c r="L16" s="71" t="s">
        <v>69</v>
      </c>
      <c r="M16" s="81" t="s">
        <v>69</v>
      </c>
      <c r="N16" s="71" t="s">
        <v>69</v>
      </c>
      <c r="O16" s="71" t="s">
        <v>69</v>
      </c>
      <c r="P16" s="71" t="s">
        <v>69</v>
      </c>
      <c r="Q16" s="71" t="s">
        <v>69</v>
      </c>
      <c r="R16" s="71" t="s">
        <v>69</v>
      </c>
      <c r="S16" s="89" t="s">
        <v>71</v>
      </c>
      <c r="T16" s="71" t="s">
        <v>69</v>
      </c>
      <c r="U16" s="75" t="s">
        <v>69</v>
      </c>
      <c r="V16" s="71" t="s">
        <v>69</v>
      </c>
      <c r="W16" s="71" t="s">
        <v>69</v>
      </c>
      <c r="X16" s="71" t="s">
        <v>69</v>
      </c>
      <c r="Y16" s="71" t="s">
        <v>69</v>
      </c>
      <c r="Z16" s="71" t="s">
        <v>69</v>
      </c>
      <c r="AA16" s="71" t="s">
        <v>69</v>
      </c>
      <c r="AB16" s="75" t="s">
        <v>69</v>
      </c>
      <c r="AC16" s="75" t="s">
        <v>69</v>
      </c>
      <c r="AD16" s="75" t="s">
        <v>69</v>
      </c>
      <c r="AE16" s="75" t="s">
        <v>69</v>
      </c>
      <c r="AF16" s="96" t="s">
        <v>72</v>
      </c>
      <c r="AG16" s="66" t="s">
        <v>72</v>
      </c>
      <c r="AH16" s="66" t="s">
        <v>72</v>
      </c>
      <c r="AI16" s="75" t="s">
        <v>69</v>
      </c>
      <c r="AJ16" s="95" t="s">
        <v>71</v>
      </c>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row>
    <row r="17" spans="1:137" ht="18">
      <c r="A17" s="5">
        <v>16</v>
      </c>
      <c r="B17" s="16" t="s">
        <v>20</v>
      </c>
      <c r="C17" s="79">
        <v>4</v>
      </c>
      <c r="D17" s="80">
        <f t="shared" si="0"/>
        <v>0</v>
      </c>
      <c r="E17" s="80">
        <v>4</v>
      </c>
      <c r="F17" s="71" t="s">
        <v>69</v>
      </c>
      <c r="G17" s="71" t="s">
        <v>69</v>
      </c>
      <c r="H17" s="71" t="s">
        <v>69</v>
      </c>
      <c r="I17" s="71" t="s">
        <v>69</v>
      </c>
      <c r="J17" s="71" t="s">
        <v>69</v>
      </c>
      <c r="K17" s="71" t="s">
        <v>69</v>
      </c>
      <c r="L17" s="66" t="s">
        <v>72</v>
      </c>
      <c r="M17" s="81" t="s">
        <v>70</v>
      </c>
      <c r="N17" s="71" t="s">
        <v>69</v>
      </c>
      <c r="O17" s="71" t="s">
        <v>69</v>
      </c>
      <c r="P17" s="71" t="s">
        <v>69</v>
      </c>
      <c r="Q17" s="71" t="s">
        <v>69</v>
      </c>
      <c r="R17" s="71" t="s">
        <v>69</v>
      </c>
      <c r="S17" s="89" t="s">
        <v>71</v>
      </c>
      <c r="T17" s="71" t="s">
        <v>69</v>
      </c>
      <c r="U17" s="75" t="s">
        <v>69</v>
      </c>
      <c r="V17" s="71" t="s">
        <v>69</v>
      </c>
      <c r="W17" s="88" t="s">
        <v>72</v>
      </c>
      <c r="X17" s="71" t="s">
        <v>69</v>
      </c>
      <c r="Y17" s="88" t="s">
        <v>72</v>
      </c>
      <c r="Z17" s="71" t="s">
        <v>69</v>
      </c>
      <c r="AA17" s="71" t="s">
        <v>69</v>
      </c>
      <c r="AB17" s="75" t="s">
        <v>69</v>
      </c>
      <c r="AC17" s="75" t="s">
        <v>69</v>
      </c>
      <c r="AD17" s="75" t="s">
        <v>69</v>
      </c>
      <c r="AE17" s="90" t="s">
        <v>72</v>
      </c>
      <c r="AF17" s="71" t="s">
        <v>69</v>
      </c>
      <c r="AG17" s="71" t="s">
        <v>69</v>
      </c>
      <c r="AH17" s="71" t="s">
        <v>69</v>
      </c>
      <c r="AI17" s="75" t="s">
        <v>69</v>
      </c>
      <c r="AJ17" s="95" t="s">
        <v>71</v>
      </c>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row>
    <row r="18" spans="1:137" ht="18">
      <c r="A18" s="5">
        <v>17</v>
      </c>
      <c r="B18" s="16" t="s">
        <v>21</v>
      </c>
      <c r="C18" s="79">
        <v>1</v>
      </c>
      <c r="D18" s="80">
        <f t="shared" si="0"/>
        <v>0</v>
      </c>
      <c r="E18" s="80">
        <v>1</v>
      </c>
      <c r="F18" s="71" t="s">
        <v>69</v>
      </c>
      <c r="G18" s="71" t="s">
        <v>69</v>
      </c>
      <c r="H18" s="71" t="s">
        <v>69</v>
      </c>
      <c r="I18" s="71" t="s">
        <v>69</v>
      </c>
      <c r="J18" s="71" t="s">
        <v>69</v>
      </c>
      <c r="K18" s="71" t="s">
        <v>69</v>
      </c>
      <c r="L18" s="71" t="s">
        <v>69</v>
      </c>
      <c r="M18" s="81" t="s">
        <v>69</v>
      </c>
      <c r="N18" s="71" t="s">
        <v>69</v>
      </c>
      <c r="O18" s="71" t="s">
        <v>69</v>
      </c>
      <c r="P18" s="71" t="s">
        <v>69</v>
      </c>
      <c r="Q18" s="71" t="s">
        <v>69</v>
      </c>
      <c r="R18" s="71" t="s">
        <v>69</v>
      </c>
      <c r="S18" s="89" t="s">
        <v>71</v>
      </c>
      <c r="T18" s="88" t="s">
        <v>72</v>
      </c>
      <c r="U18" s="75" t="s">
        <v>69</v>
      </c>
      <c r="V18" s="71" t="s">
        <v>69</v>
      </c>
      <c r="W18" s="71" t="s">
        <v>69</v>
      </c>
      <c r="X18" s="71" t="s">
        <v>69</v>
      </c>
      <c r="Y18" s="71" t="s">
        <v>69</v>
      </c>
      <c r="Z18" s="71" t="s">
        <v>69</v>
      </c>
      <c r="AA18" s="71" t="s">
        <v>69</v>
      </c>
      <c r="AB18" s="75" t="s">
        <v>69</v>
      </c>
      <c r="AC18" s="75" t="s">
        <v>69</v>
      </c>
      <c r="AD18" s="75" t="s">
        <v>69</v>
      </c>
      <c r="AE18" s="75" t="s">
        <v>69</v>
      </c>
      <c r="AF18" s="75" t="s">
        <v>69</v>
      </c>
      <c r="AG18" s="75" t="s">
        <v>69</v>
      </c>
      <c r="AH18" s="75" t="s">
        <v>69</v>
      </c>
      <c r="AI18" s="75" t="s">
        <v>69</v>
      </c>
      <c r="AJ18" s="95" t="s">
        <v>71</v>
      </c>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c r="CM18" s="41"/>
      <c r="CN18" s="41"/>
      <c r="CO18" s="41"/>
      <c r="CP18" s="41"/>
      <c r="CQ18" s="41"/>
      <c r="CR18" s="41"/>
      <c r="CS18" s="41"/>
      <c r="CT18" s="41"/>
      <c r="CU18" s="41"/>
      <c r="CV18" s="41"/>
      <c r="CW18" s="41"/>
      <c r="CX18" s="41"/>
      <c r="CY18" s="41"/>
      <c r="CZ18" s="41"/>
      <c r="DA18" s="41"/>
      <c r="DB18" s="41"/>
      <c r="DC18" s="41"/>
      <c r="DD18" s="41"/>
      <c r="DE18" s="41"/>
      <c r="DF18" s="41"/>
      <c r="DG18" s="41"/>
      <c r="DH18" s="41"/>
      <c r="DI18" s="41"/>
      <c r="DJ18" s="41"/>
      <c r="DK18" s="41"/>
      <c r="DL18" s="41"/>
      <c r="DM18" s="41"/>
      <c r="DN18" s="41"/>
      <c r="DO18" s="41"/>
      <c r="DP18" s="41"/>
      <c r="DQ18" s="41"/>
      <c r="DR18" s="41"/>
      <c r="DS18" s="41"/>
      <c r="DT18" s="41"/>
      <c r="DU18" s="41"/>
      <c r="DV18" s="41"/>
      <c r="DW18" s="41"/>
      <c r="DX18" s="41"/>
      <c r="DY18" s="41"/>
      <c r="DZ18" s="41"/>
      <c r="EA18" s="41"/>
      <c r="EB18" s="41"/>
      <c r="EC18" s="41"/>
      <c r="ED18" s="41"/>
      <c r="EE18" s="41"/>
      <c r="EF18" s="41"/>
      <c r="EG18" s="41"/>
    </row>
    <row r="19" spans="1:137" ht="18">
      <c r="A19" s="5">
        <v>18</v>
      </c>
      <c r="B19" s="16" t="s">
        <v>22</v>
      </c>
      <c r="C19" s="79">
        <v>1</v>
      </c>
      <c r="D19" s="80">
        <f t="shared" si="0"/>
        <v>0</v>
      </c>
      <c r="E19" s="80">
        <v>1</v>
      </c>
      <c r="F19" s="71" t="s">
        <v>69</v>
      </c>
      <c r="G19" s="71" t="s">
        <v>69</v>
      </c>
      <c r="H19" s="71" t="s">
        <v>69</v>
      </c>
      <c r="I19" s="71" t="s">
        <v>69</v>
      </c>
      <c r="J19" s="71" t="s">
        <v>69</v>
      </c>
      <c r="K19" s="71" t="s">
        <v>69</v>
      </c>
      <c r="L19" s="71" t="s">
        <v>69</v>
      </c>
      <c r="M19" s="81" t="s">
        <v>69</v>
      </c>
      <c r="N19" s="71" t="s">
        <v>69</v>
      </c>
      <c r="O19" s="71" t="s">
        <v>69</v>
      </c>
      <c r="P19" s="71" t="s">
        <v>69</v>
      </c>
      <c r="Q19" s="71" t="s">
        <v>69</v>
      </c>
      <c r="R19" s="71" t="s">
        <v>69</v>
      </c>
      <c r="S19" s="89" t="s">
        <v>71</v>
      </c>
      <c r="T19" s="71" t="s">
        <v>69</v>
      </c>
      <c r="U19" s="75" t="s">
        <v>69</v>
      </c>
      <c r="V19" s="71" t="s">
        <v>69</v>
      </c>
      <c r="W19" s="71" t="s">
        <v>69</v>
      </c>
      <c r="X19" s="71" t="s">
        <v>69</v>
      </c>
      <c r="Y19" s="71" t="s">
        <v>69</v>
      </c>
      <c r="Z19" s="71" t="s">
        <v>69</v>
      </c>
      <c r="AA19" s="71" t="s">
        <v>69</v>
      </c>
      <c r="AB19" s="75" t="s">
        <v>69</v>
      </c>
      <c r="AC19" s="75" t="s">
        <v>69</v>
      </c>
      <c r="AD19" s="75" t="s">
        <v>69</v>
      </c>
      <c r="AE19" s="75" t="s">
        <v>69</v>
      </c>
      <c r="AF19" s="75" t="s">
        <v>69</v>
      </c>
      <c r="AG19" s="75" t="s">
        <v>69</v>
      </c>
      <c r="AH19" s="75" t="s">
        <v>69</v>
      </c>
      <c r="AI19" s="75" t="s">
        <v>69</v>
      </c>
      <c r="AJ19" s="82" t="s">
        <v>72</v>
      </c>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c r="DC19" s="41"/>
      <c r="DD19" s="41"/>
      <c r="DE19" s="41"/>
      <c r="DF19" s="41"/>
      <c r="DG19" s="41"/>
      <c r="DH19" s="41"/>
      <c r="DI19" s="41"/>
      <c r="DJ19" s="41"/>
      <c r="DK19" s="41"/>
      <c r="DL19" s="41"/>
      <c r="DM19" s="41"/>
      <c r="DN19" s="41"/>
      <c r="DO19" s="41"/>
      <c r="DP19" s="41"/>
      <c r="DQ19" s="41"/>
      <c r="DR19" s="41"/>
      <c r="DS19" s="41"/>
      <c r="DT19" s="41"/>
      <c r="DU19" s="41"/>
      <c r="DV19" s="41"/>
      <c r="DW19" s="41"/>
      <c r="DX19" s="41"/>
      <c r="DY19" s="41"/>
      <c r="DZ19" s="41"/>
      <c r="EA19" s="41"/>
      <c r="EB19" s="41"/>
      <c r="EC19" s="41"/>
      <c r="ED19" s="41"/>
      <c r="EE19" s="41"/>
      <c r="EF19" s="41"/>
      <c r="EG19" s="41"/>
    </row>
    <row r="20" spans="1:137" ht="18">
      <c r="A20" s="5">
        <v>19</v>
      </c>
      <c r="B20" s="16" t="s">
        <v>23</v>
      </c>
      <c r="C20" s="79">
        <v>1</v>
      </c>
      <c r="D20" s="80">
        <f t="shared" si="0"/>
        <v>0</v>
      </c>
      <c r="E20" s="80">
        <v>1</v>
      </c>
      <c r="F20" s="71" t="s">
        <v>69</v>
      </c>
      <c r="G20" s="71" t="s">
        <v>69</v>
      </c>
      <c r="H20" s="71" t="s">
        <v>69</v>
      </c>
      <c r="I20" s="71" t="s">
        <v>69</v>
      </c>
      <c r="J20" s="71" t="s">
        <v>69</v>
      </c>
      <c r="K20" s="71" t="s">
        <v>69</v>
      </c>
      <c r="L20" s="71" t="s">
        <v>69</v>
      </c>
      <c r="M20" s="81" t="s">
        <v>69</v>
      </c>
      <c r="N20" s="71" t="s">
        <v>69</v>
      </c>
      <c r="O20" s="71" t="s">
        <v>69</v>
      </c>
      <c r="P20" s="71" t="s">
        <v>70</v>
      </c>
      <c r="Q20" s="71" t="s">
        <v>69</v>
      </c>
      <c r="R20" s="71" t="s">
        <v>69</v>
      </c>
      <c r="S20" s="71" t="s">
        <v>69</v>
      </c>
      <c r="T20" s="71" t="s">
        <v>69</v>
      </c>
      <c r="U20" s="75" t="s">
        <v>69</v>
      </c>
      <c r="V20" s="71" t="s">
        <v>69</v>
      </c>
      <c r="W20" s="71" t="s">
        <v>69</v>
      </c>
      <c r="X20" s="71" t="s">
        <v>69</v>
      </c>
      <c r="Y20" s="71" t="s">
        <v>69</v>
      </c>
      <c r="Z20" s="71" t="s">
        <v>69</v>
      </c>
      <c r="AA20" s="71" t="s">
        <v>69</v>
      </c>
      <c r="AB20" s="75" t="s">
        <v>69</v>
      </c>
      <c r="AC20" s="97" t="s">
        <v>74</v>
      </c>
      <c r="AD20" s="75" t="s">
        <v>69</v>
      </c>
      <c r="AE20" s="75" t="s">
        <v>69</v>
      </c>
      <c r="AF20" s="71" t="s">
        <v>69</v>
      </c>
      <c r="AG20" s="71" t="s">
        <v>69</v>
      </c>
      <c r="AH20" s="82" t="s">
        <v>72</v>
      </c>
      <c r="AI20" s="75" t="s">
        <v>69</v>
      </c>
      <c r="AJ20" s="75" t="s">
        <v>69</v>
      </c>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c r="DY20" s="41"/>
      <c r="DZ20" s="41"/>
      <c r="EA20" s="41"/>
      <c r="EB20" s="41"/>
      <c r="EC20" s="41"/>
      <c r="ED20" s="41"/>
      <c r="EE20" s="41"/>
      <c r="EF20" s="41"/>
      <c r="EG20" s="41"/>
    </row>
    <row r="21" spans="1:137" ht="18">
      <c r="A21" s="5">
        <v>20</v>
      </c>
      <c r="B21" s="17" t="s">
        <v>24</v>
      </c>
      <c r="C21" s="79">
        <v>1</v>
      </c>
      <c r="D21" s="80">
        <f t="shared" si="0"/>
        <v>0</v>
      </c>
      <c r="E21" s="80">
        <v>1</v>
      </c>
      <c r="F21" s="71" t="s">
        <v>69</v>
      </c>
      <c r="G21" s="71" t="s">
        <v>69</v>
      </c>
      <c r="H21" s="71" t="s">
        <v>69</v>
      </c>
      <c r="I21" s="71" t="s">
        <v>69</v>
      </c>
      <c r="J21" s="71" t="s">
        <v>69</v>
      </c>
      <c r="K21" s="71" t="s">
        <v>69</v>
      </c>
      <c r="L21" s="71" t="s">
        <v>69</v>
      </c>
      <c r="M21" s="81" t="s">
        <v>70</v>
      </c>
      <c r="N21" s="71" t="s">
        <v>69</v>
      </c>
      <c r="O21" s="71" t="s">
        <v>69</v>
      </c>
      <c r="P21" s="71" t="s">
        <v>69</v>
      </c>
      <c r="Q21" s="71" t="s">
        <v>69</v>
      </c>
      <c r="R21" s="71" t="s">
        <v>69</v>
      </c>
      <c r="S21" s="71" t="s">
        <v>69</v>
      </c>
      <c r="T21" s="71" t="s">
        <v>69</v>
      </c>
      <c r="U21" s="75" t="s">
        <v>69</v>
      </c>
      <c r="V21" s="71" t="s">
        <v>69</v>
      </c>
      <c r="W21" s="71" t="s">
        <v>69</v>
      </c>
      <c r="X21" s="71" t="s">
        <v>69</v>
      </c>
      <c r="Y21" s="71" t="s">
        <v>69</v>
      </c>
      <c r="Z21" s="71" t="s">
        <v>69</v>
      </c>
      <c r="AA21" s="71" t="s">
        <v>69</v>
      </c>
      <c r="AB21" s="75" t="s">
        <v>69</v>
      </c>
      <c r="AC21" s="82" t="s">
        <v>72</v>
      </c>
      <c r="AD21" s="71" t="s">
        <v>69</v>
      </c>
      <c r="AE21" s="71" t="s">
        <v>69</v>
      </c>
      <c r="AF21" s="71" t="s">
        <v>69</v>
      </c>
      <c r="AG21" s="71" t="s">
        <v>69</v>
      </c>
      <c r="AH21" s="71" t="s">
        <v>69</v>
      </c>
      <c r="AI21" s="75" t="s">
        <v>69</v>
      </c>
      <c r="AJ21" s="75" t="s">
        <v>69</v>
      </c>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row>
    <row r="22" spans="1:137" ht="18">
      <c r="A22" s="5">
        <v>21</v>
      </c>
      <c r="B22" s="17" t="s">
        <v>25</v>
      </c>
      <c r="C22" s="79">
        <v>2</v>
      </c>
      <c r="D22" s="80">
        <f t="shared" si="0"/>
        <v>0</v>
      </c>
      <c r="E22" s="80">
        <v>2</v>
      </c>
      <c r="F22" s="71" t="s">
        <v>69</v>
      </c>
      <c r="G22" s="71" t="s">
        <v>69</v>
      </c>
      <c r="H22" s="88" t="s">
        <v>72</v>
      </c>
      <c r="I22" s="71" t="s">
        <v>69</v>
      </c>
      <c r="J22" s="71" t="s">
        <v>69</v>
      </c>
      <c r="K22" s="71" t="s">
        <v>69</v>
      </c>
      <c r="L22" s="71" t="s">
        <v>69</v>
      </c>
      <c r="M22" s="81" t="s">
        <v>70</v>
      </c>
      <c r="N22" s="71" t="s">
        <v>69</v>
      </c>
      <c r="O22" s="71" t="s">
        <v>69</v>
      </c>
      <c r="P22" s="71" t="s">
        <v>69</v>
      </c>
      <c r="Q22" s="71" t="s">
        <v>69</v>
      </c>
      <c r="R22" s="71" t="s">
        <v>69</v>
      </c>
      <c r="S22" s="89" t="s">
        <v>71</v>
      </c>
      <c r="T22" s="71" t="s">
        <v>69</v>
      </c>
      <c r="U22" s="75" t="s">
        <v>69</v>
      </c>
      <c r="V22" s="71" t="s">
        <v>69</v>
      </c>
      <c r="W22" s="71" t="s">
        <v>69</v>
      </c>
      <c r="X22" s="71" t="s">
        <v>69</v>
      </c>
      <c r="Y22" s="71" t="s">
        <v>69</v>
      </c>
      <c r="Z22" s="71" t="s">
        <v>69</v>
      </c>
      <c r="AA22" s="71" t="s">
        <v>69</v>
      </c>
      <c r="AB22" s="75" t="s">
        <v>69</v>
      </c>
      <c r="AC22" s="75" t="s">
        <v>69</v>
      </c>
      <c r="AD22" s="71" t="s">
        <v>69</v>
      </c>
      <c r="AE22" s="71" t="s">
        <v>69</v>
      </c>
      <c r="AF22" s="71" t="s">
        <v>69</v>
      </c>
      <c r="AG22" s="71" t="s">
        <v>69</v>
      </c>
      <c r="AH22" s="82" t="s">
        <v>72</v>
      </c>
      <c r="AI22" s="75" t="s">
        <v>69</v>
      </c>
      <c r="AJ22" s="98" t="s">
        <v>71</v>
      </c>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row>
    <row r="23" spans="1:137" ht="18">
      <c r="A23" s="5">
        <v>22</v>
      </c>
      <c r="B23" s="16" t="s">
        <v>26</v>
      </c>
      <c r="C23" s="79">
        <v>0</v>
      </c>
      <c r="D23" s="80">
        <f t="shared" si="0"/>
        <v>0</v>
      </c>
      <c r="E23" s="80">
        <v>0</v>
      </c>
      <c r="F23" s="71" t="s">
        <v>69</v>
      </c>
      <c r="G23" s="71" t="s">
        <v>69</v>
      </c>
      <c r="H23" s="71" t="s">
        <v>69</v>
      </c>
      <c r="I23" s="71" t="s">
        <v>69</v>
      </c>
      <c r="J23" s="71" t="s">
        <v>69</v>
      </c>
      <c r="K23" s="71" t="s">
        <v>69</v>
      </c>
      <c r="L23" s="71" t="s">
        <v>69</v>
      </c>
      <c r="M23" s="71" t="s">
        <v>69</v>
      </c>
      <c r="N23" s="71" t="s">
        <v>69</v>
      </c>
      <c r="O23" s="71" t="s">
        <v>69</v>
      </c>
      <c r="P23" s="71" t="s">
        <v>69</v>
      </c>
      <c r="Q23" s="71" t="s">
        <v>69</v>
      </c>
      <c r="R23" s="71" t="s">
        <v>69</v>
      </c>
      <c r="S23" s="71" t="s">
        <v>69</v>
      </c>
      <c r="T23" s="71" t="s">
        <v>69</v>
      </c>
      <c r="U23" s="71" t="s">
        <v>69</v>
      </c>
      <c r="V23" s="71" t="s">
        <v>69</v>
      </c>
      <c r="W23" s="71" t="s">
        <v>69</v>
      </c>
      <c r="X23" s="71" t="s">
        <v>69</v>
      </c>
      <c r="Y23" s="71" t="s">
        <v>69</v>
      </c>
      <c r="Z23" s="71" t="s">
        <v>69</v>
      </c>
      <c r="AA23" s="71" t="s">
        <v>69</v>
      </c>
      <c r="AB23" s="75" t="s">
        <v>69</v>
      </c>
      <c r="AC23" s="75" t="s">
        <v>69</v>
      </c>
      <c r="AD23" s="75" t="s">
        <v>69</v>
      </c>
      <c r="AE23" s="75" t="s">
        <v>69</v>
      </c>
      <c r="AF23" s="71" t="s">
        <v>69</v>
      </c>
      <c r="AG23" s="71" t="s">
        <v>69</v>
      </c>
      <c r="AH23" s="71" t="s">
        <v>69</v>
      </c>
      <c r="AI23" s="75" t="s">
        <v>69</v>
      </c>
      <c r="AJ23" s="75" t="s">
        <v>69</v>
      </c>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41"/>
      <c r="CJ23" s="41"/>
      <c r="CK23" s="41"/>
      <c r="CL23" s="41"/>
      <c r="CM23" s="41"/>
      <c r="CN23" s="41"/>
      <c r="CO23" s="41"/>
      <c r="CP23" s="41"/>
      <c r="CQ23" s="41"/>
      <c r="CR23" s="41"/>
      <c r="CS23" s="41"/>
      <c r="CT23" s="41"/>
      <c r="CU23" s="41"/>
      <c r="CV23" s="41"/>
      <c r="CW23" s="41"/>
      <c r="CX23" s="41"/>
      <c r="CY23" s="41"/>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c r="EC23" s="41"/>
      <c r="ED23" s="41"/>
      <c r="EE23" s="41"/>
      <c r="EF23" s="41"/>
      <c r="EG23" s="41"/>
    </row>
    <row r="24" spans="1:137" ht="18">
      <c r="A24" s="5">
        <v>23</v>
      </c>
      <c r="B24" s="16" t="s">
        <v>27</v>
      </c>
      <c r="C24" s="79">
        <v>2</v>
      </c>
      <c r="D24" s="80">
        <f t="shared" si="0"/>
        <v>0</v>
      </c>
      <c r="E24" s="80">
        <v>2</v>
      </c>
      <c r="F24" s="88" t="s">
        <v>72</v>
      </c>
      <c r="G24" s="71" t="s">
        <v>69</v>
      </c>
      <c r="H24" s="71" t="s">
        <v>69</v>
      </c>
      <c r="I24" s="71" t="s">
        <v>69</v>
      </c>
      <c r="J24" s="71" t="s">
        <v>69</v>
      </c>
      <c r="K24" s="71" t="s">
        <v>69</v>
      </c>
      <c r="L24" s="71" t="s">
        <v>69</v>
      </c>
      <c r="M24" s="81" t="s">
        <v>69</v>
      </c>
      <c r="N24" s="71" t="s">
        <v>69</v>
      </c>
      <c r="O24" s="71" t="s">
        <v>69</v>
      </c>
      <c r="P24" s="71" t="s">
        <v>69</v>
      </c>
      <c r="Q24" s="71" t="s">
        <v>69</v>
      </c>
      <c r="R24" s="71" t="s">
        <v>69</v>
      </c>
      <c r="S24" s="71" t="s">
        <v>69</v>
      </c>
      <c r="T24" s="71" t="s">
        <v>69</v>
      </c>
      <c r="U24" s="75" t="s">
        <v>69</v>
      </c>
      <c r="V24" s="71" t="s">
        <v>69</v>
      </c>
      <c r="W24" s="88" t="s">
        <v>72</v>
      </c>
      <c r="X24" s="71" t="s">
        <v>69</v>
      </c>
      <c r="Y24" s="71" t="s">
        <v>69</v>
      </c>
      <c r="Z24" s="71" t="s">
        <v>69</v>
      </c>
      <c r="AA24" s="71" t="s">
        <v>69</v>
      </c>
      <c r="AB24" s="75" t="s">
        <v>69</v>
      </c>
      <c r="AC24" s="75" t="s">
        <v>69</v>
      </c>
      <c r="AD24" s="75" t="s">
        <v>69</v>
      </c>
      <c r="AE24" s="75" t="s">
        <v>69</v>
      </c>
      <c r="AF24" s="71" t="s">
        <v>69</v>
      </c>
      <c r="AG24" s="71" t="s">
        <v>69</v>
      </c>
      <c r="AH24" s="71" t="s">
        <v>69</v>
      </c>
      <c r="AI24" s="75" t="s">
        <v>69</v>
      </c>
      <c r="AJ24" s="75" t="s">
        <v>69</v>
      </c>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c r="DY24" s="41"/>
      <c r="DZ24" s="41"/>
      <c r="EA24" s="41"/>
      <c r="EB24" s="41"/>
      <c r="EC24" s="41"/>
      <c r="ED24" s="41"/>
      <c r="EE24" s="41"/>
      <c r="EF24" s="41"/>
      <c r="EG24" s="41"/>
    </row>
    <row r="25" spans="1:137" ht="18">
      <c r="A25" s="5">
        <v>24</v>
      </c>
      <c r="B25" s="16" t="s">
        <v>28</v>
      </c>
      <c r="C25" s="79">
        <v>0</v>
      </c>
      <c r="D25" s="80">
        <f t="shared" si="0"/>
        <v>0</v>
      </c>
      <c r="E25" s="80">
        <v>0</v>
      </c>
      <c r="F25" s="99" t="s">
        <v>74</v>
      </c>
      <c r="G25" s="100" t="s">
        <v>69</v>
      </c>
      <c r="H25" s="85" t="s">
        <v>74</v>
      </c>
      <c r="I25" s="71" t="s">
        <v>69</v>
      </c>
      <c r="J25" s="71" t="s">
        <v>69</v>
      </c>
      <c r="K25" s="71" t="s">
        <v>69</v>
      </c>
      <c r="L25" s="71" t="s">
        <v>69</v>
      </c>
      <c r="M25" s="81" t="s">
        <v>69</v>
      </c>
      <c r="N25" s="71" t="s">
        <v>69</v>
      </c>
      <c r="O25" s="71" t="s">
        <v>69</v>
      </c>
      <c r="P25" s="71" t="s">
        <v>69</v>
      </c>
      <c r="Q25" s="71" t="s">
        <v>69</v>
      </c>
      <c r="R25" s="71" t="s">
        <v>69</v>
      </c>
      <c r="S25" s="89" t="s">
        <v>71</v>
      </c>
      <c r="T25" s="71" t="s">
        <v>69</v>
      </c>
      <c r="U25" s="75" t="s">
        <v>69</v>
      </c>
      <c r="V25" s="75" t="s">
        <v>69</v>
      </c>
      <c r="W25" s="75" t="s">
        <v>69</v>
      </c>
      <c r="X25" s="75" t="s">
        <v>69</v>
      </c>
      <c r="Y25" s="75" t="s">
        <v>69</v>
      </c>
      <c r="Z25" s="71" t="s">
        <v>70</v>
      </c>
      <c r="AA25" s="71" t="s">
        <v>70</v>
      </c>
      <c r="AB25" s="75" t="s">
        <v>69</v>
      </c>
      <c r="AC25" s="75" t="s">
        <v>69</v>
      </c>
      <c r="AD25" s="75" t="s">
        <v>69</v>
      </c>
      <c r="AE25" s="75" t="s">
        <v>69</v>
      </c>
      <c r="AF25" s="75" t="s">
        <v>69</v>
      </c>
      <c r="AG25" s="75" t="s">
        <v>69</v>
      </c>
      <c r="AH25" s="71" t="s">
        <v>69</v>
      </c>
      <c r="AI25" s="75" t="s">
        <v>69</v>
      </c>
      <c r="AJ25" s="71" t="s">
        <v>71</v>
      </c>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c r="DY25" s="41"/>
      <c r="DZ25" s="41"/>
      <c r="EA25" s="41"/>
      <c r="EB25" s="41"/>
      <c r="EC25" s="41"/>
      <c r="ED25" s="41"/>
      <c r="EE25" s="41"/>
      <c r="EF25" s="41"/>
      <c r="EG25" s="41"/>
    </row>
    <row r="26" spans="1:137" ht="18">
      <c r="A26" s="5">
        <v>25</v>
      </c>
      <c r="B26" s="16" t="s">
        <v>29</v>
      </c>
      <c r="C26" s="79">
        <v>0</v>
      </c>
      <c r="D26" s="80">
        <f t="shared" si="0"/>
        <v>0</v>
      </c>
      <c r="E26" s="80">
        <v>0</v>
      </c>
      <c r="F26" s="71" t="s">
        <v>69</v>
      </c>
      <c r="G26" s="71" t="s">
        <v>69</v>
      </c>
      <c r="H26" s="71" t="s">
        <v>69</v>
      </c>
      <c r="I26" s="71" t="s">
        <v>69</v>
      </c>
      <c r="J26" s="71" t="s">
        <v>69</v>
      </c>
      <c r="K26" s="71" t="s">
        <v>69</v>
      </c>
      <c r="L26" s="71" t="s">
        <v>69</v>
      </c>
      <c r="M26" s="81" t="s">
        <v>69</v>
      </c>
      <c r="N26" s="71" t="s">
        <v>69</v>
      </c>
      <c r="O26" s="71" t="s">
        <v>69</v>
      </c>
      <c r="P26" s="71" t="s">
        <v>69</v>
      </c>
      <c r="Q26" s="71" t="s">
        <v>69</v>
      </c>
      <c r="R26" s="71" t="s">
        <v>69</v>
      </c>
      <c r="S26" s="71" t="s">
        <v>69</v>
      </c>
      <c r="T26" s="71" t="s">
        <v>69</v>
      </c>
      <c r="U26" s="75" t="s">
        <v>69</v>
      </c>
      <c r="V26" s="71" t="s">
        <v>69</v>
      </c>
      <c r="W26" s="71" t="s">
        <v>69</v>
      </c>
      <c r="X26" s="71" t="s">
        <v>69</v>
      </c>
      <c r="Y26" s="71" t="s">
        <v>69</v>
      </c>
      <c r="Z26" s="71" t="s">
        <v>69</v>
      </c>
      <c r="AA26" s="71" t="s">
        <v>69</v>
      </c>
      <c r="AB26" s="75" t="s">
        <v>69</v>
      </c>
      <c r="AC26" s="75" t="s">
        <v>69</v>
      </c>
      <c r="AD26" s="75" t="s">
        <v>69</v>
      </c>
      <c r="AE26" s="71" t="s">
        <v>69</v>
      </c>
      <c r="AF26" s="75" t="s">
        <v>69</v>
      </c>
      <c r="AG26" s="75" t="s">
        <v>69</v>
      </c>
      <c r="AH26" s="71" t="s">
        <v>69</v>
      </c>
      <c r="AI26" s="75" t="s">
        <v>69</v>
      </c>
      <c r="AJ26" s="75" t="s">
        <v>69</v>
      </c>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c r="DC26" s="41"/>
      <c r="DD26" s="41"/>
      <c r="DE26" s="41"/>
      <c r="DF26" s="41"/>
      <c r="DG26" s="41"/>
      <c r="DH26" s="41"/>
      <c r="DI26" s="41"/>
      <c r="DJ26" s="41"/>
      <c r="DK26" s="41"/>
      <c r="DL26" s="41"/>
      <c r="DM26" s="41"/>
      <c r="DN26" s="41"/>
      <c r="DO26" s="41"/>
      <c r="DP26" s="41"/>
      <c r="DQ26" s="41"/>
      <c r="DR26" s="41"/>
      <c r="DS26" s="41"/>
      <c r="DT26" s="41"/>
      <c r="DU26" s="41"/>
      <c r="DV26" s="41"/>
      <c r="DW26" s="41"/>
      <c r="DX26" s="41"/>
      <c r="DY26" s="41"/>
      <c r="DZ26" s="41"/>
      <c r="EA26" s="41"/>
      <c r="EB26" s="41"/>
      <c r="EC26" s="41"/>
      <c r="ED26" s="41"/>
      <c r="EE26" s="41"/>
      <c r="EF26" s="41"/>
      <c r="EG26" s="41"/>
    </row>
    <row r="27" spans="1:137" ht="18">
      <c r="A27" s="5">
        <v>26</v>
      </c>
      <c r="B27" s="16" t="s">
        <v>30</v>
      </c>
      <c r="C27" s="79">
        <v>1</v>
      </c>
      <c r="D27" s="80">
        <f t="shared" si="0"/>
        <v>0</v>
      </c>
      <c r="E27" s="80">
        <v>1</v>
      </c>
      <c r="F27" s="71" t="s">
        <v>69</v>
      </c>
      <c r="G27" s="71" t="s">
        <v>69</v>
      </c>
      <c r="H27" s="71" t="s">
        <v>69</v>
      </c>
      <c r="I27" s="71" t="s">
        <v>69</v>
      </c>
      <c r="J27" s="88" t="s">
        <v>72</v>
      </c>
      <c r="K27" s="71" t="s">
        <v>69</v>
      </c>
      <c r="L27" s="71" t="s">
        <v>69</v>
      </c>
      <c r="M27" s="81" t="s">
        <v>69</v>
      </c>
      <c r="N27" s="71" t="s">
        <v>69</v>
      </c>
      <c r="O27" s="71" t="s">
        <v>69</v>
      </c>
      <c r="P27" s="71" t="s">
        <v>70</v>
      </c>
      <c r="Q27" s="71" t="s">
        <v>69</v>
      </c>
      <c r="R27" s="71" t="s">
        <v>69</v>
      </c>
      <c r="S27" s="71" t="s">
        <v>69</v>
      </c>
      <c r="T27" s="71" t="s">
        <v>69</v>
      </c>
      <c r="U27" s="75" t="s">
        <v>69</v>
      </c>
      <c r="V27" s="71" t="s">
        <v>69</v>
      </c>
      <c r="W27" s="71" t="s">
        <v>69</v>
      </c>
      <c r="X27" s="71" t="s">
        <v>69</v>
      </c>
      <c r="Y27" s="71" t="s">
        <v>69</v>
      </c>
      <c r="Z27" s="71" t="s">
        <v>69</v>
      </c>
      <c r="AA27" s="71" t="s">
        <v>69</v>
      </c>
      <c r="AB27" s="75" t="s">
        <v>69</v>
      </c>
      <c r="AC27" s="75" t="s">
        <v>69</v>
      </c>
      <c r="AD27" s="75" t="s">
        <v>69</v>
      </c>
      <c r="AE27" s="75" t="s">
        <v>69</v>
      </c>
      <c r="AF27" s="75" t="s">
        <v>69</v>
      </c>
      <c r="AG27" s="75" t="s">
        <v>69</v>
      </c>
      <c r="AH27" s="71" t="s">
        <v>69</v>
      </c>
      <c r="AI27" s="75" t="s">
        <v>69</v>
      </c>
      <c r="AJ27" s="75" t="s">
        <v>69</v>
      </c>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row>
    <row r="28" spans="1:137" ht="18">
      <c r="A28" s="5">
        <v>27</v>
      </c>
      <c r="B28" s="16" t="s">
        <v>31</v>
      </c>
      <c r="C28" s="79">
        <v>2</v>
      </c>
      <c r="D28" s="80">
        <f t="shared" si="0"/>
        <v>0</v>
      </c>
      <c r="E28" s="80">
        <v>2</v>
      </c>
      <c r="F28" s="71" t="s">
        <v>69</v>
      </c>
      <c r="G28" s="71" t="s">
        <v>69</v>
      </c>
      <c r="H28" s="71" t="s">
        <v>69</v>
      </c>
      <c r="I28" s="71" t="s">
        <v>69</v>
      </c>
      <c r="J28" s="88" t="s">
        <v>72</v>
      </c>
      <c r="K28" s="71" t="s">
        <v>69</v>
      </c>
      <c r="L28" s="71" t="s">
        <v>69</v>
      </c>
      <c r="M28" s="81" t="s">
        <v>69</v>
      </c>
      <c r="N28" s="71" t="s">
        <v>69</v>
      </c>
      <c r="O28" s="84" t="s">
        <v>73</v>
      </c>
      <c r="P28" s="71" t="s">
        <v>69</v>
      </c>
      <c r="Q28" s="71" t="s">
        <v>69</v>
      </c>
      <c r="R28" s="71" t="s">
        <v>69</v>
      </c>
      <c r="S28" s="89" t="s">
        <v>71</v>
      </c>
      <c r="T28" s="71" t="s">
        <v>69</v>
      </c>
      <c r="U28" s="75" t="s">
        <v>69</v>
      </c>
      <c r="V28" s="75" t="s">
        <v>69</v>
      </c>
      <c r="W28" s="75" t="s">
        <v>69</v>
      </c>
      <c r="X28" s="75" t="s">
        <v>69</v>
      </c>
      <c r="Y28" s="71" t="s">
        <v>69</v>
      </c>
      <c r="Z28" s="71" t="s">
        <v>69</v>
      </c>
      <c r="AA28" s="84" t="s">
        <v>73</v>
      </c>
      <c r="AB28" s="75" t="s">
        <v>69</v>
      </c>
      <c r="AC28" s="75" t="s">
        <v>69</v>
      </c>
      <c r="AD28" s="71" t="s">
        <v>69</v>
      </c>
      <c r="AE28" s="71" t="s">
        <v>69</v>
      </c>
      <c r="AF28" s="71" t="s">
        <v>69</v>
      </c>
      <c r="AG28" s="71" t="s">
        <v>69</v>
      </c>
      <c r="AH28" s="71" t="s">
        <v>69</v>
      </c>
      <c r="AI28" s="75" t="s">
        <v>69</v>
      </c>
      <c r="AJ28" s="75" t="s">
        <v>69</v>
      </c>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41"/>
      <c r="DX28" s="41"/>
      <c r="DY28" s="41"/>
      <c r="DZ28" s="41"/>
      <c r="EA28" s="41"/>
      <c r="EB28" s="41"/>
      <c r="EC28" s="41"/>
      <c r="ED28" s="41"/>
      <c r="EE28" s="41"/>
      <c r="EF28" s="41"/>
      <c r="EG28" s="41"/>
    </row>
    <row r="29" spans="1:137" ht="17.649999999999999">
      <c r="A29" s="8">
        <v>28</v>
      </c>
      <c r="B29" s="22" t="s">
        <v>32</v>
      </c>
      <c r="C29" s="101">
        <v>0</v>
      </c>
      <c r="D29" s="80">
        <f t="shared" si="0"/>
        <v>17</v>
      </c>
      <c r="E29" s="102">
        <v>17</v>
      </c>
      <c r="F29" s="85" t="s">
        <v>74</v>
      </c>
      <c r="G29" s="71" t="s">
        <v>69</v>
      </c>
      <c r="H29" s="71" t="s">
        <v>69</v>
      </c>
      <c r="I29" s="71" t="s">
        <v>69</v>
      </c>
      <c r="J29" s="71" t="s">
        <v>69</v>
      </c>
      <c r="K29" s="71" t="s">
        <v>69</v>
      </c>
      <c r="L29" s="103" t="s">
        <v>72</v>
      </c>
      <c r="M29" s="104" t="s">
        <v>69</v>
      </c>
      <c r="N29" s="71" t="s">
        <v>69</v>
      </c>
      <c r="O29" s="103" t="s">
        <v>72</v>
      </c>
      <c r="P29" s="9" t="s">
        <v>69</v>
      </c>
      <c r="Q29" s="9" t="s">
        <v>69</v>
      </c>
      <c r="R29" s="9" t="s">
        <v>69</v>
      </c>
      <c r="S29" s="105" t="s">
        <v>71</v>
      </c>
      <c r="T29" s="9" t="s">
        <v>69</v>
      </c>
      <c r="U29" s="75" t="s">
        <v>69</v>
      </c>
      <c r="V29" s="63" t="s">
        <v>76</v>
      </c>
      <c r="W29" s="63" t="s">
        <v>76</v>
      </c>
      <c r="X29" s="63" t="s">
        <v>76</v>
      </c>
      <c r="Y29" s="63" t="s">
        <v>76</v>
      </c>
      <c r="Z29" s="63" t="s">
        <v>76</v>
      </c>
      <c r="AA29" s="103" t="s">
        <v>76</v>
      </c>
      <c r="AB29" s="103" t="s">
        <v>76</v>
      </c>
      <c r="AC29" s="103" t="s">
        <v>76</v>
      </c>
      <c r="AD29" s="103" t="s">
        <v>76</v>
      </c>
      <c r="AE29" s="103" t="s">
        <v>76</v>
      </c>
      <c r="AF29" s="103" t="s">
        <v>76</v>
      </c>
      <c r="AG29" s="103" t="s">
        <v>76</v>
      </c>
      <c r="AH29" s="103" t="s">
        <v>76</v>
      </c>
      <c r="AI29" s="103" t="s">
        <v>76</v>
      </c>
      <c r="AJ29" s="103" t="s">
        <v>76</v>
      </c>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row>
    <row r="30" spans="1:137" ht="18">
      <c r="A30" s="5">
        <v>29</v>
      </c>
      <c r="B30" s="18" t="s">
        <v>33</v>
      </c>
      <c r="C30" s="106">
        <v>0</v>
      </c>
      <c r="D30" s="80">
        <f t="shared" si="0"/>
        <v>0</v>
      </c>
      <c r="E30" s="106">
        <v>0</v>
      </c>
      <c r="F30" s="107" t="s">
        <v>69</v>
      </c>
      <c r="G30" s="71" t="s">
        <v>69</v>
      </c>
      <c r="H30" s="71" t="s">
        <v>69</v>
      </c>
      <c r="I30" s="71" t="s">
        <v>69</v>
      </c>
      <c r="J30" s="71" t="s">
        <v>69</v>
      </c>
      <c r="K30" s="71" t="s">
        <v>69</v>
      </c>
      <c r="L30" s="71" t="s">
        <v>69</v>
      </c>
      <c r="M30" s="108" t="s">
        <v>69</v>
      </c>
      <c r="N30" s="71" t="s">
        <v>69</v>
      </c>
      <c r="O30" s="107" t="s">
        <v>69</v>
      </c>
      <c r="P30" s="107" t="s">
        <v>70</v>
      </c>
      <c r="Q30" s="107" t="s">
        <v>69</v>
      </c>
      <c r="R30" s="107" t="s">
        <v>69</v>
      </c>
      <c r="S30" s="107" t="s">
        <v>69</v>
      </c>
      <c r="T30" s="107" t="s">
        <v>69</v>
      </c>
      <c r="U30" s="75" t="s">
        <v>69</v>
      </c>
      <c r="V30" s="107" t="s">
        <v>69</v>
      </c>
      <c r="W30" s="107" t="s">
        <v>69</v>
      </c>
      <c r="X30" s="107" t="s">
        <v>69</v>
      </c>
      <c r="Y30" s="107" t="s">
        <v>69</v>
      </c>
      <c r="Z30" s="107" t="s">
        <v>69</v>
      </c>
      <c r="AA30" s="107" t="s">
        <v>69</v>
      </c>
      <c r="AB30" s="75" t="s">
        <v>69</v>
      </c>
      <c r="AC30" s="75" t="s">
        <v>69</v>
      </c>
      <c r="AD30" s="75" t="s">
        <v>69</v>
      </c>
      <c r="AE30" s="75" t="s">
        <v>69</v>
      </c>
      <c r="AF30" s="75" t="s">
        <v>69</v>
      </c>
      <c r="AG30" s="75" t="s">
        <v>69</v>
      </c>
      <c r="AH30" s="107" t="s">
        <v>69</v>
      </c>
      <c r="AI30" s="75" t="s">
        <v>69</v>
      </c>
      <c r="AJ30" s="75" t="s">
        <v>69</v>
      </c>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row>
    <row r="31" spans="1:137" ht="18">
      <c r="A31" s="5">
        <v>30</v>
      </c>
      <c r="B31" s="19" t="s">
        <v>77</v>
      </c>
      <c r="C31" s="106">
        <v>1</v>
      </c>
      <c r="D31" s="80">
        <f t="shared" si="0"/>
        <v>0</v>
      </c>
      <c r="E31" s="106">
        <v>1</v>
      </c>
      <c r="F31" s="107" t="s">
        <v>69</v>
      </c>
      <c r="G31" s="107" t="s">
        <v>69</v>
      </c>
      <c r="H31" s="107" t="s">
        <v>69</v>
      </c>
      <c r="I31" s="107" t="s">
        <v>69</v>
      </c>
      <c r="J31" s="107" t="s">
        <v>69</v>
      </c>
      <c r="K31" s="107" t="s">
        <v>69</v>
      </c>
      <c r="L31" s="107" t="s">
        <v>69</v>
      </c>
      <c r="M31" s="104" t="s">
        <v>69</v>
      </c>
      <c r="N31" s="71" t="s">
        <v>69</v>
      </c>
      <c r="O31" s="103" t="s">
        <v>72</v>
      </c>
      <c r="P31" s="9" t="s">
        <v>69</v>
      </c>
      <c r="Q31" s="9" t="s">
        <v>69</v>
      </c>
      <c r="R31" s="9" t="s">
        <v>69</v>
      </c>
      <c r="S31" s="109" t="s">
        <v>71</v>
      </c>
      <c r="T31" s="9" t="s">
        <v>69</v>
      </c>
      <c r="U31" s="75" t="s">
        <v>69</v>
      </c>
      <c r="V31" s="9" t="s">
        <v>69</v>
      </c>
      <c r="W31" s="9" t="s">
        <v>69</v>
      </c>
      <c r="X31" s="9" t="s">
        <v>69</v>
      </c>
      <c r="Y31" s="9" t="s">
        <v>69</v>
      </c>
      <c r="Z31" s="9" t="s">
        <v>69</v>
      </c>
      <c r="AA31" s="9" t="s">
        <v>69</v>
      </c>
      <c r="AB31" s="75" t="s">
        <v>69</v>
      </c>
      <c r="AC31" s="75" t="s">
        <v>69</v>
      </c>
      <c r="AD31" s="75" t="s">
        <v>69</v>
      </c>
      <c r="AE31" s="75" t="s">
        <v>69</v>
      </c>
      <c r="AF31" s="75" t="s">
        <v>69</v>
      </c>
      <c r="AG31" s="75" t="s">
        <v>69</v>
      </c>
      <c r="AH31" s="75" t="s">
        <v>69</v>
      </c>
      <c r="AI31" s="75" t="s">
        <v>69</v>
      </c>
      <c r="AJ31" s="9" t="s">
        <v>71</v>
      </c>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row>
    <row r="32" spans="1:137" ht="18">
      <c r="A32" s="5">
        <v>31</v>
      </c>
      <c r="B32" s="18" t="s">
        <v>35</v>
      </c>
      <c r="C32" s="106">
        <v>1</v>
      </c>
      <c r="D32" s="80">
        <f t="shared" si="0"/>
        <v>0</v>
      </c>
      <c r="E32" s="106">
        <v>1</v>
      </c>
      <c r="F32" s="9" t="s">
        <v>69</v>
      </c>
      <c r="G32" s="9" t="s">
        <v>69</v>
      </c>
      <c r="H32" s="9" t="s">
        <v>69</v>
      </c>
      <c r="I32" s="9" t="s">
        <v>69</v>
      </c>
      <c r="J32" s="9" t="s">
        <v>69</v>
      </c>
      <c r="K32" s="9" t="s">
        <v>69</v>
      </c>
      <c r="L32" s="9" t="s">
        <v>69</v>
      </c>
      <c r="M32" s="104" t="s">
        <v>70</v>
      </c>
      <c r="N32" s="71" t="s">
        <v>69</v>
      </c>
      <c r="O32" s="9" t="s">
        <v>69</v>
      </c>
      <c r="P32" s="9" t="s">
        <v>69</v>
      </c>
      <c r="Q32" s="9" t="s">
        <v>69</v>
      </c>
      <c r="R32" s="9" t="s">
        <v>69</v>
      </c>
      <c r="S32" s="9" t="s">
        <v>69</v>
      </c>
      <c r="T32" s="9" t="s">
        <v>69</v>
      </c>
      <c r="U32" s="75" t="s">
        <v>69</v>
      </c>
      <c r="V32" s="9" t="s">
        <v>69</v>
      </c>
      <c r="W32" s="9" t="s">
        <v>69</v>
      </c>
      <c r="X32" s="9" t="s">
        <v>69</v>
      </c>
      <c r="Y32" s="9" t="s">
        <v>69</v>
      </c>
      <c r="Z32" s="9" t="s">
        <v>69</v>
      </c>
      <c r="AA32" s="9" t="s">
        <v>69</v>
      </c>
      <c r="AB32" s="75" t="s">
        <v>69</v>
      </c>
      <c r="AC32" s="75" t="s">
        <v>69</v>
      </c>
      <c r="AD32" s="75" t="s">
        <v>69</v>
      </c>
      <c r="AE32" s="9" t="s">
        <v>69</v>
      </c>
      <c r="AF32" s="75" t="s">
        <v>69</v>
      </c>
      <c r="AG32" s="75" t="s">
        <v>69</v>
      </c>
      <c r="AH32" s="75" t="s">
        <v>69</v>
      </c>
      <c r="AI32" s="75" t="s">
        <v>69</v>
      </c>
      <c r="AJ32" s="25" t="s">
        <v>72</v>
      </c>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row>
    <row r="33" spans="1:137" ht="18">
      <c r="A33" s="5">
        <v>32</v>
      </c>
      <c r="B33" s="18" t="s">
        <v>36</v>
      </c>
      <c r="C33" s="110">
        <v>1.5</v>
      </c>
      <c r="D33" s="80">
        <f t="shared" si="0"/>
        <v>2.5</v>
      </c>
      <c r="E33" s="110">
        <v>4</v>
      </c>
      <c r="F33" s="111" t="s">
        <v>74</v>
      </c>
      <c r="G33" s="9" t="s">
        <v>69</v>
      </c>
      <c r="H33" s="9" t="s">
        <v>69</v>
      </c>
      <c r="I33" s="9" t="s">
        <v>69</v>
      </c>
      <c r="J33" s="9" t="s">
        <v>69</v>
      </c>
      <c r="K33" s="9" t="s">
        <v>69</v>
      </c>
      <c r="L33" s="9" t="s">
        <v>69</v>
      </c>
      <c r="M33" s="104" t="s">
        <v>70</v>
      </c>
      <c r="N33" s="71" t="s">
        <v>69</v>
      </c>
      <c r="O33" s="9" t="s">
        <v>69</v>
      </c>
      <c r="P33" s="9" t="s">
        <v>69</v>
      </c>
      <c r="Q33" s="9" t="s">
        <v>69</v>
      </c>
      <c r="R33" s="9" t="s">
        <v>69</v>
      </c>
      <c r="S33" s="9" t="s">
        <v>69</v>
      </c>
      <c r="T33" s="103" t="s">
        <v>72</v>
      </c>
      <c r="U33" s="75" t="s">
        <v>69</v>
      </c>
      <c r="V33" s="9" t="s">
        <v>69</v>
      </c>
      <c r="W33" s="9" t="s">
        <v>69</v>
      </c>
      <c r="X33" s="9" t="s">
        <v>69</v>
      </c>
      <c r="Y33" s="9" t="s">
        <v>69</v>
      </c>
      <c r="Z33" s="9" t="s">
        <v>69</v>
      </c>
      <c r="AA33" s="9" t="s">
        <v>69</v>
      </c>
      <c r="AB33" s="75" t="s">
        <v>69</v>
      </c>
      <c r="AC33" s="75" t="s">
        <v>69</v>
      </c>
      <c r="AD33" s="75" t="s">
        <v>69</v>
      </c>
      <c r="AE33" s="25" t="s">
        <v>72</v>
      </c>
      <c r="AF33" s="75" t="s">
        <v>69</v>
      </c>
      <c r="AG33" s="75" t="s">
        <v>69</v>
      </c>
      <c r="AH33" s="25" t="s">
        <v>72</v>
      </c>
      <c r="AI33" s="75" t="s">
        <v>69</v>
      </c>
      <c r="AJ33" s="25" t="s">
        <v>72</v>
      </c>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row>
    <row r="34" spans="1:137" ht="18">
      <c r="A34" s="5">
        <v>33</v>
      </c>
      <c r="B34" s="20" t="s">
        <v>37</v>
      </c>
      <c r="C34" s="106">
        <v>1</v>
      </c>
      <c r="D34" s="80">
        <f t="shared" si="0"/>
        <v>0</v>
      </c>
      <c r="E34" s="106">
        <v>1</v>
      </c>
      <c r="F34" s="111" t="s">
        <v>74</v>
      </c>
      <c r="G34" s="9" t="s">
        <v>69</v>
      </c>
      <c r="H34" s="9" t="s">
        <v>69</v>
      </c>
      <c r="I34" s="9" t="s">
        <v>69</v>
      </c>
      <c r="J34" s="9" t="s">
        <v>69</v>
      </c>
      <c r="K34" s="9" t="s">
        <v>69</v>
      </c>
      <c r="L34" s="9" t="s">
        <v>69</v>
      </c>
      <c r="M34" s="104" t="s">
        <v>69</v>
      </c>
      <c r="N34" s="71" t="s">
        <v>69</v>
      </c>
      <c r="O34" s="9" t="s">
        <v>69</v>
      </c>
      <c r="P34" s="9" t="s">
        <v>69</v>
      </c>
      <c r="Q34" s="9" t="s">
        <v>69</v>
      </c>
      <c r="R34" s="9" t="s">
        <v>69</v>
      </c>
      <c r="S34" s="9" t="s">
        <v>69</v>
      </c>
      <c r="T34" s="9" t="s">
        <v>69</v>
      </c>
      <c r="U34" s="75" t="s">
        <v>69</v>
      </c>
      <c r="V34" s="9" t="s">
        <v>69</v>
      </c>
      <c r="W34" s="9" t="s">
        <v>69</v>
      </c>
      <c r="X34" s="9" t="s">
        <v>69</v>
      </c>
      <c r="Y34" s="9" t="s">
        <v>69</v>
      </c>
      <c r="Z34" s="9" t="s">
        <v>69</v>
      </c>
      <c r="AA34" s="9" t="s">
        <v>69</v>
      </c>
      <c r="AB34" s="75" t="s">
        <v>69</v>
      </c>
      <c r="AC34" s="75" t="s">
        <v>69</v>
      </c>
      <c r="AD34" s="75" t="s">
        <v>69</v>
      </c>
      <c r="AE34" s="75" t="s">
        <v>69</v>
      </c>
      <c r="AF34" s="75" t="s">
        <v>69</v>
      </c>
      <c r="AG34" s="75" t="s">
        <v>69</v>
      </c>
      <c r="AH34" s="9" t="s">
        <v>69</v>
      </c>
      <c r="AI34" s="75" t="s">
        <v>69</v>
      </c>
      <c r="AJ34" s="25" t="s">
        <v>72</v>
      </c>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c r="CT34" s="41"/>
      <c r="CU34" s="41"/>
      <c r="CV34" s="41"/>
      <c r="CW34" s="41"/>
      <c r="CX34" s="41"/>
      <c r="CY34" s="41"/>
      <c r="CZ34" s="41"/>
      <c r="DA34" s="41"/>
      <c r="DB34" s="41"/>
      <c r="DC34" s="41"/>
      <c r="DD34" s="41"/>
      <c r="DE34" s="41"/>
      <c r="DF34" s="41"/>
      <c r="DG34" s="41"/>
      <c r="DH34" s="41"/>
      <c r="DI34" s="41"/>
      <c r="DJ34" s="41"/>
      <c r="DK34" s="41"/>
      <c r="DL34" s="41"/>
      <c r="DM34" s="41"/>
      <c r="DN34" s="41"/>
      <c r="DO34" s="41"/>
      <c r="DP34" s="41"/>
      <c r="DQ34" s="41"/>
      <c r="DR34" s="41"/>
      <c r="DS34" s="41"/>
      <c r="DT34" s="41"/>
      <c r="DU34" s="41"/>
      <c r="DV34" s="41"/>
      <c r="DW34" s="41"/>
      <c r="DX34" s="41"/>
      <c r="DY34" s="41"/>
      <c r="DZ34" s="41"/>
      <c r="EA34" s="41"/>
      <c r="EB34" s="41"/>
      <c r="EC34" s="41"/>
      <c r="ED34" s="41"/>
      <c r="EE34" s="41"/>
      <c r="EF34" s="41"/>
      <c r="EG34" s="41"/>
    </row>
    <row r="35" spans="1:137" ht="18">
      <c r="A35" s="5">
        <v>34</v>
      </c>
      <c r="B35" s="20" t="s">
        <v>38</v>
      </c>
      <c r="C35" s="106">
        <v>1</v>
      </c>
      <c r="D35" s="80">
        <f t="shared" si="0"/>
        <v>0</v>
      </c>
      <c r="E35" s="106">
        <v>1</v>
      </c>
      <c r="F35" s="9" t="s">
        <v>69</v>
      </c>
      <c r="G35" s="9" t="s">
        <v>69</v>
      </c>
      <c r="H35" s="9" t="s">
        <v>69</v>
      </c>
      <c r="I35" s="9" t="s">
        <v>69</v>
      </c>
      <c r="J35" s="9" t="s">
        <v>69</v>
      </c>
      <c r="K35" s="103" t="s">
        <v>72</v>
      </c>
      <c r="L35" s="9" t="s">
        <v>69</v>
      </c>
      <c r="M35" s="104" t="s">
        <v>69</v>
      </c>
      <c r="N35" s="71" t="s">
        <v>69</v>
      </c>
      <c r="O35" s="9" t="s">
        <v>69</v>
      </c>
      <c r="P35" s="9" t="s">
        <v>69</v>
      </c>
      <c r="Q35" s="9" t="s">
        <v>69</v>
      </c>
      <c r="R35" s="9" t="s">
        <v>69</v>
      </c>
      <c r="S35" s="109" t="s">
        <v>71</v>
      </c>
      <c r="T35" s="9" t="s">
        <v>69</v>
      </c>
      <c r="U35" s="75" t="s">
        <v>69</v>
      </c>
      <c r="V35" s="9" t="s">
        <v>69</v>
      </c>
      <c r="W35" s="9" t="s">
        <v>69</v>
      </c>
      <c r="X35" s="9" t="s">
        <v>69</v>
      </c>
      <c r="Y35" s="9" t="s">
        <v>69</v>
      </c>
      <c r="Z35" s="9" t="s">
        <v>69</v>
      </c>
      <c r="AA35" s="9" t="s">
        <v>69</v>
      </c>
      <c r="AB35" s="75" t="s">
        <v>69</v>
      </c>
      <c r="AC35" s="75" t="s">
        <v>69</v>
      </c>
      <c r="AD35" s="75" t="s">
        <v>69</v>
      </c>
      <c r="AE35" s="75" t="s">
        <v>69</v>
      </c>
      <c r="AF35" s="75" t="s">
        <v>69</v>
      </c>
      <c r="AG35" s="75" t="s">
        <v>69</v>
      </c>
      <c r="AH35" s="9" t="s">
        <v>69</v>
      </c>
      <c r="AI35" s="75" t="s">
        <v>69</v>
      </c>
      <c r="AJ35" s="9" t="s">
        <v>69</v>
      </c>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c r="CT35" s="41"/>
      <c r="CU35" s="41"/>
      <c r="CV35" s="41"/>
      <c r="CW35" s="41"/>
      <c r="CX35" s="41"/>
      <c r="CY35" s="41"/>
      <c r="CZ35" s="41"/>
      <c r="DA35" s="41"/>
      <c r="DB35" s="41"/>
      <c r="DC35" s="41"/>
      <c r="DD35" s="41"/>
      <c r="DE35" s="41"/>
      <c r="DF35" s="41"/>
      <c r="DG35" s="41"/>
      <c r="DH35" s="41"/>
      <c r="DI35" s="41"/>
      <c r="DJ35" s="41"/>
      <c r="DK35" s="41"/>
      <c r="DL35" s="41"/>
      <c r="DM35" s="41"/>
      <c r="DN35" s="41"/>
      <c r="DO35" s="41"/>
      <c r="DP35" s="41"/>
      <c r="DQ35" s="41"/>
      <c r="DR35" s="41"/>
      <c r="DS35" s="41"/>
      <c r="DT35" s="41"/>
      <c r="DU35" s="41"/>
      <c r="DV35" s="41"/>
      <c r="DW35" s="41"/>
      <c r="DX35" s="41"/>
      <c r="DY35" s="41"/>
      <c r="DZ35" s="41"/>
      <c r="EA35" s="41"/>
      <c r="EB35" s="41"/>
      <c r="EC35" s="41"/>
      <c r="ED35" s="41"/>
      <c r="EE35" s="41"/>
      <c r="EF35" s="41"/>
      <c r="EG35" s="41"/>
    </row>
    <row r="36" spans="1:137" ht="18">
      <c r="A36" s="5">
        <v>35</v>
      </c>
      <c r="B36" s="20" t="s">
        <v>39</v>
      </c>
      <c r="C36" s="106">
        <v>0</v>
      </c>
      <c r="D36" s="80">
        <f t="shared" si="0"/>
        <v>0</v>
      </c>
      <c r="E36" s="106">
        <v>0</v>
      </c>
      <c r="F36" s="9" t="s">
        <v>69</v>
      </c>
      <c r="G36" s="9" t="s">
        <v>69</v>
      </c>
      <c r="H36" s="111" t="s">
        <v>74</v>
      </c>
      <c r="I36" s="9" t="s">
        <v>69</v>
      </c>
      <c r="J36" s="9" t="s">
        <v>69</v>
      </c>
      <c r="K36" s="9" t="s">
        <v>69</v>
      </c>
      <c r="L36" s="9" t="s">
        <v>69</v>
      </c>
      <c r="M36" s="104" t="s">
        <v>69</v>
      </c>
      <c r="N36" s="71" t="s">
        <v>69</v>
      </c>
      <c r="O36" s="9" t="s">
        <v>69</v>
      </c>
      <c r="P36" s="9" t="s">
        <v>69</v>
      </c>
      <c r="Q36" s="9" t="s">
        <v>69</v>
      </c>
      <c r="R36" s="9" t="s">
        <v>69</v>
      </c>
      <c r="S36" s="109" t="s">
        <v>71</v>
      </c>
      <c r="T36" s="9" t="s">
        <v>69</v>
      </c>
      <c r="U36" s="75" t="s">
        <v>69</v>
      </c>
      <c r="V36" s="9" t="s">
        <v>69</v>
      </c>
      <c r="W36" s="9" t="s">
        <v>69</v>
      </c>
      <c r="X36" s="9" t="s">
        <v>69</v>
      </c>
      <c r="Y36" s="9" t="s">
        <v>69</v>
      </c>
      <c r="Z36" s="9" t="s">
        <v>69</v>
      </c>
      <c r="AA36" s="9" t="s">
        <v>69</v>
      </c>
      <c r="AB36" s="75" t="s">
        <v>69</v>
      </c>
      <c r="AC36" s="75" t="s">
        <v>69</v>
      </c>
      <c r="AD36" s="75" t="s">
        <v>69</v>
      </c>
      <c r="AE36" s="75" t="s">
        <v>69</v>
      </c>
      <c r="AF36" s="75" t="s">
        <v>69</v>
      </c>
      <c r="AG36" s="75" t="s">
        <v>69</v>
      </c>
      <c r="AH36" s="9" t="s">
        <v>69</v>
      </c>
      <c r="AI36" s="75" t="s">
        <v>69</v>
      </c>
      <c r="AJ36" s="75" t="s">
        <v>69</v>
      </c>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c r="DF36" s="41"/>
      <c r="DG36" s="41"/>
      <c r="DH36" s="41"/>
      <c r="DI36" s="41"/>
      <c r="DJ36" s="41"/>
      <c r="DK36" s="41"/>
      <c r="DL36" s="41"/>
      <c r="DM36" s="41"/>
      <c r="DN36" s="41"/>
      <c r="DO36" s="41"/>
      <c r="DP36" s="41"/>
      <c r="DQ36" s="41"/>
      <c r="DR36" s="41"/>
      <c r="DS36" s="41"/>
      <c r="DT36" s="41"/>
      <c r="DU36" s="41"/>
      <c r="DV36" s="41"/>
      <c r="DW36" s="41"/>
      <c r="DX36" s="41"/>
      <c r="DY36" s="41"/>
      <c r="DZ36" s="41"/>
      <c r="EA36" s="41"/>
      <c r="EB36" s="41"/>
      <c r="EC36" s="41"/>
      <c r="ED36" s="41"/>
      <c r="EE36" s="41"/>
      <c r="EF36" s="41"/>
      <c r="EG36" s="41"/>
    </row>
    <row r="37" spans="1:137" ht="18">
      <c r="A37" s="5">
        <v>36</v>
      </c>
      <c r="B37" s="20" t="s">
        <v>40</v>
      </c>
      <c r="C37" s="106">
        <v>1</v>
      </c>
      <c r="D37" s="80">
        <f t="shared" si="0"/>
        <v>0</v>
      </c>
      <c r="E37" s="106">
        <v>1</v>
      </c>
      <c r="F37" s="111" t="s">
        <v>74</v>
      </c>
      <c r="G37" s="9" t="s">
        <v>69</v>
      </c>
      <c r="H37" s="9" t="s">
        <v>69</v>
      </c>
      <c r="I37" s="9" t="s">
        <v>69</v>
      </c>
      <c r="J37" s="9" t="s">
        <v>69</v>
      </c>
      <c r="K37" s="9" t="s">
        <v>69</v>
      </c>
      <c r="L37" s="9" t="s">
        <v>69</v>
      </c>
      <c r="M37" s="104" t="s">
        <v>69</v>
      </c>
      <c r="N37" s="71" t="s">
        <v>69</v>
      </c>
      <c r="O37" s="9" t="s">
        <v>69</v>
      </c>
      <c r="P37" s="9" t="s">
        <v>69</v>
      </c>
      <c r="Q37" s="9" t="s">
        <v>69</v>
      </c>
      <c r="R37" s="9" t="s">
        <v>69</v>
      </c>
      <c r="S37" s="109" t="s">
        <v>71</v>
      </c>
      <c r="T37" s="9" t="s">
        <v>69</v>
      </c>
      <c r="U37" s="75" t="s">
        <v>69</v>
      </c>
      <c r="V37" s="9" t="s">
        <v>69</v>
      </c>
      <c r="W37" s="9" t="s">
        <v>69</v>
      </c>
      <c r="X37" s="9" t="s">
        <v>69</v>
      </c>
      <c r="Y37" s="9" t="s">
        <v>69</v>
      </c>
      <c r="Z37" s="9" t="s">
        <v>69</v>
      </c>
      <c r="AA37" s="9" t="s">
        <v>69</v>
      </c>
      <c r="AB37" s="75" t="s">
        <v>69</v>
      </c>
      <c r="AC37" s="75" t="s">
        <v>69</v>
      </c>
      <c r="AD37" s="75" t="s">
        <v>69</v>
      </c>
      <c r="AE37" s="75" t="s">
        <v>69</v>
      </c>
      <c r="AF37" s="75" t="s">
        <v>69</v>
      </c>
      <c r="AG37" s="75" t="s">
        <v>69</v>
      </c>
      <c r="AH37" s="9" t="s">
        <v>69</v>
      </c>
      <c r="AI37" s="75" t="s">
        <v>69</v>
      </c>
      <c r="AJ37" s="25" t="s">
        <v>72</v>
      </c>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c r="DY37" s="41"/>
      <c r="DZ37" s="41"/>
      <c r="EA37" s="41"/>
      <c r="EB37" s="41"/>
      <c r="EC37" s="41"/>
      <c r="ED37" s="41"/>
      <c r="EE37" s="41"/>
      <c r="EF37" s="41"/>
      <c r="EG37" s="41"/>
    </row>
    <row r="38" spans="1:137" ht="18">
      <c r="A38" s="5">
        <v>37</v>
      </c>
      <c r="B38" s="18" t="s">
        <v>41</v>
      </c>
      <c r="C38" s="110">
        <v>1.5</v>
      </c>
      <c r="D38" s="80">
        <f t="shared" si="0"/>
        <v>1.5</v>
      </c>
      <c r="E38" s="110">
        <v>3</v>
      </c>
      <c r="F38" s="9" t="s">
        <v>69</v>
      </c>
      <c r="G38" s="9" t="s">
        <v>69</v>
      </c>
      <c r="H38" s="9" t="s">
        <v>69</v>
      </c>
      <c r="I38" s="9" t="s">
        <v>69</v>
      </c>
      <c r="J38" s="9" t="s">
        <v>69</v>
      </c>
      <c r="K38" s="9" t="s">
        <v>69</v>
      </c>
      <c r="L38" s="9" t="s">
        <v>69</v>
      </c>
      <c r="M38" s="104" t="s">
        <v>69</v>
      </c>
      <c r="N38" s="71" t="s">
        <v>69</v>
      </c>
      <c r="O38" s="9" t="s">
        <v>69</v>
      </c>
      <c r="P38" s="9" t="s">
        <v>70</v>
      </c>
      <c r="Q38" s="9" t="s">
        <v>69</v>
      </c>
      <c r="R38" s="9" t="s">
        <v>69</v>
      </c>
      <c r="S38" s="9" t="s">
        <v>69</v>
      </c>
      <c r="T38" s="9" t="s">
        <v>69</v>
      </c>
      <c r="U38" s="75" t="s">
        <v>69</v>
      </c>
      <c r="V38" s="9" t="s">
        <v>69</v>
      </c>
      <c r="W38" s="9" t="s">
        <v>69</v>
      </c>
      <c r="X38" s="9" t="s">
        <v>69</v>
      </c>
      <c r="Y38" s="9" t="s">
        <v>69</v>
      </c>
      <c r="Z38" s="9" t="s">
        <v>69</v>
      </c>
      <c r="AA38" s="9" t="s">
        <v>69</v>
      </c>
      <c r="AB38" s="75" t="s">
        <v>69</v>
      </c>
      <c r="AC38" s="75" t="s">
        <v>69</v>
      </c>
      <c r="AD38" s="75" t="s">
        <v>69</v>
      </c>
      <c r="AE38" s="75" t="s">
        <v>69</v>
      </c>
      <c r="AF38" s="25" t="s">
        <v>72</v>
      </c>
      <c r="AG38" s="25" t="s">
        <v>72</v>
      </c>
      <c r="AH38" s="25" t="s">
        <v>72</v>
      </c>
      <c r="AI38" s="75" t="s">
        <v>69</v>
      </c>
      <c r="AJ38" s="75" t="s">
        <v>69</v>
      </c>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row>
    <row r="39" spans="1:137" ht="18">
      <c r="A39" s="5">
        <v>38</v>
      </c>
      <c r="B39" s="20" t="s">
        <v>42</v>
      </c>
      <c r="C39" s="106">
        <v>2</v>
      </c>
      <c r="D39" s="80">
        <f t="shared" si="0"/>
        <v>0</v>
      </c>
      <c r="E39" s="106">
        <v>2</v>
      </c>
      <c r="F39" s="9" t="s">
        <v>69</v>
      </c>
      <c r="G39" s="9" t="s">
        <v>69</v>
      </c>
      <c r="H39" s="103" t="s">
        <v>72</v>
      </c>
      <c r="I39" s="9" t="s">
        <v>69</v>
      </c>
      <c r="J39" s="9" t="s">
        <v>69</v>
      </c>
      <c r="K39" s="9" t="s">
        <v>69</v>
      </c>
      <c r="L39" s="9" t="s">
        <v>69</v>
      </c>
      <c r="M39" s="104" t="s">
        <v>69</v>
      </c>
      <c r="N39" s="71" t="s">
        <v>69</v>
      </c>
      <c r="O39" s="9" t="s">
        <v>69</v>
      </c>
      <c r="P39" s="9" t="s">
        <v>69</v>
      </c>
      <c r="Q39" s="9" t="s">
        <v>69</v>
      </c>
      <c r="R39" s="9" t="s">
        <v>69</v>
      </c>
      <c r="S39" s="9" t="s">
        <v>69</v>
      </c>
      <c r="T39" s="9" t="s">
        <v>69</v>
      </c>
      <c r="U39" s="75" t="s">
        <v>69</v>
      </c>
      <c r="V39" s="75" t="s">
        <v>69</v>
      </c>
      <c r="W39" s="75" t="s">
        <v>69</v>
      </c>
      <c r="X39" s="75" t="s">
        <v>69</v>
      </c>
      <c r="Y39" s="75" t="s">
        <v>69</v>
      </c>
      <c r="Z39" s="75" t="s">
        <v>69</v>
      </c>
      <c r="AA39" s="9" t="s">
        <v>69</v>
      </c>
      <c r="AB39" s="75" t="s">
        <v>69</v>
      </c>
      <c r="AC39" s="103" t="s">
        <v>72</v>
      </c>
      <c r="AD39" s="9" t="s">
        <v>69</v>
      </c>
      <c r="AE39" s="135" t="s">
        <v>78</v>
      </c>
      <c r="AF39" s="135" t="s">
        <v>78</v>
      </c>
      <c r="AG39" s="135" t="s">
        <v>78</v>
      </c>
      <c r="AH39" s="135" t="s">
        <v>78</v>
      </c>
      <c r="AI39" s="135" t="s">
        <v>78</v>
      </c>
      <c r="AJ39" s="135" t="s">
        <v>78</v>
      </c>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c r="DN39" s="41"/>
      <c r="DO39" s="41"/>
      <c r="DP39" s="41"/>
      <c r="DQ39" s="41"/>
      <c r="DR39" s="41"/>
      <c r="DS39" s="41"/>
      <c r="DT39" s="41"/>
      <c r="DU39" s="41"/>
      <c r="DV39" s="41"/>
      <c r="DW39" s="41"/>
      <c r="DX39" s="41"/>
      <c r="DY39" s="41"/>
      <c r="DZ39" s="41"/>
      <c r="EA39" s="41"/>
      <c r="EB39" s="41"/>
      <c r="EC39" s="41"/>
      <c r="ED39" s="41"/>
      <c r="EE39" s="41"/>
      <c r="EF39" s="41"/>
      <c r="EG39" s="41"/>
    </row>
    <row r="40" spans="1:137" ht="18">
      <c r="A40" s="5">
        <v>39</v>
      </c>
      <c r="B40" s="20" t="s">
        <v>43</v>
      </c>
      <c r="C40" s="106">
        <v>1</v>
      </c>
      <c r="D40" s="80">
        <f t="shared" si="0"/>
        <v>0</v>
      </c>
      <c r="E40" s="106">
        <v>1</v>
      </c>
      <c r="F40" s="9" t="s">
        <v>69</v>
      </c>
      <c r="G40" s="9" t="s">
        <v>69</v>
      </c>
      <c r="H40" s="9" t="s">
        <v>69</v>
      </c>
      <c r="I40" s="9" t="s">
        <v>69</v>
      </c>
      <c r="J40" s="9" t="s">
        <v>69</v>
      </c>
      <c r="K40" s="9" t="s">
        <v>69</v>
      </c>
      <c r="L40" s="9" t="s">
        <v>69</v>
      </c>
      <c r="M40" s="104" t="s">
        <v>69</v>
      </c>
      <c r="N40" s="71" t="s">
        <v>69</v>
      </c>
      <c r="O40" s="9" t="s">
        <v>69</v>
      </c>
      <c r="P40" s="9" t="s">
        <v>69</v>
      </c>
      <c r="Q40" s="9" t="s">
        <v>69</v>
      </c>
      <c r="R40" s="9" t="s">
        <v>69</v>
      </c>
      <c r="S40" s="112" t="s">
        <v>71</v>
      </c>
      <c r="T40" s="9" t="s">
        <v>69</v>
      </c>
      <c r="U40" s="75" t="s">
        <v>69</v>
      </c>
      <c r="V40" s="9" t="s">
        <v>69</v>
      </c>
      <c r="W40" s="9" t="s">
        <v>69</v>
      </c>
      <c r="X40" s="9" t="s">
        <v>69</v>
      </c>
      <c r="Y40" s="9" t="s">
        <v>69</v>
      </c>
      <c r="Z40" s="9" t="s">
        <v>69</v>
      </c>
      <c r="AA40" s="9" t="s">
        <v>69</v>
      </c>
      <c r="AB40" s="75" t="s">
        <v>69</v>
      </c>
      <c r="AC40" s="75" t="s">
        <v>69</v>
      </c>
      <c r="AD40" s="75" t="s">
        <v>69</v>
      </c>
      <c r="AE40" s="75" t="s">
        <v>69</v>
      </c>
      <c r="AF40" s="75" t="s">
        <v>69</v>
      </c>
      <c r="AG40" s="25" t="s">
        <v>72</v>
      </c>
      <c r="AH40" s="9" t="s">
        <v>69</v>
      </c>
      <c r="AI40" s="75" t="s">
        <v>69</v>
      </c>
      <c r="AJ40" s="75" t="s">
        <v>69</v>
      </c>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41"/>
      <c r="CE40" s="41"/>
      <c r="CF40" s="41"/>
      <c r="CG40" s="41"/>
      <c r="CH40" s="41"/>
      <c r="CI40" s="41"/>
      <c r="CJ40" s="41"/>
      <c r="CK40" s="41"/>
      <c r="CL40" s="41"/>
      <c r="CM40" s="41"/>
      <c r="CN40" s="41"/>
      <c r="CO40" s="41"/>
      <c r="CP40" s="41"/>
      <c r="CQ40" s="41"/>
      <c r="CR40" s="41"/>
      <c r="CS40" s="41"/>
      <c r="CT40" s="41"/>
      <c r="CU40" s="41"/>
      <c r="CV40" s="41"/>
      <c r="CW40" s="41"/>
      <c r="CX40" s="41"/>
      <c r="CY40" s="41"/>
      <c r="CZ40" s="41"/>
      <c r="DA40" s="41"/>
      <c r="DB40" s="41"/>
      <c r="DC40" s="41"/>
      <c r="DD40" s="41"/>
      <c r="DE40" s="41"/>
      <c r="DF40" s="41"/>
      <c r="DG40" s="41"/>
      <c r="DH40" s="41"/>
      <c r="DI40" s="41"/>
      <c r="DJ40" s="41"/>
      <c r="DK40" s="41"/>
      <c r="DL40" s="41"/>
      <c r="DM40" s="41"/>
      <c r="DN40" s="41"/>
      <c r="DO40" s="41"/>
      <c r="DP40" s="41"/>
      <c r="DQ40" s="41"/>
      <c r="DR40" s="41"/>
      <c r="DS40" s="41"/>
      <c r="DT40" s="41"/>
      <c r="DU40" s="41"/>
      <c r="DV40" s="41"/>
      <c r="DW40" s="41"/>
      <c r="DX40" s="41"/>
      <c r="DY40" s="41"/>
      <c r="DZ40" s="41"/>
      <c r="EA40" s="41"/>
      <c r="EB40" s="41"/>
      <c r="EC40" s="41"/>
      <c r="ED40" s="41"/>
      <c r="EE40" s="41"/>
      <c r="EF40" s="41"/>
      <c r="EG40" s="41"/>
    </row>
    <row r="41" spans="1:137" ht="18">
      <c r="A41" s="5">
        <v>40</v>
      </c>
      <c r="B41" s="18" t="s">
        <v>44</v>
      </c>
      <c r="C41" s="110">
        <v>1</v>
      </c>
      <c r="D41" s="80">
        <f t="shared" si="0"/>
        <v>0</v>
      </c>
      <c r="E41" s="110">
        <v>1</v>
      </c>
      <c r="F41" s="9" t="s">
        <v>69</v>
      </c>
      <c r="G41" s="9" t="s">
        <v>69</v>
      </c>
      <c r="H41" s="9" t="s">
        <v>69</v>
      </c>
      <c r="I41" s="9" t="s">
        <v>69</v>
      </c>
      <c r="J41" s="9" t="s">
        <v>69</v>
      </c>
      <c r="K41" s="9" t="s">
        <v>69</v>
      </c>
      <c r="L41" s="9" t="s">
        <v>69</v>
      </c>
      <c r="M41" s="104" t="s">
        <v>70</v>
      </c>
      <c r="N41" s="71" t="s">
        <v>69</v>
      </c>
      <c r="O41" s="9" t="s">
        <v>69</v>
      </c>
      <c r="P41" s="9" t="s">
        <v>69</v>
      </c>
      <c r="Q41" s="9" t="s">
        <v>69</v>
      </c>
      <c r="R41" s="9" t="s">
        <v>69</v>
      </c>
      <c r="S41" s="112" t="s">
        <v>71</v>
      </c>
      <c r="T41" s="103" t="s">
        <v>72</v>
      </c>
      <c r="U41" s="75" t="s">
        <v>69</v>
      </c>
      <c r="V41" s="9" t="s">
        <v>69</v>
      </c>
      <c r="W41" s="9" t="s">
        <v>69</v>
      </c>
      <c r="X41" s="9" t="s">
        <v>69</v>
      </c>
      <c r="Y41" s="9" t="s">
        <v>69</v>
      </c>
      <c r="Z41" s="9" t="s">
        <v>69</v>
      </c>
      <c r="AA41" s="9" t="s">
        <v>69</v>
      </c>
      <c r="AB41" s="75" t="s">
        <v>69</v>
      </c>
      <c r="AC41" s="75" t="s">
        <v>69</v>
      </c>
      <c r="AD41" s="75" t="s">
        <v>69</v>
      </c>
      <c r="AE41" s="75" t="s">
        <v>69</v>
      </c>
      <c r="AF41" s="75" t="s">
        <v>69</v>
      </c>
      <c r="AG41" s="75" t="s">
        <v>69</v>
      </c>
      <c r="AH41" s="9" t="s">
        <v>69</v>
      </c>
      <c r="AI41" s="75" t="s">
        <v>69</v>
      </c>
      <c r="AJ41" s="113" t="s">
        <v>71</v>
      </c>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41"/>
      <c r="CE41" s="41"/>
      <c r="CF41" s="41"/>
      <c r="CG41" s="41"/>
      <c r="CH41" s="41"/>
      <c r="CI41" s="41"/>
      <c r="CJ41" s="41"/>
      <c r="CK41" s="41"/>
      <c r="CL41" s="41"/>
      <c r="CM41" s="41"/>
      <c r="CN41" s="41"/>
      <c r="CO41" s="41"/>
      <c r="CP41" s="41"/>
      <c r="CQ41" s="41"/>
      <c r="CR41" s="41"/>
      <c r="CS41" s="41"/>
      <c r="CT41" s="41"/>
      <c r="CU41" s="41"/>
      <c r="CV41" s="41"/>
      <c r="CW41" s="41"/>
      <c r="CX41" s="41"/>
      <c r="CY41" s="41"/>
      <c r="CZ41" s="41"/>
      <c r="DA41" s="41"/>
      <c r="DB41" s="41"/>
      <c r="DC41" s="41"/>
      <c r="DD41" s="41"/>
      <c r="DE41" s="41"/>
      <c r="DF41" s="41"/>
      <c r="DG41" s="41"/>
      <c r="DH41" s="41"/>
      <c r="DI41" s="41"/>
      <c r="DJ41" s="41"/>
      <c r="DK41" s="41"/>
      <c r="DL41" s="41"/>
      <c r="DM41" s="41"/>
      <c r="DN41" s="41"/>
      <c r="DO41" s="41"/>
      <c r="DP41" s="41"/>
      <c r="DQ41" s="41"/>
      <c r="DR41" s="41"/>
      <c r="DS41" s="41"/>
      <c r="DT41" s="41"/>
      <c r="DU41" s="41"/>
      <c r="DV41" s="41"/>
      <c r="DW41" s="41"/>
      <c r="DX41" s="41"/>
      <c r="DY41" s="41"/>
      <c r="DZ41" s="41"/>
      <c r="EA41" s="41"/>
      <c r="EB41" s="41"/>
      <c r="EC41" s="41"/>
      <c r="ED41" s="41"/>
      <c r="EE41" s="41"/>
      <c r="EF41" s="41"/>
      <c r="EG41" s="41"/>
    </row>
    <row r="42" spans="1:137" ht="17.649999999999999">
      <c r="A42" s="5">
        <v>41</v>
      </c>
      <c r="B42" s="21" t="s">
        <v>79</v>
      </c>
      <c r="C42" s="106"/>
      <c r="D42" s="80">
        <f t="shared" si="0"/>
        <v>25</v>
      </c>
      <c r="E42" s="106">
        <v>25</v>
      </c>
      <c r="F42" s="9" t="s">
        <v>69</v>
      </c>
      <c r="G42" s="9" t="s">
        <v>69</v>
      </c>
      <c r="H42" s="9" t="s">
        <v>69</v>
      </c>
      <c r="I42" s="9" t="s">
        <v>69</v>
      </c>
      <c r="J42" s="9" t="s">
        <v>69</v>
      </c>
      <c r="K42" s="9" t="s">
        <v>69</v>
      </c>
      <c r="L42" s="103" t="s">
        <v>72</v>
      </c>
      <c r="M42" s="103" t="s">
        <v>76</v>
      </c>
      <c r="N42" s="71" t="s">
        <v>69</v>
      </c>
      <c r="O42" s="103" t="s">
        <v>76</v>
      </c>
      <c r="P42" s="103" t="s">
        <v>76</v>
      </c>
      <c r="Q42" s="103" t="s">
        <v>76</v>
      </c>
      <c r="R42" s="103" t="s">
        <v>76</v>
      </c>
      <c r="S42" s="103" t="s">
        <v>76</v>
      </c>
      <c r="T42" s="103" t="s">
        <v>76</v>
      </c>
      <c r="U42" s="103" t="s">
        <v>76</v>
      </c>
      <c r="V42" s="103" t="s">
        <v>76</v>
      </c>
      <c r="W42" s="103" t="s">
        <v>76</v>
      </c>
      <c r="X42" s="103" t="s">
        <v>76</v>
      </c>
      <c r="Y42" s="103" t="s">
        <v>76</v>
      </c>
      <c r="Z42" s="103" t="s">
        <v>76</v>
      </c>
      <c r="AA42" s="103" t="s">
        <v>76</v>
      </c>
      <c r="AB42" s="103" t="s">
        <v>76</v>
      </c>
      <c r="AC42" s="103" t="s">
        <v>76</v>
      </c>
      <c r="AD42" s="103" t="s">
        <v>76</v>
      </c>
      <c r="AE42" s="103" t="s">
        <v>76</v>
      </c>
      <c r="AF42" s="103" t="s">
        <v>76</v>
      </c>
      <c r="AG42" s="103" t="s">
        <v>76</v>
      </c>
      <c r="AH42" s="103" t="s">
        <v>76</v>
      </c>
      <c r="AI42" s="103" t="s">
        <v>76</v>
      </c>
      <c r="AJ42" s="103" t="s">
        <v>76</v>
      </c>
      <c r="AK42" s="43"/>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c r="CD42" s="41"/>
      <c r="CE42" s="41"/>
      <c r="CF42" s="41"/>
      <c r="CG42" s="41"/>
      <c r="CH42" s="41"/>
      <c r="CI42" s="41"/>
      <c r="CJ42" s="41"/>
      <c r="CK42" s="41"/>
      <c r="CL42" s="41"/>
      <c r="CM42" s="41"/>
      <c r="CN42" s="41"/>
      <c r="CO42" s="41"/>
      <c r="CP42" s="41"/>
      <c r="CQ42" s="41"/>
      <c r="CR42" s="41"/>
      <c r="CS42" s="41"/>
      <c r="CT42" s="41"/>
      <c r="CU42" s="41"/>
      <c r="CV42" s="41"/>
      <c r="CW42" s="41"/>
      <c r="CX42" s="41"/>
      <c r="CY42" s="41"/>
      <c r="CZ42" s="41"/>
      <c r="DA42" s="41"/>
      <c r="DB42" s="41"/>
      <c r="DC42" s="41"/>
      <c r="DD42" s="41"/>
      <c r="DE42" s="41"/>
      <c r="DF42" s="41"/>
      <c r="DG42" s="41"/>
      <c r="DH42" s="41"/>
      <c r="DI42" s="41"/>
      <c r="DJ42" s="41"/>
      <c r="DK42" s="41"/>
      <c r="DL42" s="41"/>
      <c r="DM42" s="41"/>
      <c r="DN42" s="41"/>
      <c r="DO42" s="41"/>
      <c r="DP42" s="41"/>
      <c r="DQ42" s="41"/>
      <c r="DR42" s="41"/>
      <c r="DS42" s="41"/>
      <c r="DT42" s="41"/>
      <c r="DU42" s="41"/>
      <c r="DV42" s="41"/>
      <c r="DW42" s="41"/>
      <c r="DX42" s="41"/>
      <c r="DY42" s="41"/>
      <c r="DZ42" s="41"/>
      <c r="EA42" s="41"/>
      <c r="EB42" s="41"/>
      <c r="EC42" s="41"/>
      <c r="ED42" s="41"/>
      <c r="EE42" s="41"/>
      <c r="EF42" s="41"/>
      <c r="EG42" s="41"/>
    </row>
    <row r="43" spans="1:137" ht="18">
      <c r="A43" s="5">
        <v>42</v>
      </c>
      <c r="B43" s="20" t="s">
        <v>46</v>
      </c>
      <c r="C43" s="106">
        <v>1</v>
      </c>
      <c r="D43" s="80">
        <f t="shared" si="0"/>
        <v>0</v>
      </c>
      <c r="E43" s="106">
        <v>1</v>
      </c>
      <c r="F43" s="9" t="s">
        <v>69</v>
      </c>
      <c r="G43" s="9" t="s">
        <v>69</v>
      </c>
      <c r="H43" s="9" t="s">
        <v>69</v>
      </c>
      <c r="I43" s="9" t="s">
        <v>69</v>
      </c>
      <c r="J43" s="9" t="s">
        <v>69</v>
      </c>
      <c r="K43" s="9" t="s">
        <v>69</v>
      </c>
      <c r="L43" s="9" t="s">
        <v>69</v>
      </c>
      <c r="M43" s="104" t="s">
        <v>70</v>
      </c>
      <c r="N43" s="71" t="s">
        <v>69</v>
      </c>
      <c r="O43" s="9" t="s">
        <v>69</v>
      </c>
      <c r="P43" s="9" t="s">
        <v>69</v>
      </c>
      <c r="Q43" s="9" t="s">
        <v>69</v>
      </c>
      <c r="R43" s="9" t="s">
        <v>69</v>
      </c>
      <c r="S43" s="109" t="s">
        <v>71</v>
      </c>
      <c r="T43" s="9" t="s">
        <v>69</v>
      </c>
      <c r="U43" s="75" t="s">
        <v>69</v>
      </c>
      <c r="V43" s="9" t="s">
        <v>69</v>
      </c>
      <c r="W43" s="9" t="s">
        <v>69</v>
      </c>
      <c r="X43" s="9" t="s">
        <v>69</v>
      </c>
      <c r="Y43" s="9" t="s">
        <v>69</v>
      </c>
      <c r="Z43" s="9" t="s">
        <v>69</v>
      </c>
      <c r="AA43" s="9" t="s">
        <v>69</v>
      </c>
      <c r="AB43" s="75" t="s">
        <v>69</v>
      </c>
      <c r="AC43" s="9" t="s">
        <v>69</v>
      </c>
      <c r="AD43" s="9" t="s">
        <v>69</v>
      </c>
      <c r="AE43" s="25" t="s">
        <v>72</v>
      </c>
      <c r="AF43" s="9" t="s">
        <v>69</v>
      </c>
      <c r="AG43" s="9" t="s">
        <v>69</v>
      </c>
      <c r="AH43" s="9" t="s">
        <v>69</v>
      </c>
      <c r="AI43" s="75" t="s">
        <v>69</v>
      </c>
      <c r="AJ43" s="86" t="s">
        <v>71</v>
      </c>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c r="CP43" s="41"/>
      <c r="CQ43" s="41"/>
      <c r="CR43" s="41"/>
      <c r="CS43" s="41"/>
      <c r="CT43" s="41"/>
      <c r="CU43" s="41"/>
      <c r="CV43" s="41"/>
      <c r="CW43" s="41"/>
      <c r="CX43" s="41"/>
      <c r="CY43" s="41"/>
      <c r="CZ43" s="41"/>
      <c r="DA43" s="41"/>
      <c r="DB43" s="41"/>
      <c r="DC43" s="41"/>
      <c r="DD43" s="41"/>
      <c r="DE43" s="41"/>
      <c r="DF43" s="41"/>
      <c r="DG43" s="41"/>
      <c r="DH43" s="41"/>
      <c r="DI43" s="41"/>
      <c r="DJ43" s="41"/>
      <c r="DK43" s="41"/>
      <c r="DL43" s="41"/>
      <c r="DM43" s="41"/>
      <c r="DN43" s="41"/>
      <c r="DO43" s="41"/>
      <c r="DP43" s="41"/>
      <c r="DQ43" s="41"/>
      <c r="DR43" s="41"/>
      <c r="DS43" s="41"/>
      <c r="DT43" s="41"/>
      <c r="DU43" s="41"/>
      <c r="DV43" s="41"/>
      <c r="DW43" s="41"/>
      <c r="DX43" s="41"/>
      <c r="DY43" s="41"/>
      <c r="DZ43" s="41"/>
      <c r="EA43" s="41"/>
      <c r="EB43" s="41"/>
      <c r="EC43" s="41"/>
      <c r="ED43" s="41"/>
      <c r="EE43" s="41"/>
      <c r="EF43" s="41"/>
      <c r="EG43" s="41"/>
    </row>
    <row r="44" spans="1:137" ht="18">
      <c r="A44" s="5">
        <v>43</v>
      </c>
      <c r="B44" s="20" t="s">
        <v>47</v>
      </c>
      <c r="C44" s="106">
        <v>0</v>
      </c>
      <c r="D44" s="80">
        <f t="shared" si="0"/>
        <v>0</v>
      </c>
      <c r="E44" s="106">
        <v>0</v>
      </c>
      <c r="F44" s="9" t="s">
        <v>69</v>
      </c>
      <c r="G44" s="9" t="s">
        <v>69</v>
      </c>
      <c r="H44" s="9" t="s">
        <v>69</v>
      </c>
      <c r="I44" s="9" t="s">
        <v>69</v>
      </c>
      <c r="J44" s="9" t="s">
        <v>69</v>
      </c>
      <c r="K44" s="9" t="s">
        <v>69</v>
      </c>
      <c r="L44" s="9" t="s">
        <v>69</v>
      </c>
      <c r="M44" s="104" t="s">
        <v>69</v>
      </c>
      <c r="N44" s="71" t="s">
        <v>69</v>
      </c>
      <c r="O44" s="9" t="s">
        <v>69</v>
      </c>
      <c r="P44" s="9" t="s">
        <v>69</v>
      </c>
      <c r="Q44" s="9" t="s">
        <v>69</v>
      </c>
      <c r="R44" s="9" t="s">
        <v>69</v>
      </c>
      <c r="S44" s="9" t="s">
        <v>69</v>
      </c>
      <c r="T44" s="9" t="s">
        <v>69</v>
      </c>
      <c r="U44" s="75" t="s">
        <v>69</v>
      </c>
      <c r="V44" s="9" t="s">
        <v>69</v>
      </c>
      <c r="W44" s="9" t="s">
        <v>69</v>
      </c>
      <c r="X44" s="9" t="s">
        <v>69</v>
      </c>
      <c r="Y44" s="9" t="s">
        <v>69</v>
      </c>
      <c r="Z44" s="9" t="s">
        <v>69</v>
      </c>
      <c r="AA44" s="9" t="s">
        <v>69</v>
      </c>
      <c r="AB44" s="75" t="s">
        <v>69</v>
      </c>
      <c r="AC44" s="75" t="s">
        <v>69</v>
      </c>
      <c r="AD44" s="75" t="s">
        <v>69</v>
      </c>
      <c r="AE44" s="75" t="s">
        <v>69</v>
      </c>
      <c r="AF44" s="9" t="s">
        <v>69</v>
      </c>
      <c r="AG44" s="9" t="s">
        <v>69</v>
      </c>
      <c r="AH44" s="9" t="s">
        <v>69</v>
      </c>
      <c r="AI44" s="75" t="s">
        <v>69</v>
      </c>
      <c r="AJ44" s="75" t="s">
        <v>69</v>
      </c>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c r="CT44" s="41"/>
      <c r="CU44" s="41"/>
      <c r="CV44" s="41"/>
      <c r="CW44" s="41"/>
      <c r="CX44" s="41"/>
      <c r="CY44" s="41"/>
      <c r="CZ44" s="41"/>
      <c r="DA44" s="41"/>
      <c r="DB44" s="41"/>
      <c r="DC44" s="41"/>
      <c r="DD44" s="41"/>
      <c r="DE44" s="41"/>
      <c r="DF44" s="41"/>
      <c r="DG44" s="41"/>
      <c r="DH44" s="41"/>
      <c r="DI44" s="41"/>
      <c r="DJ44" s="41"/>
      <c r="DK44" s="41"/>
      <c r="DL44" s="41"/>
      <c r="DM44" s="41"/>
      <c r="DN44" s="41"/>
      <c r="DO44" s="41"/>
      <c r="DP44" s="41"/>
      <c r="DQ44" s="41"/>
      <c r="DR44" s="41"/>
      <c r="DS44" s="41"/>
      <c r="DT44" s="41"/>
      <c r="DU44" s="41"/>
      <c r="DV44" s="41"/>
      <c r="DW44" s="41"/>
      <c r="DX44" s="41"/>
      <c r="DY44" s="41"/>
      <c r="DZ44" s="41"/>
      <c r="EA44" s="41"/>
      <c r="EB44" s="41"/>
      <c r="EC44" s="41"/>
      <c r="ED44" s="41"/>
      <c r="EE44" s="41"/>
      <c r="EF44" s="41"/>
      <c r="EG44" s="41"/>
    </row>
    <row r="45" spans="1:137" ht="18">
      <c r="A45" s="5">
        <v>44</v>
      </c>
      <c r="B45" s="20" t="s">
        <v>48</v>
      </c>
      <c r="C45" s="106">
        <v>1.5</v>
      </c>
      <c r="D45" s="80">
        <f t="shared" si="0"/>
        <v>2.5</v>
      </c>
      <c r="E45" s="106">
        <v>4</v>
      </c>
      <c r="F45" s="9" t="s">
        <v>69</v>
      </c>
      <c r="G45" s="9" t="s">
        <v>69</v>
      </c>
      <c r="H45" s="9" t="s">
        <v>69</v>
      </c>
      <c r="I45" s="103" t="s">
        <v>72</v>
      </c>
      <c r="J45" s="9" t="s">
        <v>69</v>
      </c>
      <c r="K45" s="9" t="s">
        <v>69</v>
      </c>
      <c r="L45" s="103" t="s">
        <v>72</v>
      </c>
      <c r="M45" s="103" t="s">
        <v>72</v>
      </c>
      <c r="N45" s="71" t="s">
        <v>69</v>
      </c>
      <c r="O45" s="9" t="s">
        <v>69</v>
      </c>
      <c r="P45" s="9" t="s">
        <v>69</v>
      </c>
      <c r="Q45" s="9" t="s">
        <v>69</v>
      </c>
      <c r="R45" s="9" t="s">
        <v>69</v>
      </c>
      <c r="S45" s="109" t="s">
        <v>71</v>
      </c>
      <c r="T45" s="9" t="s">
        <v>69</v>
      </c>
      <c r="U45" s="75" t="s">
        <v>69</v>
      </c>
      <c r="V45" s="9" t="s">
        <v>69</v>
      </c>
      <c r="W45" s="9" t="s">
        <v>69</v>
      </c>
      <c r="X45" s="9" t="s">
        <v>69</v>
      </c>
      <c r="Y45" s="9" t="s">
        <v>69</v>
      </c>
      <c r="Z45" s="9" t="s">
        <v>69</v>
      </c>
      <c r="AA45" s="9" t="s">
        <v>69</v>
      </c>
      <c r="AB45" s="75" t="s">
        <v>69</v>
      </c>
      <c r="AC45" s="75" t="s">
        <v>69</v>
      </c>
      <c r="AD45" s="75" t="s">
        <v>69</v>
      </c>
      <c r="AE45" s="75" t="s">
        <v>69</v>
      </c>
      <c r="AF45" s="25" t="s">
        <v>72</v>
      </c>
      <c r="AG45" s="9" t="s">
        <v>69</v>
      </c>
      <c r="AH45" s="9" t="s">
        <v>69</v>
      </c>
      <c r="AI45" s="75" t="s">
        <v>69</v>
      </c>
      <c r="AJ45" s="9" t="s">
        <v>71</v>
      </c>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41"/>
      <c r="CE45" s="41"/>
      <c r="CF45" s="41"/>
      <c r="CG45" s="41"/>
      <c r="CH45" s="41"/>
      <c r="CI45" s="41"/>
      <c r="CJ45" s="41"/>
      <c r="CK45" s="41"/>
      <c r="CL45" s="41"/>
      <c r="CM45" s="41"/>
      <c r="CN45" s="41"/>
      <c r="CO45" s="41"/>
      <c r="CP45" s="41"/>
      <c r="CQ45" s="41"/>
      <c r="CR45" s="41"/>
      <c r="CS45" s="41"/>
      <c r="CT45" s="41"/>
      <c r="CU45" s="41"/>
      <c r="CV45" s="41"/>
      <c r="CW45" s="41"/>
      <c r="CX45" s="41"/>
      <c r="CY45" s="41"/>
      <c r="CZ45" s="41"/>
      <c r="DA45" s="41"/>
      <c r="DB45" s="41"/>
      <c r="DC45" s="41"/>
      <c r="DD45" s="41"/>
      <c r="DE45" s="41"/>
      <c r="DF45" s="41"/>
      <c r="DG45" s="41"/>
      <c r="DH45" s="41"/>
      <c r="DI45" s="41"/>
      <c r="DJ45" s="41"/>
      <c r="DK45" s="41"/>
      <c r="DL45" s="41"/>
      <c r="DM45" s="41"/>
      <c r="DN45" s="41"/>
      <c r="DO45" s="41"/>
      <c r="DP45" s="41"/>
      <c r="DQ45" s="41"/>
      <c r="DR45" s="41"/>
      <c r="DS45" s="41"/>
      <c r="DT45" s="41"/>
      <c r="DU45" s="41"/>
      <c r="DV45" s="41"/>
      <c r="DW45" s="41"/>
      <c r="DX45" s="41"/>
      <c r="DY45" s="41"/>
      <c r="DZ45" s="41"/>
      <c r="EA45" s="41"/>
      <c r="EB45" s="41"/>
      <c r="EC45" s="41"/>
      <c r="ED45" s="41"/>
      <c r="EE45" s="41"/>
      <c r="EF45" s="41"/>
      <c r="EG45" s="41"/>
    </row>
    <row r="46" spans="1:137" ht="18">
      <c r="A46" s="5">
        <v>45</v>
      </c>
      <c r="B46" s="20" t="s">
        <v>49</v>
      </c>
      <c r="C46" s="106">
        <v>1</v>
      </c>
      <c r="D46" s="80">
        <f t="shared" si="0"/>
        <v>0</v>
      </c>
      <c r="E46" s="106">
        <v>1</v>
      </c>
      <c r="F46" s="9" t="s">
        <v>69</v>
      </c>
      <c r="G46" s="9" t="s">
        <v>69</v>
      </c>
      <c r="H46" s="9" t="s">
        <v>69</v>
      </c>
      <c r="I46" s="9" t="s">
        <v>69</v>
      </c>
      <c r="J46" s="9" t="s">
        <v>69</v>
      </c>
      <c r="K46" s="9" t="s">
        <v>69</v>
      </c>
      <c r="L46" s="9" t="s">
        <v>69</v>
      </c>
      <c r="M46" s="104" t="s">
        <v>69</v>
      </c>
      <c r="N46" s="71" t="s">
        <v>69</v>
      </c>
      <c r="O46" s="9" t="s">
        <v>69</v>
      </c>
      <c r="P46" s="9" t="s">
        <v>69</v>
      </c>
      <c r="Q46" s="9" t="s">
        <v>69</v>
      </c>
      <c r="R46" s="9" t="s">
        <v>69</v>
      </c>
      <c r="S46" s="9" t="s">
        <v>69</v>
      </c>
      <c r="T46" s="9" t="s">
        <v>69</v>
      </c>
      <c r="U46" s="75" t="s">
        <v>69</v>
      </c>
      <c r="V46" s="9" t="s">
        <v>69</v>
      </c>
      <c r="W46" s="9" t="s">
        <v>69</v>
      </c>
      <c r="X46" s="9" t="s">
        <v>69</v>
      </c>
      <c r="Y46" s="9" t="s">
        <v>69</v>
      </c>
      <c r="Z46" s="9" t="s">
        <v>69</v>
      </c>
      <c r="AA46" s="9" t="s">
        <v>69</v>
      </c>
      <c r="AB46" s="75" t="s">
        <v>69</v>
      </c>
      <c r="AC46" s="9" t="s">
        <v>69</v>
      </c>
      <c r="AD46" s="9" t="s">
        <v>69</v>
      </c>
      <c r="AE46" s="9" t="s">
        <v>69</v>
      </c>
      <c r="AF46" s="25" t="s">
        <v>72</v>
      </c>
      <c r="AG46" s="9" t="s">
        <v>69</v>
      </c>
      <c r="AH46" s="9" t="s">
        <v>69</v>
      </c>
      <c r="AI46" s="75" t="s">
        <v>69</v>
      </c>
      <c r="AJ46" s="75" t="s">
        <v>69</v>
      </c>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41"/>
      <c r="CD46" s="41"/>
      <c r="CE46" s="41"/>
      <c r="CF46" s="41"/>
      <c r="CG46" s="41"/>
      <c r="CH46" s="41"/>
      <c r="CI46" s="41"/>
      <c r="CJ46" s="41"/>
      <c r="CK46" s="41"/>
      <c r="CL46" s="41"/>
      <c r="CM46" s="41"/>
      <c r="CN46" s="41"/>
      <c r="CO46" s="41"/>
      <c r="CP46" s="41"/>
      <c r="CQ46" s="41"/>
      <c r="CR46" s="41"/>
      <c r="CS46" s="41"/>
      <c r="CT46" s="41"/>
      <c r="CU46" s="41"/>
      <c r="CV46" s="41"/>
      <c r="CW46" s="41"/>
      <c r="CX46" s="41"/>
      <c r="CY46" s="41"/>
      <c r="CZ46" s="41"/>
      <c r="DA46" s="41"/>
      <c r="DB46" s="41"/>
      <c r="DC46" s="41"/>
      <c r="DD46" s="41"/>
      <c r="DE46" s="41"/>
      <c r="DF46" s="41"/>
      <c r="DG46" s="41"/>
      <c r="DH46" s="41"/>
      <c r="DI46" s="41"/>
      <c r="DJ46" s="41"/>
      <c r="DK46" s="41"/>
      <c r="DL46" s="41"/>
      <c r="DM46" s="41"/>
      <c r="DN46" s="41"/>
      <c r="DO46" s="41"/>
      <c r="DP46" s="41"/>
      <c r="DQ46" s="41"/>
      <c r="DR46" s="41"/>
      <c r="DS46" s="41"/>
      <c r="DT46" s="41"/>
      <c r="DU46" s="41"/>
      <c r="DV46" s="41"/>
      <c r="DW46" s="41"/>
      <c r="DX46" s="41"/>
      <c r="DY46" s="41"/>
      <c r="DZ46" s="41"/>
      <c r="EA46" s="41"/>
      <c r="EB46" s="41"/>
      <c r="EC46" s="41"/>
      <c r="ED46" s="41"/>
      <c r="EE46" s="41"/>
      <c r="EF46" s="41"/>
      <c r="EG46" s="41"/>
    </row>
    <row r="47" spans="1:137" ht="18">
      <c r="A47" s="5">
        <v>46</v>
      </c>
      <c r="B47" s="20" t="s">
        <v>50</v>
      </c>
      <c r="C47" s="106">
        <v>1.5</v>
      </c>
      <c r="D47" s="80">
        <f t="shared" si="0"/>
        <v>0.5</v>
      </c>
      <c r="E47" s="106">
        <v>2</v>
      </c>
      <c r="F47" s="103" t="s">
        <v>72</v>
      </c>
      <c r="G47" s="9" t="s">
        <v>69</v>
      </c>
      <c r="H47" s="9" t="s">
        <v>69</v>
      </c>
      <c r="I47" s="9" t="s">
        <v>69</v>
      </c>
      <c r="J47" s="9" t="s">
        <v>69</v>
      </c>
      <c r="K47" s="9" t="s">
        <v>69</v>
      </c>
      <c r="L47" s="9" t="s">
        <v>69</v>
      </c>
      <c r="M47" s="104" t="s">
        <v>70</v>
      </c>
      <c r="N47" s="71" t="s">
        <v>69</v>
      </c>
      <c r="O47" s="9" t="s">
        <v>69</v>
      </c>
      <c r="P47" s="9" t="s">
        <v>69</v>
      </c>
      <c r="Q47" s="9" t="s">
        <v>69</v>
      </c>
      <c r="R47" s="9" t="s">
        <v>69</v>
      </c>
      <c r="S47" s="105" t="s">
        <v>71</v>
      </c>
      <c r="T47" s="103" t="s">
        <v>72</v>
      </c>
      <c r="U47" s="75" t="s">
        <v>69</v>
      </c>
      <c r="V47" s="9" t="s">
        <v>69</v>
      </c>
      <c r="W47" s="9" t="s">
        <v>69</v>
      </c>
      <c r="X47" s="9" t="s">
        <v>69</v>
      </c>
      <c r="Y47" s="9" t="s">
        <v>69</v>
      </c>
      <c r="Z47" s="9" t="s">
        <v>69</v>
      </c>
      <c r="AA47" s="9" t="s">
        <v>69</v>
      </c>
      <c r="AB47" s="75" t="s">
        <v>69</v>
      </c>
      <c r="AC47" s="9" t="s">
        <v>69</v>
      </c>
      <c r="AD47" s="9" t="s">
        <v>69</v>
      </c>
      <c r="AE47" s="9" t="s">
        <v>69</v>
      </c>
      <c r="AF47" s="9" t="s">
        <v>69</v>
      </c>
      <c r="AG47" s="9" t="s">
        <v>69</v>
      </c>
      <c r="AH47" s="9" t="s">
        <v>69</v>
      </c>
      <c r="AI47" s="75" t="s">
        <v>69</v>
      </c>
      <c r="AJ47" s="9" t="s">
        <v>71</v>
      </c>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41"/>
      <c r="CS47" s="41"/>
      <c r="CT47" s="41"/>
      <c r="CU47" s="41"/>
      <c r="CV47" s="41"/>
      <c r="CW47" s="41"/>
      <c r="CX47" s="41"/>
      <c r="CY47" s="41"/>
      <c r="CZ47" s="41"/>
      <c r="DA47" s="41"/>
      <c r="DB47" s="41"/>
      <c r="DC47" s="41"/>
      <c r="DD47" s="41"/>
      <c r="DE47" s="41"/>
      <c r="DF47" s="41"/>
      <c r="DG47" s="41"/>
      <c r="DH47" s="41"/>
      <c r="DI47" s="41"/>
      <c r="DJ47" s="41"/>
      <c r="DK47" s="41"/>
      <c r="DL47" s="41"/>
      <c r="DM47" s="41"/>
      <c r="DN47" s="41"/>
      <c r="DO47" s="41"/>
      <c r="DP47" s="41"/>
      <c r="DQ47" s="41"/>
      <c r="DR47" s="41"/>
      <c r="DS47" s="41"/>
      <c r="DT47" s="41"/>
      <c r="DU47" s="41"/>
      <c r="DV47" s="41"/>
      <c r="DW47" s="41"/>
      <c r="DX47" s="41"/>
      <c r="DY47" s="41"/>
      <c r="DZ47" s="41"/>
      <c r="EA47" s="41"/>
      <c r="EB47" s="41"/>
      <c r="EC47" s="41"/>
      <c r="ED47" s="41"/>
      <c r="EE47" s="41"/>
      <c r="EF47" s="41"/>
      <c r="EG47" s="41"/>
    </row>
    <row r="48" spans="1:137" ht="18">
      <c r="A48" s="5">
        <v>47</v>
      </c>
      <c r="B48" s="20" t="s">
        <v>51</v>
      </c>
      <c r="C48" s="106">
        <v>0</v>
      </c>
      <c r="D48" s="80">
        <f t="shared" si="0"/>
        <v>0</v>
      </c>
      <c r="E48" s="106">
        <v>0</v>
      </c>
      <c r="F48" s="9" t="s">
        <v>69</v>
      </c>
      <c r="G48" s="9" t="s">
        <v>69</v>
      </c>
      <c r="H48" s="9" t="s">
        <v>69</v>
      </c>
      <c r="I48" s="9" t="s">
        <v>69</v>
      </c>
      <c r="J48" s="9" t="s">
        <v>69</v>
      </c>
      <c r="K48" s="9" t="s">
        <v>69</v>
      </c>
      <c r="L48" s="9" t="s">
        <v>69</v>
      </c>
      <c r="M48" s="104" t="s">
        <v>69</v>
      </c>
      <c r="N48" s="71" t="s">
        <v>69</v>
      </c>
      <c r="O48" s="9" t="s">
        <v>69</v>
      </c>
      <c r="P48" s="9" t="s">
        <v>69</v>
      </c>
      <c r="Q48" s="9" t="s">
        <v>69</v>
      </c>
      <c r="R48" s="9" t="s">
        <v>69</v>
      </c>
      <c r="S48" s="9" t="s">
        <v>69</v>
      </c>
      <c r="T48" s="9" t="s">
        <v>69</v>
      </c>
      <c r="U48" s="75" t="s">
        <v>69</v>
      </c>
      <c r="V48" s="9" t="s">
        <v>69</v>
      </c>
      <c r="W48" s="9" t="s">
        <v>69</v>
      </c>
      <c r="X48" s="9" t="s">
        <v>69</v>
      </c>
      <c r="Y48" s="9" t="s">
        <v>69</v>
      </c>
      <c r="Z48" s="9" t="s">
        <v>69</v>
      </c>
      <c r="AA48" s="9" t="s">
        <v>69</v>
      </c>
      <c r="AB48" s="75" t="s">
        <v>69</v>
      </c>
      <c r="AC48" s="75" t="s">
        <v>69</v>
      </c>
      <c r="AD48" s="9" t="s">
        <v>69</v>
      </c>
      <c r="AE48" s="9" t="s">
        <v>69</v>
      </c>
      <c r="AF48" s="9" t="s">
        <v>69</v>
      </c>
      <c r="AG48" s="9" t="s">
        <v>69</v>
      </c>
      <c r="AH48" s="9" t="s">
        <v>69</v>
      </c>
      <c r="AI48" s="75" t="s">
        <v>69</v>
      </c>
      <c r="AJ48" s="75" t="s">
        <v>69</v>
      </c>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c r="BX48" s="41"/>
      <c r="BY48" s="41"/>
      <c r="BZ48" s="41"/>
      <c r="CA48" s="41"/>
      <c r="CB48" s="41"/>
      <c r="CC48" s="41"/>
      <c r="CD48" s="41"/>
      <c r="CE48" s="41"/>
      <c r="CF48" s="41"/>
      <c r="CG48" s="41"/>
      <c r="CH48" s="41"/>
      <c r="CI48" s="41"/>
      <c r="CJ48" s="41"/>
      <c r="CK48" s="41"/>
      <c r="CL48" s="41"/>
      <c r="CM48" s="41"/>
      <c r="CN48" s="41"/>
      <c r="CO48" s="41"/>
      <c r="CP48" s="41"/>
      <c r="CQ48" s="41"/>
      <c r="CR48" s="41"/>
      <c r="CS48" s="41"/>
      <c r="CT48" s="41"/>
      <c r="CU48" s="41"/>
      <c r="CV48" s="41"/>
      <c r="CW48" s="41"/>
      <c r="CX48" s="41"/>
      <c r="CY48" s="41"/>
      <c r="CZ48" s="41"/>
      <c r="DA48" s="41"/>
      <c r="DB48" s="41"/>
      <c r="DC48" s="41"/>
      <c r="DD48" s="41"/>
      <c r="DE48" s="41"/>
      <c r="DF48" s="41"/>
      <c r="DG48" s="41"/>
      <c r="DH48" s="41"/>
      <c r="DI48" s="41"/>
      <c r="DJ48" s="41"/>
      <c r="DK48" s="41"/>
      <c r="DL48" s="41"/>
      <c r="DM48" s="41"/>
      <c r="DN48" s="41"/>
      <c r="DO48" s="41"/>
      <c r="DP48" s="41"/>
      <c r="DQ48" s="41"/>
      <c r="DR48" s="41"/>
      <c r="DS48" s="41"/>
      <c r="DT48" s="41"/>
      <c r="DU48" s="41"/>
      <c r="DV48" s="41"/>
      <c r="DW48" s="41"/>
      <c r="DX48" s="41"/>
      <c r="DY48" s="41"/>
      <c r="DZ48" s="41"/>
      <c r="EA48" s="41"/>
      <c r="EB48" s="41"/>
      <c r="EC48" s="41"/>
      <c r="ED48" s="41"/>
      <c r="EE48" s="41"/>
      <c r="EF48" s="41"/>
      <c r="EG48" s="41"/>
    </row>
    <row r="49" spans="1:156" ht="18">
      <c r="A49" s="5">
        <v>48</v>
      </c>
      <c r="B49" s="20" t="s">
        <v>52</v>
      </c>
      <c r="C49" s="106">
        <v>0</v>
      </c>
      <c r="D49" s="80">
        <f t="shared" si="0"/>
        <v>0</v>
      </c>
      <c r="E49" s="106">
        <v>0</v>
      </c>
      <c r="F49" s="9" t="s">
        <v>69</v>
      </c>
      <c r="G49" s="9" t="s">
        <v>69</v>
      </c>
      <c r="H49" s="9" t="s">
        <v>69</v>
      </c>
      <c r="I49" s="9" t="s">
        <v>69</v>
      </c>
      <c r="J49" s="9" t="s">
        <v>69</v>
      </c>
      <c r="K49" s="9" t="s">
        <v>69</v>
      </c>
      <c r="L49" s="9" t="s">
        <v>69</v>
      </c>
      <c r="M49" s="104" t="s">
        <v>69</v>
      </c>
      <c r="N49" s="71" t="s">
        <v>69</v>
      </c>
      <c r="O49" s="9" t="s">
        <v>69</v>
      </c>
      <c r="P49" s="9" t="s">
        <v>69</v>
      </c>
      <c r="Q49" s="9" t="s">
        <v>69</v>
      </c>
      <c r="R49" s="9" t="s">
        <v>69</v>
      </c>
      <c r="S49" s="112" t="s">
        <v>71</v>
      </c>
      <c r="T49" s="9" t="s">
        <v>69</v>
      </c>
      <c r="U49" s="75" t="s">
        <v>69</v>
      </c>
      <c r="V49" s="9" t="s">
        <v>69</v>
      </c>
      <c r="W49" s="9" t="s">
        <v>69</v>
      </c>
      <c r="X49" s="9" t="s">
        <v>69</v>
      </c>
      <c r="Y49" s="9" t="s">
        <v>69</v>
      </c>
      <c r="Z49" s="9" t="s">
        <v>69</v>
      </c>
      <c r="AA49" s="9" t="s">
        <v>69</v>
      </c>
      <c r="AB49" s="75" t="s">
        <v>69</v>
      </c>
      <c r="AC49" s="9" t="s">
        <v>69</v>
      </c>
      <c r="AD49" s="9" t="s">
        <v>69</v>
      </c>
      <c r="AE49" s="9" t="s">
        <v>69</v>
      </c>
      <c r="AF49" s="9" t="s">
        <v>69</v>
      </c>
      <c r="AG49" s="9" t="s">
        <v>69</v>
      </c>
      <c r="AH49" s="9" t="s">
        <v>69</v>
      </c>
      <c r="AI49" s="75" t="s">
        <v>69</v>
      </c>
      <c r="AJ49" s="9" t="s">
        <v>71</v>
      </c>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41"/>
      <c r="BV49" s="41"/>
      <c r="BW49" s="41"/>
      <c r="BX49" s="41"/>
      <c r="BY49" s="41"/>
      <c r="BZ49" s="41"/>
      <c r="CA49" s="41"/>
      <c r="CB49" s="41"/>
      <c r="CC49" s="41"/>
      <c r="CD49" s="41"/>
      <c r="CE49" s="41"/>
      <c r="CF49" s="41"/>
      <c r="CG49" s="41"/>
      <c r="CH49" s="41"/>
      <c r="CI49" s="41"/>
      <c r="CJ49" s="41"/>
      <c r="CK49" s="41"/>
      <c r="CL49" s="41"/>
      <c r="CM49" s="41"/>
      <c r="CN49" s="41"/>
      <c r="CO49" s="41"/>
      <c r="CP49" s="41"/>
      <c r="CQ49" s="41"/>
      <c r="CR49" s="41"/>
      <c r="CS49" s="41"/>
      <c r="CT49" s="41"/>
      <c r="CU49" s="41"/>
      <c r="CV49" s="41"/>
      <c r="CW49" s="41"/>
      <c r="CX49" s="41"/>
      <c r="CY49" s="41"/>
      <c r="CZ49" s="41"/>
      <c r="DA49" s="41"/>
      <c r="DB49" s="41"/>
      <c r="DC49" s="41"/>
      <c r="DD49" s="41"/>
      <c r="DE49" s="41"/>
      <c r="DF49" s="41"/>
      <c r="DG49" s="41"/>
      <c r="DH49" s="41"/>
      <c r="DI49" s="41"/>
      <c r="DJ49" s="41"/>
      <c r="DK49" s="41"/>
      <c r="DL49" s="41"/>
      <c r="DM49" s="41"/>
      <c r="DN49" s="41"/>
      <c r="DO49" s="41"/>
      <c r="DP49" s="41"/>
      <c r="DQ49" s="41"/>
      <c r="DR49" s="41"/>
      <c r="DS49" s="41"/>
      <c r="DT49" s="41"/>
      <c r="DU49" s="41"/>
      <c r="DV49" s="41"/>
      <c r="DW49" s="41"/>
      <c r="DX49" s="41"/>
      <c r="DY49" s="41"/>
      <c r="DZ49" s="41"/>
      <c r="EA49" s="41"/>
      <c r="EB49" s="41"/>
      <c r="EC49" s="41"/>
      <c r="ED49" s="41"/>
      <c r="EE49" s="41"/>
      <c r="EF49" s="41"/>
      <c r="EG49" s="41"/>
    </row>
    <row r="50" spans="1:156" ht="18">
      <c r="A50" s="5">
        <v>49</v>
      </c>
      <c r="B50" s="20" t="s">
        <v>53</v>
      </c>
      <c r="C50" s="106">
        <v>0</v>
      </c>
      <c r="D50" s="80">
        <f t="shared" si="0"/>
        <v>0</v>
      </c>
      <c r="E50" s="106">
        <v>0</v>
      </c>
      <c r="F50" s="9" t="s">
        <v>69</v>
      </c>
      <c r="G50" s="9" t="s">
        <v>69</v>
      </c>
      <c r="H50" s="9" t="s">
        <v>69</v>
      </c>
      <c r="I50" s="9" t="s">
        <v>69</v>
      </c>
      <c r="J50" s="9" t="s">
        <v>69</v>
      </c>
      <c r="K50" s="9" t="s">
        <v>69</v>
      </c>
      <c r="L50" s="9" t="s">
        <v>69</v>
      </c>
      <c r="M50" s="104" t="s">
        <v>69</v>
      </c>
      <c r="N50" s="71" t="s">
        <v>69</v>
      </c>
      <c r="O50" s="9" t="s">
        <v>69</v>
      </c>
      <c r="P50" s="9" t="s">
        <v>69</v>
      </c>
      <c r="Q50" s="9" t="s">
        <v>69</v>
      </c>
      <c r="R50" s="9" t="s">
        <v>69</v>
      </c>
      <c r="S50" s="9" t="s">
        <v>69</v>
      </c>
      <c r="T50" s="9" t="s">
        <v>69</v>
      </c>
      <c r="U50" s="75" t="s">
        <v>69</v>
      </c>
      <c r="V50" s="9" t="s">
        <v>69</v>
      </c>
      <c r="W50" s="9" t="s">
        <v>69</v>
      </c>
      <c r="X50" s="9" t="s">
        <v>69</v>
      </c>
      <c r="Y50" s="9" t="s">
        <v>69</v>
      </c>
      <c r="Z50" s="9" t="s">
        <v>69</v>
      </c>
      <c r="AA50" s="9" t="s">
        <v>69</v>
      </c>
      <c r="AB50" s="75" t="s">
        <v>69</v>
      </c>
      <c r="AC50" s="75" t="s">
        <v>69</v>
      </c>
      <c r="AD50" s="75" t="s">
        <v>69</v>
      </c>
      <c r="AE50" s="75" t="s">
        <v>69</v>
      </c>
      <c r="AF50" s="9" t="s">
        <v>69</v>
      </c>
      <c r="AG50" s="9" t="s">
        <v>69</v>
      </c>
      <c r="AH50" s="9" t="s">
        <v>69</v>
      </c>
      <c r="AI50" s="75" t="s">
        <v>69</v>
      </c>
      <c r="AJ50" s="75" t="s">
        <v>69</v>
      </c>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c r="CP50" s="41"/>
      <c r="CQ50" s="41"/>
      <c r="CR50" s="41"/>
      <c r="CS50" s="41"/>
      <c r="CT50" s="41"/>
      <c r="CU50" s="41"/>
      <c r="CV50" s="41"/>
      <c r="CW50" s="41"/>
      <c r="CX50" s="41"/>
      <c r="CY50" s="41"/>
      <c r="CZ50" s="41"/>
      <c r="DA50" s="41"/>
      <c r="DB50" s="41"/>
      <c r="DC50" s="41"/>
      <c r="DD50" s="41"/>
      <c r="DE50" s="41"/>
      <c r="DF50" s="41"/>
      <c r="DG50" s="41"/>
      <c r="DH50" s="41"/>
      <c r="DI50" s="41"/>
      <c r="DJ50" s="41"/>
      <c r="DK50" s="41"/>
      <c r="DL50" s="41"/>
      <c r="DM50" s="41"/>
      <c r="DN50" s="41"/>
      <c r="DO50" s="41"/>
      <c r="DP50" s="41"/>
      <c r="DQ50" s="41"/>
      <c r="DR50" s="41"/>
      <c r="DS50" s="41"/>
      <c r="DT50" s="41"/>
      <c r="DU50" s="41"/>
      <c r="DV50" s="41"/>
      <c r="DW50" s="41"/>
      <c r="DX50" s="41"/>
      <c r="DY50" s="41"/>
      <c r="DZ50" s="41"/>
      <c r="EA50" s="41"/>
      <c r="EB50" s="41"/>
      <c r="EC50" s="41"/>
      <c r="ED50" s="41"/>
      <c r="EE50" s="41"/>
      <c r="EF50" s="41"/>
      <c r="EG50" s="41"/>
    </row>
    <row r="51" spans="1:156" ht="18">
      <c r="A51" s="5">
        <v>50</v>
      </c>
      <c r="B51" s="18" t="s">
        <v>54</v>
      </c>
      <c r="C51" s="106">
        <v>1</v>
      </c>
      <c r="D51" s="80">
        <f t="shared" si="0"/>
        <v>0</v>
      </c>
      <c r="E51" s="106">
        <v>1</v>
      </c>
      <c r="F51" s="9" t="s">
        <v>69</v>
      </c>
      <c r="G51" s="9" t="s">
        <v>69</v>
      </c>
      <c r="H51" s="9" t="s">
        <v>69</v>
      </c>
      <c r="I51" s="9" t="s">
        <v>69</v>
      </c>
      <c r="J51" s="9" t="s">
        <v>69</v>
      </c>
      <c r="K51" s="9" t="s">
        <v>69</v>
      </c>
      <c r="L51" s="9" t="s">
        <v>69</v>
      </c>
      <c r="M51" s="104" t="s">
        <v>69</v>
      </c>
      <c r="N51" s="71" t="s">
        <v>69</v>
      </c>
      <c r="O51" s="9" t="s">
        <v>69</v>
      </c>
      <c r="P51" s="9" t="s">
        <v>69</v>
      </c>
      <c r="Q51" s="9" t="s">
        <v>69</v>
      </c>
      <c r="R51" s="9" t="s">
        <v>69</v>
      </c>
      <c r="S51" s="105" t="s">
        <v>71</v>
      </c>
      <c r="T51" s="103" t="s">
        <v>72</v>
      </c>
      <c r="U51" s="75" t="s">
        <v>69</v>
      </c>
      <c r="V51" s="9" t="s">
        <v>69</v>
      </c>
      <c r="W51" s="9" t="s">
        <v>69</v>
      </c>
      <c r="X51" s="9" t="s">
        <v>70</v>
      </c>
      <c r="Y51" s="9" t="s">
        <v>70</v>
      </c>
      <c r="Z51" s="9" t="s">
        <v>70</v>
      </c>
      <c r="AA51" s="9" t="s">
        <v>70</v>
      </c>
      <c r="AB51" s="75" t="s">
        <v>69</v>
      </c>
      <c r="AC51" s="75" t="s">
        <v>69</v>
      </c>
      <c r="AD51" s="75" t="s">
        <v>69</v>
      </c>
      <c r="AE51" s="75" t="s">
        <v>69</v>
      </c>
      <c r="AF51" s="75" t="s">
        <v>69</v>
      </c>
      <c r="AG51" s="75" t="s">
        <v>69</v>
      </c>
      <c r="AH51" s="75" t="s">
        <v>69</v>
      </c>
      <c r="AI51" s="75" t="s">
        <v>69</v>
      </c>
      <c r="AJ51" s="75" t="s">
        <v>69</v>
      </c>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c r="CD51" s="41"/>
      <c r="CE51" s="41"/>
      <c r="CF51" s="41"/>
      <c r="CG51" s="41"/>
      <c r="CH51" s="41"/>
      <c r="CI51" s="41"/>
      <c r="CJ51" s="41"/>
      <c r="CK51" s="41"/>
      <c r="CL51" s="41"/>
      <c r="CM51" s="41"/>
      <c r="CN51" s="41"/>
      <c r="CO51" s="41"/>
      <c r="CP51" s="41"/>
      <c r="CQ51" s="41"/>
      <c r="CR51" s="41"/>
      <c r="CS51" s="41"/>
      <c r="CT51" s="41"/>
      <c r="CU51" s="41"/>
      <c r="CV51" s="41"/>
      <c r="CW51" s="41"/>
      <c r="CX51" s="41"/>
      <c r="CY51" s="41"/>
      <c r="CZ51" s="41"/>
      <c r="DA51" s="41"/>
      <c r="DB51" s="41"/>
      <c r="DC51" s="41"/>
      <c r="DD51" s="41"/>
      <c r="DE51" s="41"/>
      <c r="DF51" s="41"/>
      <c r="DG51" s="41"/>
      <c r="DH51" s="41"/>
      <c r="DI51" s="41"/>
      <c r="DJ51" s="41"/>
      <c r="DK51" s="41"/>
      <c r="DL51" s="41"/>
      <c r="DM51" s="41"/>
      <c r="DN51" s="41"/>
      <c r="DO51" s="41"/>
      <c r="DP51" s="41"/>
      <c r="DQ51" s="41"/>
      <c r="DR51" s="41"/>
      <c r="DS51" s="41"/>
      <c r="DT51" s="41"/>
      <c r="DU51" s="41"/>
      <c r="DV51" s="41"/>
      <c r="DW51" s="41"/>
      <c r="DX51" s="41"/>
      <c r="DY51" s="41"/>
      <c r="DZ51" s="41"/>
      <c r="EA51" s="41"/>
      <c r="EB51" s="41"/>
      <c r="EC51" s="41"/>
      <c r="ED51" s="41"/>
      <c r="EE51" s="41"/>
      <c r="EF51" s="41"/>
      <c r="EG51" s="41"/>
    </row>
    <row r="52" spans="1:156" ht="18">
      <c r="A52" s="5">
        <v>51</v>
      </c>
      <c r="B52" s="20" t="s">
        <v>55</v>
      </c>
      <c r="C52" s="106">
        <v>1</v>
      </c>
      <c r="D52" s="80">
        <f t="shared" si="0"/>
        <v>0</v>
      </c>
      <c r="E52" s="106">
        <v>1</v>
      </c>
      <c r="F52" s="9" t="s">
        <v>69</v>
      </c>
      <c r="G52" s="9" t="s">
        <v>69</v>
      </c>
      <c r="H52" s="9" t="s">
        <v>69</v>
      </c>
      <c r="I52" s="9" t="s">
        <v>69</v>
      </c>
      <c r="J52" s="9" t="s">
        <v>69</v>
      </c>
      <c r="K52" s="9" t="s">
        <v>69</v>
      </c>
      <c r="L52" s="9" t="s">
        <v>69</v>
      </c>
      <c r="M52" s="104" t="s">
        <v>69</v>
      </c>
      <c r="N52" s="71" t="s">
        <v>69</v>
      </c>
      <c r="O52" s="9" t="s">
        <v>69</v>
      </c>
      <c r="P52" s="9" t="s">
        <v>69</v>
      </c>
      <c r="Q52" s="9" t="s">
        <v>69</v>
      </c>
      <c r="R52" s="9" t="s">
        <v>69</v>
      </c>
      <c r="S52" s="9" t="s">
        <v>69</v>
      </c>
      <c r="T52" s="9" t="s">
        <v>69</v>
      </c>
      <c r="U52" s="75" t="s">
        <v>69</v>
      </c>
      <c r="V52" s="9" t="s">
        <v>69</v>
      </c>
      <c r="W52" s="9" t="s">
        <v>69</v>
      </c>
      <c r="X52" s="9" t="s">
        <v>69</v>
      </c>
      <c r="Y52" s="9" t="s">
        <v>69</v>
      </c>
      <c r="Z52" s="9" t="s">
        <v>69</v>
      </c>
      <c r="AA52" s="9" t="s">
        <v>69</v>
      </c>
      <c r="AB52" s="75" t="s">
        <v>69</v>
      </c>
      <c r="AC52" s="75" t="s">
        <v>69</v>
      </c>
      <c r="AD52" s="75" t="s">
        <v>69</v>
      </c>
      <c r="AE52" s="9" t="s">
        <v>69</v>
      </c>
      <c r="AF52" s="75" t="s">
        <v>69</v>
      </c>
      <c r="AG52" s="75" t="s">
        <v>69</v>
      </c>
      <c r="AH52" s="75" t="s">
        <v>69</v>
      </c>
      <c r="AI52" s="75" t="s">
        <v>69</v>
      </c>
      <c r="AJ52" s="75" t="s">
        <v>69</v>
      </c>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41"/>
      <c r="CN52" s="41"/>
      <c r="CO52" s="41"/>
      <c r="CP52" s="41"/>
      <c r="CQ52" s="41"/>
      <c r="CR52" s="41"/>
      <c r="CS52" s="41"/>
      <c r="CT52" s="41"/>
      <c r="CU52" s="41"/>
      <c r="CV52" s="41"/>
      <c r="CW52" s="41"/>
      <c r="CX52" s="41"/>
      <c r="CY52" s="41"/>
      <c r="CZ52" s="41"/>
      <c r="DA52" s="41"/>
      <c r="DB52" s="41"/>
      <c r="DC52" s="41"/>
      <c r="DD52" s="41"/>
      <c r="DE52" s="41"/>
      <c r="DF52" s="41"/>
      <c r="DG52" s="41"/>
      <c r="DH52" s="41"/>
      <c r="DI52" s="41"/>
      <c r="DJ52" s="41"/>
      <c r="DK52" s="41"/>
      <c r="DL52" s="41"/>
      <c r="DM52" s="41"/>
      <c r="DN52" s="41"/>
      <c r="DO52" s="41"/>
      <c r="DP52" s="41"/>
      <c r="DQ52" s="41"/>
      <c r="DR52" s="41"/>
      <c r="DS52" s="41"/>
      <c r="DT52" s="41"/>
      <c r="DU52" s="41"/>
      <c r="DV52" s="41"/>
      <c r="DW52" s="41"/>
      <c r="DX52" s="41"/>
      <c r="DY52" s="41"/>
      <c r="DZ52" s="41"/>
      <c r="EA52" s="41"/>
      <c r="EB52" s="41"/>
      <c r="EC52" s="41"/>
      <c r="ED52" s="41"/>
      <c r="EE52" s="41"/>
      <c r="EF52" s="41"/>
      <c r="EG52" s="41"/>
    </row>
    <row r="53" spans="1:156" ht="18">
      <c r="A53" s="5">
        <v>52</v>
      </c>
      <c r="B53" s="20" t="s">
        <v>80</v>
      </c>
      <c r="C53" s="106">
        <v>0</v>
      </c>
      <c r="D53" s="80">
        <f t="shared" si="0"/>
        <v>5</v>
      </c>
      <c r="E53" s="106">
        <v>5</v>
      </c>
      <c r="F53" s="103" t="s">
        <v>72</v>
      </c>
      <c r="G53" s="88" t="s">
        <v>72</v>
      </c>
      <c r="H53" s="9" t="s">
        <v>69</v>
      </c>
      <c r="I53" s="9" t="s">
        <v>69</v>
      </c>
      <c r="J53" s="9" t="s">
        <v>69</v>
      </c>
      <c r="K53" s="9" t="s">
        <v>69</v>
      </c>
      <c r="L53" s="9" t="s">
        <v>69</v>
      </c>
      <c r="M53" s="9" t="s">
        <v>69</v>
      </c>
      <c r="N53" s="71" t="s">
        <v>69</v>
      </c>
      <c r="O53" s="9" t="s">
        <v>69</v>
      </c>
      <c r="P53" s="9" t="s">
        <v>69</v>
      </c>
      <c r="Q53" s="9" t="s">
        <v>69</v>
      </c>
      <c r="R53" s="9" t="s">
        <v>69</v>
      </c>
      <c r="S53" s="109" t="s">
        <v>71</v>
      </c>
      <c r="T53" s="9" t="s">
        <v>69</v>
      </c>
      <c r="U53" s="75" t="s">
        <v>69</v>
      </c>
      <c r="V53" s="9" t="s">
        <v>69</v>
      </c>
      <c r="W53" s="9" t="s">
        <v>69</v>
      </c>
      <c r="X53" s="9" t="s">
        <v>69</v>
      </c>
      <c r="Y53" s="103" t="s">
        <v>72</v>
      </c>
      <c r="Z53" s="9" t="s">
        <v>69</v>
      </c>
      <c r="AA53" s="9" t="s">
        <v>69</v>
      </c>
      <c r="AB53" s="75" t="s">
        <v>69</v>
      </c>
      <c r="AC53" s="75" t="s">
        <v>69</v>
      </c>
      <c r="AD53" s="25" t="s">
        <v>72</v>
      </c>
      <c r="AE53" s="9" t="s">
        <v>69</v>
      </c>
      <c r="AF53" s="25" t="s">
        <v>72</v>
      </c>
      <c r="AG53" s="9" t="s">
        <v>69</v>
      </c>
      <c r="AH53" s="9" t="s">
        <v>69</v>
      </c>
      <c r="AI53" s="75" t="s">
        <v>69</v>
      </c>
      <c r="AJ53" s="75" t="s">
        <v>71</v>
      </c>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c r="BX53" s="41"/>
      <c r="BY53" s="41"/>
      <c r="BZ53" s="41"/>
      <c r="CA53" s="41"/>
      <c r="CB53" s="41"/>
      <c r="CC53" s="41"/>
      <c r="CD53" s="41"/>
      <c r="CE53" s="41"/>
      <c r="CF53" s="41"/>
      <c r="CG53" s="41"/>
      <c r="CH53" s="41"/>
      <c r="CI53" s="41"/>
      <c r="CJ53" s="41"/>
      <c r="CK53" s="41"/>
      <c r="CL53" s="41"/>
      <c r="CM53" s="41"/>
      <c r="CN53" s="41"/>
      <c r="CO53" s="41"/>
      <c r="CP53" s="41"/>
      <c r="CQ53" s="41"/>
      <c r="CR53" s="41"/>
      <c r="CS53" s="41"/>
      <c r="CT53" s="41"/>
      <c r="CU53" s="41"/>
      <c r="CV53" s="41"/>
      <c r="CW53" s="41"/>
      <c r="CX53" s="41"/>
      <c r="CY53" s="41"/>
      <c r="CZ53" s="41"/>
      <c r="DA53" s="41"/>
      <c r="DB53" s="41"/>
      <c r="DC53" s="41"/>
      <c r="DD53" s="41"/>
      <c r="DE53" s="41"/>
      <c r="DF53" s="41"/>
      <c r="DG53" s="41"/>
      <c r="DH53" s="41"/>
      <c r="DI53" s="41"/>
      <c r="DJ53" s="41"/>
      <c r="DK53" s="41"/>
      <c r="DL53" s="41"/>
      <c r="DM53" s="41"/>
      <c r="DN53" s="41"/>
      <c r="DO53" s="41"/>
      <c r="DP53" s="41"/>
      <c r="DQ53" s="41"/>
      <c r="DR53" s="41"/>
      <c r="DS53" s="41"/>
      <c r="DT53" s="41"/>
      <c r="DU53" s="41"/>
      <c r="DV53" s="41"/>
      <c r="DW53" s="41"/>
      <c r="DX53" s="41"/>
      <c r="DY53" s="41"/>
      <c r="DZ53" s="41"/>
      <c r="EA53" s="41"/>
      <c r="EB53" s="41"/>
      <c r="EC53" s="41"/>
      <c r="ED53" s="41"/>
      <c r="EE53" s="41"/>
      <c r="EF53" s="41"/>
      <c r="EG53" s="41"/>
    </row>
    <row r="54" spans="1:156" ht="18">
      <c r="A54" s="5">
        <v>53</v>
      </c>
      <c r="B54" s="18" t="s">
        <v>56</v>
      </c>
      <c r="C54" s="106">
        <v>1</v>
      </c>
      <c r="D54" s="80">
        <f t="shared" si="0"/>
        <v>0</v>
      </c>
      <c r="E54" s="106">
        <v>1</v>
      </c>
      <c r="F54" s="9" t="s">
        <v>69</v>
      </c>
      <c r="G54" s="9" t="s">
        <v>69</v>
      </c>
      <c r="H54" s="9" t="s">
        <v>69</v>
      </c>
      <c r="I54" s="9" t="s">
        <v>69</v>
      </c>
      <c r="J54" s="9" t="s">
        <v>69</v>
      </c>
      <c r="K54" s="9" t="s">
        <v>69</v>
      </c>
      <c r="L54" s="9" t="s">
        <v>69</v>
      </c>
      <c r="M54" s="104" t="s">
        <v>69</v>
      </c>
      <c r="N54" s="71" t="s">
        <v>69</v>
      </c>
      <c r="O54" s="9" t="s">
        <v>69</v>
      </c>
      <c r="P54" s="9" t="s">
        <v>69</v>
      </c>
      <c r="Q54" s="9" t="s">
        <v>69</v>
      </c>
      <c r="R54" s="9" t="s">
        <v>69</v>
      </c>
      <c r="S54" s="109" t="s">
        <v>71</v>
      </c>
      <c r="T54" s="9" t="s">
        <v>69</v>
      </c>
      <c r="U54" s="75" t="s">
        <v>69</v>
      </c>
      <c r="V54" s="9" t="s">
        <v>69</v>
      </c>
      <c r="W54" s="9" t="s">
        <v>69</v>
      </c>
      <c r="X54" s="9" t="s">
        <v>69</v>
      </c>
      <c r="Y54" s="9" t="s">
        <v>69</v>
      </c>
      <c r="Z54" s="9" t="s">
        <v>69</v>
      </c>
      <c r="AA54" s="9" t="s">
        <v>69</v>
      </c>
      <c r="AB54" s="75" t="s">
        <v>69</v>
      </c>
      <c r="AC54" s="75" t="s">
        <v>69</v>
      </c>
      <c r="AD54" s="75" t="s">
        <v>69</v>
      </c>
      <c r="AE54" s="9" t="s">
        <v>69</v>
      </c>
      <c r="AF54" s="9" t="s">
        <v>69</v>
      </c>
      <c r="AG54" s="9" t="s">
        <v>69</v>
      </c>
      <c r="AH54" s="9" t="s">
        <v>69</v>
      </c>
      <c r="AI54" s="75" t="s">
        <v>69</v>
      </c>
      <c r="AJ54" s="72" t="s">
        <v>71</v>
      </c>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1"/>
      <c r="BZ54" s="41"/>
      <c r="CA54" s="41"/>
      <c r="CB54" s="41"/>
      <c r="CC54" s="41"/>
      <c r="CD54" s="41"/>
      <c r="CE54" s="41"/>
      <c r="CF54" s="41"/>
      <c r="CG54" s="41"/>
      <c r="CH54" s="41"/>
      <c r="CI54" s="41"/>
      <c r="CJ54" s="41"/>
      <c r="CK54" s="41"/>
      <c r="CL54" s="41"/>
      <c r="CM54" s="41"/>
      <c r="CN54" s="41"/>
      <c r="CO54" s="41"/>
      <c r="CP54" s="41"/>
      <c r="CQ54" s="41"/>
      <c r="CR54" s="41"/>
      <c r="CS54" s="41"/>
      <c r="CT54" s="41"/>
      <c r="CU54" s="41"/>
      <c r="CV54" s="41"/>
      <c r="CW54" s="41"/>
      <c r="CX54" s="41"/>
      <c r="CY54" s="41"/>
      <c r="CZ54" s="41"/>
      <c r="DA54" s="41"/>
      <c r="DB54" s="41"/>
      <c r="DC54" s="41"/>
      <c r="DD54" s="41"/>
      <c r="DE54" s="41"/>
      <c r="DF54" s="41"/>
      <c r="DG54" s="41"/>
      <c r="DH54" s="41"/>
      <c r="DI54" s="41"/>
      <c r="DJ54" s="41"/>
      <c r="DK54" s="41"/>
      <c r="DL54" s="41"/>
      <c r="DM54" s="41"/>
      <c r="DN54" s="41"/>
      <c r="DO54" s="41"/>
      <c r="DP54" s="41"/>
      <c r="DQ54" s="41"/>
      <c r="DR54" s="41"/>
      <c r="DS54" s="41"/>
      <c r="DT54" s="41"/>
      <c r="DU54" s="41"/>
      <c r="DV54" s="41"/>
      <c r="DW54" s="41"/>
      <c r="DX54" s="41"/>
      <c r="DY54" s="41"/>
      <c r="DZ54" s="41"/>
      <c r="EA54" s="41"/>
      <c r="EB54" s="41"/>
      <c r="EC54" s="41"/>
      <c r="ED54" s="41"/>
      <c r="EE54" s="41"/>
      <c r="EF54" s="41"/>
      <c r="EG54" s="41"/>
    </row>
    <row r="55" spans="1:156" ht="18">
      <c r="A55" s="5">
        <v>54</v>
      </c>
      <c r="B55" s="20" t="s">
        <v>57</v>
      </c>
      <c r="C55" s="106">
        <v>1</v>
      </c>
      <c r="D55" s="80">
        <f t="shared" si="0"/>
        <v>0</v>
      </c>
      <c r="E55" s="106">
        <v>1</v>
      </c>
      <c r="F55" s="9" t="s">
        <v>69</v>
      </c>
      <c r="G55" s="9" t="s">
        <v>69</v>
      </c>
      <c r="H55" s="9" t="s">
        <v>69</v>
      </c>
      <c r="I55" s="9" t="s">
        <v>69</v>
      </c>
      <c r="J55" s="9" t="s">
        <v>69</v>
      </c>
      <c r="K55" s="9" t="s">
        <v>69</v>
      </c>
      <c r="L55" s="9" t="s">
        <v>69</v>
      </c>
      <c r="M55" s="104" t="s">
        <v>69</v>
      </c>
      <c r="N55" s="71" t="s">
        <v>69</v>
      </c>
      <c r="O55" s="9" t="s">
        <v>69</v>
      </c>
      <c r="P55" s="9" t="s">
        <v>69</v>
      </c>
      <c r="Q55" s="9" t="s">
        <v>69</v>
      </c>
      <c r="R55" s="9" t="s">
        <v>69</v>
      </c>
      <c r="S55" s="109" t="s">
        <v>71</v>
      </c>
      <c r="T55" s="9" t="s">
        <v>69</v>
      </c>
      <c r="U55" s="75" t="s">
        <v>69</v>
      </c>
      <c r="V55" s="9" t="s">
        <v>69</v>
      </c>
      <c r="W55" s="9" t="s">
        <v>69</v>
      </c>
      <c r="X55" s="9" t="s">
        <v>69</v>
      </c>
      <c r="Y55" s="9" t="s">
        <v>69</v>
      </c>
      <c r="Z55" s="9" t="s">
        <v>69</v>
      </c>
      <c r="AA55" s="9" t="s">
        <v>69</v>
      </c>
      <c r="AB55" s="75" t="s">
        <v>69</v>
      </c>
      <c r="AC55" s="75" t="s">
        <v>69</v>
      </c>
      <c r="AD55" s="75" t="s">
        <v>69</v>
      </c>
      <c r="AE55" s="75" t="s">
        <v>69</v>
      </c>
      <c r="AF55" s="75" t="s">
        <v>69</v>
      </c>
      <c r="AG55" s="75" t="s">
        <v>69</v>
      </c>
      <c r="AH55" s="9" t="s">
        <v>69</v>
      </c>
      <c r="AI55" s="75" t="s">
        <v>69</v>
      </c>
      <c r="AJ55" s="9" t="s">
        <v>71</v>
      </c>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c r="BX55" s="41"/>
      <c r="BY55" s="41"/>
      <c r="BZ55" s="41"/>
      <c r="CA55" s="41"/>
      <c r="CB55" s="41"/>
      <c r="CC55" s="41"/>
      <c r="CD55" s="41"/>
      <c r="CE55" s="41"/>
      <c r="CF55" s="41"/>
      <c r="CG55" s="41"/>
      <c r="CH55" s="41"/>
      <c r="CI55" s="41"/>
      <c r="CJ55" s="41"/>
      <c r="CK55" s="41"/>
      <c r="CL55" s="41"/>
      <c r="CM55" s="41"/>
      <c r="CN55" s="41"/>
      <c r="CO55" s="41"/>
      <c r="CP55" s="41"/>
      <c r="CQ55" s="41"/>
      <c r="CR55" s="41"/>
      <c r="CS55" s="41"/>
      <c r="CT55" s="41"/>
      <c r="CU55" s="41"/>
      <c r="CV55" s="41"/>
      <c r="CW55" s="41"/>
      <c r="CX55" s="41"/>
      <c r="CY55" s="41"/>
      <c r="CZ55" s="41"/>
      <c r="DA55" s="41"/>
      <c r="DB55" s="41"/>
      <c r="DC55" s="41"/>
      <c r="DD55" s="41"/>
      <c r="DE55" s="41"/>
      <c r="DF55" s="41"/>
      <c r="DG55" s="41"/>
      <c r="DH55" s="41"/>
      <c r="DI55" s="41"/>
      <c r="DJ55" s="41"/>
      <c r="DK55" s="41"/>
      <c r="DL55" s="41"/>
      <c r="DM55" s="41"/>
      <c r="DN55" s="41"/>
      <c r="DO55" s="41"/>
      <c r="DP55" s="41"/>
      <c r="DQ55" s="41"/>
      <c r="DR55" s="41"/>
      <c r="DS55" s="41"/>
      <c r="DT55" s="41"/>
      <c r="DU55" s="41"/>
      <c r="DV55" s="41"/>
      <c r="DW55" s="41"/>
      <c r="DX55" s="41"/>
      <c r="DY55" s="41"/>
      <c r="DZ55" s="41"/>
      <c r="EA55" s="41"/>
      <c r="EB55" s="41"/>
      <c r="EC55" s="41"/>
      <c r="ED55" s="41"/>
      <c r="EE55" s="41"/>
      <c r="EF55" s="41"/>
      <c r="EG55" s="41"/>
    </row>
    <row r="56" spans="1:156" ht="18">
      <c r="A56" s="5">
        <v>55</v>
      </c>
      <c r="B56" s="20" t="s">
        <v>58</v>
      </c>
      <c r="C56" s="106">
        <v>2</v>
      </c>
      <c r="D56" s="80">
        <f t="shared" si="0"/>
        <v>0</v>
      </c>
      <c r="E56" s="106">
        <v>2</v>
      </c>
      <c r="F56" s="9" t="s">
        <v>69</v>
      </c>
      <c r="G56" s="9" t="s">
        <v>69</v>
      </c>
      <c r="H56" s="9" t="s">
        <v>69</v>
      </c>
      <c r="I56" s="9" t="s">
        <v>69</v>
      </c>
      <c r="J56" s="9" t="s">
        <v>69</v>
      </c>
      <c r="K56" s="9" t="s">
        <v>69</v>
      </c>
      <c r="L56" s="9" t="s">
        <v>69</v>
      </c>
      <c r="M56" s="103" t="s">
        <v>72</v>
      </c>
      <c r="N56" s="71" t="s">
        <v>69</v>
      </c>
      <c r="O56" s="9" t="s">
        <v>69</v>
      </c>
      <c r="P56" s="9" t="s">
        <v>69</v>
      </c>
      <c r="Q56" s="9" t="s">
        <v>69</v>
      </c>
      <c r="R56" s="9" t="s">
        <v>69</v>
      </c>
      <c r="S56" s="109" t="s">
        <v>71</v>
      </c>
      <c r="T56" s="103" t="s">
        <v>72</v>
      </c>
      <c r="U56" s="75" t="s">
        <v>69</v>
      </c>
      <c r="V56" s="9" t="s">
        <v>69</v>
      </c>
      <c r="W56" s="9" t="s">
        <v>69</v>
      </c>
      <c r="X56" s="9" t="s">
        <v>69</v>
      </c>
      <c r="Y56" s="9" t="s">
        <v>69</v>
      </c>
      <c r="Z56" s="9" t="s">
        <v>69</v>
      </c>
      <c r="AA56" s="9" t="s">
        <v>69</v>
      </c>
      <c r="AB56" s="75" t="s">
        <v>69</v>
      </c>
      <c r="AC56" s="75" t="s">
        <v>69</v>
      </c>
      <c r="AD56" s="75" t="s">
        <v>69</v>
      </c>
      <c r="AE56" s="75" t="s">
        <v>69</v>
      </c>
      <c r="AF56" s="75" t="s">
        <v>69</v>
      </c>
      <c r="AG56" s="75" t="s">
        <v>69</v>
      </c>
      <c r="AH56" s="9" t="s">
        <v>69</v>
      </c>
      <c r="AI56" s="75" t="s">
        <v>69</v>
      </c>
      <c r="AJ56" s="9" t="s">
        <v>71</v>
      </c>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41"/>
      <c r="CN56" s="41"/>
      <c r="CO56" s="41"/>
      <c r="CP56" s="41"/>
      <c r="CQ56" s="41"/>
      <c r="CR56" s="41"/>
      <c r="CS56" s="41"/>
      <c r="CT56" s="41"/>
      <c r="CU56" s="41"/>
      <c r="CV56" s="41"/>
      <c r="CW56" s="41"/>
      <c r="CX56" s="41"/>
      <c r="CY56" s="41"/>
      <c r="CZ56" s="41"/>
      <c r="DA56" s="41"/>
      <c r="DB56" s="41"/>
      <c r="DC56" s="41"/>
      <c r="DD56" s="41"/>
      <c r="DE56" s="41"/>
      <c r="DF56" s="41"/>
      <c r="DG56" s="41"/>
      <c r="DH56" s="41"/>
      <c r="DI56" s="41"/>
      <c r="DJ56" s="41"/>
      <c r="DK56" s="41"/>
      <c r="DL56" s="41"/>
      <c r="DM56" s="41"/>
      <c r="DN56" s="41"/>
      <c r="DO56" s="41"/>
      <c r="DP56" s="41"/>
      <c r="DQ56" s="41"/>
      <c r="DR56" s="41"/>
      <c r="DS56" s="41"/>
      <c r="DT56" s="41"/>
      <c r="DU56" s="41"/>
      <c r="DV56" s="41"/>
      <c r="DW56" s="41"/>
      <c r="DX56" s="41"/>
      <c r="DY56" s="41"/>
      <c r="DZ56" s="41"/>
      <c r="EA56" s="41"/>
      <c r="EB56" s="41"/>
      <c r="EC56" s="41"/>
      <c r="ED56" s="41"/>
      <c r="EE56" s="41"/>
      <c r="EF56" s="41"/>
      <c r="EG56" s="41"/>
    </row>
    <row r="57" spans="1:156" ht="18">
      <c r="A57" s="5">
        <v>56</v>
      </c>
      <c r="B57" s="26" t="s">
        <v>81</v>
      </c>
      <c r="C57" s="106"/>
      <c r="D57" s="80">
        <f t="shared" si="0"/>
        <v>31</v>
      </c>
      <c r="E57" s="106">
        <v>31</v>
      </c>
      <c r="F57" s="103" t="s">
        <v>72</v>
      </c>
      <c r="G57" s="114" t="s">
        <v>69</v>
      </c>
      <c r="H57" s="103" t="s">
        <v>72</v>
      </c>
      <c r="I57" s="103" t="s">
        <v>72</v>
      </c>
      <c r="J57" s="103" t="s">
        <v>72</v>
      </c>
      <c r="K57" s="103" t="s">
        <v>72</v>
      </c>
      <c r="L57" s="103" t="s">
        <v>72</v>
      </c>
      <c r="M57" s="103" t="s">
        <v>72</v>
      </c>
      <c r="N57" s="71" t="s">
        <v>69</v>
      </c>
      <c r="O57" s="103" t="s">
        <v>72</v>
      </c>
      <c r="P57" s="103" t="s">
        <v>72</v>
      </c>
      <c r="Q57" s="103" t="s">
        <v>72</v>
      </c>
      <c r="R57" s="103" t="s">
        <v>72</v>
      </c>
      <c r="S57" s="109" t="s">
        <v>71</v>
      </c>
      <c r="T57" s="63" t="s">
        <v>72</v>
      </c>
      <c r="U57" s="75" t="s">
        <v>69</v>
      </c>
      <c r="V57" s="63" t="s">
        <v>72</v>
      </c>
      <c r="W57" s="63" t="s">
        <v>72</v>
      </c>
      <c r="X57" s="63" t="s">
        <v>72</v>
      </c>
      <c r="Y57" s="63" t="s">
        <v>72</v>
      </c>
      <c r="Z57" s="63" t="s">
        <v>72</v>
      </c>
      <c r="AA57" s="63" t="s">
        <v>72</v>
      </c>
      <c r="AB57" s="75" t="s">
        <v>69</v>
      </c>
      <c r="AC57" s="25" t="s">
        <v>72</v>
      </c>
      <c r="AD57" s="25" t="s">
        <v>76</v>
      </c>
      <c r="AE57" s="25" t="s">
        <v>76</v>
      </c>
      <c r="AF57" s="25" t="s">
        <v>76</v>
      </c>
      <c r="AG57" s="25" t="s">
        <v>76</v>
      </c>
      <c r="AH57" s="25" t="s">
        <v>76</v>
      </c>
      <c r="AI57" s="25" t="s">
        <v>76</v>
      </c>
      <c r="AJ57" s="25" t="s">
        <v>76</v>
      </c>
      <c r="AK57" s="44"/>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1"/>
      <c r="DI57" s="41"/>
      <c r="DJ57" s="41"/>
      <c r="DK57" s="41"/>
      <c r="DL57" s="41"/>
      <c r="DM57" s="41"/>
      <c r="DN57" s="41"/>
      <c r="DO57" s="41"/>
      <c r="DP57" s="41"/>
      <c r="DQ57" s="41"/>
      <c r="DR57" s="41"/>
      <c r="DS57" s="41"/>
      <c r="DT57" s="41"/>
      <c r="DU57" s="41"/>
      <c r="DV57" s="41"/>
      <c r="DW57" s="41"/>
      <c r="DX57" s="41"/>
      <c r="DY57" s="41"/>
      <c r="DZ57" s="41"/>
      <c r="EA57" s="41"/>
      <c r="EB57" s="41"/>
      <c r="EC57" s="41"/>
      <c r="ED57" s="41"/>
      <c r="EE57" s="41"/>
      <c r="EF57" s="41"/>
      <c r="EG57" s="41"/>
    </row>
    <row r="58" spans="1:156" ht="18">
      <c r="A58" s="5">
        <v>57</v>
      </c>
      <c r="B58" s="18" t="s">
        <v>60</v>
      </c>
      <c r="C58" s="106">
        <v>1</v>
      </c>
      <c r="D58" s="80">
        <f t="shared" si="0"/>
        <v>8</v>
      </c>
      <c r="E58" s="106">
        <v>9</v>
      </c>
      <c r="F58" s="103" t="s">
        <v>72</v>
      </c>
      <c r="G58" s="114" t="s">
        <v>69</v>
      </c>
      <c r="H58" s="114" t="s">
        <v>69</v>
      </c>
      <c r="I58" s="114" t="s">
        <v>69</v>
      </c>
      <c r="J58" s="114" t="s">
        <v>69</v>
      </c>
      <c r="K58" s="114" t="s">
        <v>69</v>
      </c>
      <c r="L58" s="114" t="s">
        <v>69</v>
      </c>
      <c r="M58" s="104" t="s">
        <v>70</v>
      </c>
      <c r="N58" s="71" t="s">
        <v>69</v>
      </c>
      <c r="O58" s="103" t="s">
        <v>72</v>
      </c>
      <c r="P58" s="103" t="s">
        <v>72</v>
      </c>
      <c r="Q58" s="9" t="s">
        <v>69</v>
      </c>
      <c r="R58" s="9" t="s">
        <v>69</v>
      </c>
      <c r="S58" s="9" t="s">
        <v>69</v>
      </c>
      <c r="T58" s="9" t="s">
        <v>69</v>
      </c>
      <c r="U58" s="75" t="s">
        <v>69</v>
      </c>
      <c r="V58" s="9" t="s">
        <v>69</v>
      </c>
      <c r="W58" s="9" t="s">
        <v>69</v>
      </c>
      <c r="X58" s="9" t="s">
        <v>69</v>
      </c>
      <c r="Y58" s="9" t="s">
        <v>69</v>
      </c>
      <c r="Z58" s="9" t="s">
        <v>69</v>
      </c>
      <c r="AA58" s="103" t="s">
        <v>72</v>
      </c>
      <c r="AB58" s="75" t="s">
        <v>69</v>
      </c>
      <c r="AC58" s="75" t="s">
        <v>69</v>
      </c>
      <c r="AD58" s="25" t="s">
        <v>72</v>
      </c>
      <c r="AE58" s="25" t="s">
        <v>72</v>
      </c>
      <c r="AF58" s="25" t="s">
        <v>72</v>
      </c>
      <c r="AG58" s="25" t="s">
        <v>72</v>
      </c>
      <c r="AH58" s="25" t="s">
        <v>72</v>
      </c>
      <c r="AI58" s="75" t="s">
        <v>69</v>
      </c>
      <c r="AJ58" s="75" t="s">
        <v>69</v>
      </c>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1"/>
      <c r="DI58" s="41"/>
      <c r="DJ58" s="41"/>
      <c r="DK58" s="41"/>
      <c r="DL58" s="41"/>
      <c r="DM58" s="41"/>
      <c r="DN58" s="41"/>
      <c r="DO58" s="41"/>
      <c r="DP58" s="41"/>
      <c r="DQ58" s="41"/>
      <c r="DR58" s="41"/>
      <c r="DS58" s="41"/>
      <c r="DT58" s="41"/>
      <c r="DU58" s="41"/>
      <c r="DV58" s="41"/>
      <c r="DW58" s="41"/>
      <c r="DX58" s="41"/>
      <c r="DY58" s="41"/>
      <c r="DZ58" s="41"/>
      <c r="EA58" s="41"/>
      <c r="EB58" s="41"/>
      <c r="EC58" s="41"/>
      <c r="ED58" s="41"/>
      <c r="EE58" s="41"/>
      <c r="EF58" s="41"/>
      <c r="EG58" s="41"/>
    </row>
    <row r="59" spans="1:156" ht="18">
      <c r="A59" s="5">
        <v>58</v>
      </c>
      <c r="B59" s="20" t="s">
        <v>61</v>
      </c>
      <c r="C59" s="106">
        <v>0</v>
      </c>
      <c r="D59" s="80">
        <f t="shared" si="0"/>
        <v>0</v>
      </c>
      <c r="E59" s="106">
        <v>0</v>
      </c>
      <c r="F59" s="9" t="s">
        <v>69</v>
      </c>
      <c r="G59" s="9" t="s">
        <v>69</v>
      </c>
      <c r="H59" s="9" t="s">
        <v>69</v>
      </c>
      <c r="I59" s="9" t="s">
        <v>69</v>
      </c>
      <c r="J59" s="9" t="s">
        <v>69</v>
      </c>
      <c r="K59" s="9" t="s">
        <v>69</v>
      </c>
      <c r="L59" s="9" t="s">
        <v>69</v>
      </c>
      <c r="M59" s="104" t="s">
        <v>69</v>
      </c>
      <c r="N59" s="71" t="s">
        <v>69</v>
      </c>
      <c r="O59" s="9" t="s">
        <v>69</v>
      </c>
      <c r="P59" s="9" t="s">
        <v>69</v>
      </c>
      <c r="Q59" s="9" t="s">
        <v>69</v>
      </c>
      <c r="R59" s="9" t="s">
        <v>69</v>
      </c>
      <c r="S59" s="109" t="s">
        <v>71</v>
      </c>
      <c r="T59" s="9" t="s">
        <v>69</v>
      </c>
      <c r="U59" s="75" t="s">
        <v>69</v>
      </c>
      <c r="V59" s="9" t="s">
        <v>69</v>
      </c>
      <c r="W59" s="9" t="s">
        <v>69</v>
      </c>
      <c r="X59" s="9" t="s">
        <v>69</v>
      </c>
      <c r="Y59" s="9" t="s">
        <v>69</v>
      </c>
      <c r="Z59" s="9" t="s">
        <v>69</v>
      </c>
      <c r="AA59" s="9" t="s">
        <v>69</v>
      </c>
      <c r="AB59" s="75" t="s">
        <v>69</v>
      </c>
      <c r="AC59" s="75" t="s">
        <v>69</v>
      </c>
      <c r="AD59" s="75" t="s">
        <v>69</v>
      </c>
      <c r="AE59" s="75" t="s">
        <v>69</v>
      </c>
      <c r="AF59" s="75" t="s">
        <v>69</v>
      </c>
      <c r="AG59" s="75" t="s">
        <v>69</v>
      </c>
      <c r="AH59" s="75" t="s">
        <v>69</v>
      </c>
      <c r="AI59" s="75" t="s">
        <v>69</v>
      </c>
      <c r="AJ59" s="75" t="s">
        <v>69</v>
      </c>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1"/>
      <c r="BZ59" s="41"/>
      <c r="CA59" s="41"/>
      <c r="CB59" s="41"/>
      <c r="CC59" s="41"/>
      <c r="CD59" s="41"/>
      <c r="CE59" s="41"/>
      <c r="CF59" s="41"/>
      <c r="CG59" s="41"/>
      <c r="CH59" s="41"/>
      <c r="CI59" s="41"/>
      <c r="CJ59" s="41"/>
      <c r="CK59" s="41"/>
      <c r="CL59" s="41"/>
      <c r="CM59" s="41"/>
      <c r="CN59" s="41"/>
      <c r="CO59" s="41"/>
      <c r="CP59" s="41"/>
      <c r="CQ59" s="41"/>
      <c r="CR59" s="41"/>
      <c r="CS59" s="41"/>
      <c r="CT59" s="41"/>
      <c r="CU59" s="41"/>
      <c r="CV59" s="41"/>
      <c r="CW59" s="41"/>
      <c r="CX59" s="41"/>
      <c r="CY59" s="41"/>
      <c r="CZ59" s="41"/>
      <c r="DA59" s="41"/>
      <c r="DB59" s="41"/>
      <c r="DC59" s="41"/>
      <c r="DD59" s="41"/>
      <c r="DE59" s="41"/>
      <c r="DF59" s="41"/>
      <c r="DG59" s="41"/>
      <c r="DH59" s="41"/>
      <c r="DI59" s="41"/>
      <c r="DJ59" s="41"/>
      <c r="DK59" s="41"/>
      <c r="DL59" s="41"/>
      <c r="DM59" s="41"/>
      <c r="DN59" s="41"/>
      <c r="DO59" s="41"/>
      <c r="DP59" s="41"/>
      <c r="DQ59" s="41"/>
      <c r="DR59" s="41"/>
      <c r="DS59" s="41"/>
      <c r="DT59" s="41"/>
      <c r="DU59" s="41"/>
      <c r="DV59" s="41"/>
      <c r="DW59" s="41"/>
      <c r="DX59" s="41"/>
      <c r="DY59" s="41"/>
      <c r="DZ59" s="41"/>
      <c r="EA59" s="41"/>
      <c r="EB59" s="41"/>
      <c r="EC59" s="41"/>
      <c r="ED59" s="41"/>
      <c r="EE59" s="41"/>
      <c r="EF59" s="41"/>
      <c r="EG59" s="41"/>
    </row>
    <row r="60" spans="1:156" ht="18">
      <c r="A60" s="5">
        <v>59</v>
      </c>
      <c r="B60" s="20" t="s">
        <v>62</v>
      </c>
      <c r="C60" s="106">
        <v>1</v>
      </c>
      <c r="D60" s="80">
        <f t="shared" si="0"/>
        <v>0</v>
      </c>
      <c r="E60" s="106">
        <v>1</v>
      </c>
      <c r="F60" s="9" t="s">
        <v>69</v>
      </c>
      <c r="G60" s="9" t="s">
        <v>69</v>
      </c>
      <c r="H60" s="9" t="s">
        <v>69</v>
      </c>
      <c r="I60" s="9" t="s">
        <v>69</v>
      </c>
      <c r="J60" s="9" t="s">
        <v>69</v>
      </c>
      <c r="K60" s="9" t="s">
        <v>69</v>
      </c>
      <c r="L60" s="9" t="s">
        <v>69</v>
      </c>
      <c r="M60" s="104" t="s">
        <v>70</v>
      </c>
      <c r="N60" s="71" t="s">
        <v>69</v>
      </c>
      <c r="O60" s="103" t="s">
        <v>72</v>
      </c>
      <c r="P60" s="9" t="s">
        <v>69</v>
      </c>
      <c r="Q60" s="9" t="s">
        <v>69</v>
      </c>
      <c r="R60" s="9" t="s">
        <v>69</v>
      </c>
      <c r="S60" s="109" t="s">
        <v>71</v>
      </c>
      <c r="T60" s="9" t="s">
        <v>69</v>
      </c>
      <c r="U60" s="75" t="s">
        <v>69</v>
      </c>
      <c r="V60" s="9" t="s">
        <v>69</v>
      </c>
      <c r="W60" s="9" t="s">
        <v>69</v>
      </c>
      <c r="X60" s="9" t="s">
        <v>69</v>
      </c>
      <c r="Y60" s="9" t="s">
        <v>69</v>
      </c>
      <c r="Z60" s="9" t="s">
        <v>69</v>
      </c>
      <c r="AA60" s="9" t="s">
        <v>69</v>
      </c>
      <c r="AB60" s="75" t="s">
        <v>69</v>
      </c>
      <c r="AC60" s="9" t="s">
        <v>69</v>
      </c>
      <c r="AD60" s="9" t="s">
        <v>69</v>
      </c>
      <c r="AE60" s="9" t="s">
        <v>69</v>
      </c>
      <c r="AF60" s="75" t="s">
        <v>69</v>
      </c>
      <c r="AG60" s="75" t="s">
        <v>69</v>
      </c>
      <c r="AH60" s="9" t="s">
        <v>69</v>
      </c>
      <c r="AI60" s="75" t="s">
        <v>69</v>
      </c>
      <c r="AJ60" s="9" t="s">
        <v>71</v>
      </c>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c r="BX60" s="41"/>
      <c r="BY60" s="41"/>
      <c r="BZ60" s="41"/>
      <c r="CA60" s="41"/>
      <c r="CB60" s="41"/>
      <c r="CC60" s="41"/>
      <c r="CD60" s="41"/>
      <c r="CE60" s="41"/>
      <c r="CF60" s="41"/>
      <c r="CG60" s="41"/>
      <c r="CH60" s="41"/>
      <c r="CI60" s="41"/>
      <c r="CJ60" s="41"/>
      <c r="CK60" s="41"/>
      <c r="CL60" s="41"/>
      <c r="CM60" s="41"/>
      <c r="CN60" s="41"/>
      <c r="CO60" s="41"/>
      <c r="CP60" s="41"/>
      <c r="CQ60" s="41"/>
      <c r="CR60" s="41"/>
      <c r="CS60" s="41"/>
      <c r="CT60" s="41"/>
      <c r="CU60" s="41"/>
      <c r="CV60" s="41"/>
      <c r="CW60" s="41"/>
      <c r="CX60" s="41"/>
      <c r="CY60" s="41"/>
      <c r="CZ60" s="41"/>
      <c r="DA60" s="41"/>
      <c r="DB60" s="41"/>
      <c r="DC60" s="41"/>
      <c r="DD60" s="41"/>
      <c r="DE60" s="41"/>
      <c r="DF60" s="41"/>
      <c r="DG60" s="41"/>
      <c r="DH60" s="41"/>
      <c r="DI60" s="41"/>
      <c r="DJ60" s="41"/>
      <c r="DK60" s="41"/>
      <c r="DL60" s="41"/>
      <c r="DM60" s="41"/>
      <c r="DN60" s="41"/>
      <c r="DO60" s="41"/>
      <c r="DP60" s="41"/>
      <c r="DQ60" s="41"/>
      <c r="DR60" s="41"/>
      <c r="DS60" s="41"/>
      <c r="DT60" s="41"/>
      <c r="DU60" s="41"/>
      <c r="DV60" s="41"/>
      <c r="DW60" s="41"/>
      <c r="DX60" s="41"/>
      <c r="DY60" s="41"/>
      <c r="DZ60" s="41"/>
      <c r="EA60" s="41"/>
      <c r="EB60" s="41"/>
      <c r="EC60" s="41"/>
      <c r="ED60" s="41"/>
      <c r="EE60" s="41"/>
      <c r="EF60" s="41"/>
      <c r="EG60" s="41"/>
    </row>
    <row r="61" spans="1:156" ht="18.75" customHeight="1">
      <c r="A61" s="11">
        <v>60</v>
      </c>
      <c r="B61" s="27" t="s">
        <v>82</v>
      </c>
      <c r="C61" s="115"/>
      <c r="D61" s="80">
        <f t="shared" si="0"/>
        <v>4</v>
      </c>
      <c r="E61" s="115">
        <v>4</v>
      </c>
      <c r="F61" s="116" t="s">
        <v>69</v>
      </c>
      <c r="G61" s="116" t="s">
        <v>69</v>
      </c>
      <c r="H61" s="116" t="s">
        <v>69</v>
      </c>
      <c r="I61" s="116" t="s">
        <v>69</v>
      </c>
      <c r="J61" s="116" t="s">
        <v>69</v>
      </c>
      <c r="K61" s="116" t="s">
        <v>69</v>
      </c>
      <c r="L61" s="116" t="s">
        <v>69</v>
      </c>
      <c r="M61" s="117" t="s">
        <v>69</v>
      </c>
      <c r="N61" s="71" t="s">
        <v>69</v>
      </c>
      <c r="O61" s="116" t="s">
        <v>69</v>
      </c>
      <c r="P61" s="116" t="s">
        <v>69</v>
      </c>
      <c r="Q61" s="118" t="s">
        <v>72</v>
      </c>
      <c r="R61" s="116" t="s">
        <v>69</v>
      </c>
      <c r="S61" s="109" t="s">
        <v>71</v>
      </c>
      <c r="T61" s="116" t="s">
        <v>69</v>
      </c>
      <c r="U61" s="75" t="s">
        <v>69</v>
      </c>
      <c r="V61" s="116" t="s">
        <v>69</v>
      </c>
      <c r="W61" s="116" t="s">
        <v>69</v>
      </c>
      <c r="X61" s="116" t="s">
        <v>69</v>
      </c>
      <c r="Y61" s="118" t="s">
        <v>72</v>
      </c>
      <c r="Z61" s="116" t="s">
        <v>69</v>
      </c>
      <c r="AA61" s="116" t="s">
        <v>69</v>
      </c>
      <c r="AB61" s="75" t="s">
        <v>69</v>
      </c>
      <c r="AC61" s="116" t="s">
        <v>69</v>
      </c>
      <c r="AD61" s="116" t="s">
        <v>69</v>
      </c>
      <c r="AE61" s="116" t="s">
        <v>69</v>
      </c>
      <c r="AF61" s="116" t="s">
        <v>69</v>
      </c>
      <c r="AG61" s="116" t="s">
        <v>69</v>
      </c>
      <c r="AH61" s="116" t="s">
        <v>69</v>
      </c>
      <c r="AI61" s="90" t="s">
        <v>76</v>
      </c>
      <c r="AJ61" s="90" t="s">
        <v>76</v>
      </c>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c r="CT61" s="41"/>
      <c r="CU61" s="41"/>
      <c r="CV61" s="41"/>
      <c r="CW61" s="41"/>
      <c r="CX61" s="41"/>
      <c r="CY61" s="41"/>
      <c r="CZ61" s="41"/>
      <c r="DA61" s="41"/>
      <c r="DB61" s="41"/>
      <c r="DC61" s="41"/>
      <c r="DD61" s="41"/>
      <c r="DE61" s="41"/>
      <c r="DF61" s="41"/>
      <c r="DG61" s="41"/>
      <c r="DH61" s="41"/>
      <c r="DI61" s="41"/>
      <c r="DJ61" s="41"/>
      <c r="DK61" s="41"/>
      <c r="DL61" s="41"/>
      <c r="DM61" s="41"/>
      <c r="DN61" s="41"/>
      <c r="DO61" s="41"/>
      <c r="DP61" s="41"/>
      <c r="DQ61" s="41"/>
      <c r="DR61" s="41"/>
      <c r="DS61" s="41"/>
      <c r="DT61" s="41"/>
      <c r="DU61" s="41"/>
      <c r="DV61" s="41"/>
      <c r="DW61" s="41"/>
      <c r="DX61" s="41"/>
      <c r="DY61" s="41"/>
      <c r="DZ61" s="41"/>
      <c r="EA61" s="41"/>
      <c r="EB61" s="41"/>
      <c r="EC61" s="41"/>
      <c r="ED61" s="41"/>
      <c r="EE61" s="41"/>
      <c r="EF61" s="41"/>
      <c r="EG61" s="41"/>
    </row>
    <row r="62" spans="1:156" s="45" customFormat="1">
      <c r="A62" s="12"/>
      <c r="B62" s="12"/>
      <c r="F62" s="46"/>
      <c r="G62" s="47"/>
      <c r="H62" s="46"/>
      <c r="I62" s="46"/>
      <c r="J62" s="46"/>
      <c r="K62" s="46"/>
      <c r="L62" s="46"/>
      <c r="M62" s="48"/>
      <c r="N62" s="46"/>
      <c r="O62" s="46"/>
      <c r="P62" s="46"/>
      <c r="Q62" s="46"/>
      <c r="R62" s="46"/>
      <c r="S62" s="46"/>
      <c r="T62" s="46"/>
      <c r="U62" s="46"/>
      <c r="V62" s="46"/>
      <c r="W62" s="46"/>
      <c r="X62" s="46"/>
      <c r="Y62" s="46"/>
      <c r="Z62" s="46"/>
      <c r="AA62" s="46"/>
      <c r="AB62" s="46"/>
      <c r="AC62" s="46"/>
      <c r="AD62" s="46"/>
      <c r="AE62" s="46"/>
      <c r="AF62" s="46"/>
      <c r="AG62" s="46"/>
      <c r="AH62" s="46"/>
      <c r="AI62" s="40"/>
      <c r="AJ62" s="58"/>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c r="CI62" s="41"/>
      <c r="CJ62" s="41"/>
      <c r="CK62" s="41"/>
      <c r="CL62" s="41"/>
      <c r="CM62" s="41"/>
      <c r="CN62" s="41"/>
      <c r="CO62" s="41"/>
      <c r="CP62" s="41"/>
      <c r="CQ62" s="41"/>
      <c r="CR62" s="41"/>
      <c r="CS62" s="41"/>
      <c r="CT62" s="41"/>
      <c r="CU62" s="41"/>
      <c r="CV62" s="41"/>
      <c r="CW62" s="41"/>
      <c r="CX62" s="41"/>
      <c r="CY62" s="41"/>
      <c r="CZ62" s="41"/>
      <c r="DA62" s="41"/>
      <c r="DB62" s="41"/>
      <c r="DC62" s="41"/>
      <c r="DD62" s="41"/>
      <c r="DE62" s="41"/>
      <c r="DF62" s="41"/>
      <c r="DG62" s="41"/>
      <c r="DH62" s="41"/>
      <c r="DI62" s="41"/>
      <c r="DJ62" s="41"/>
      <c r="DK62" s="41"/>
      <c r="DL62" s="41"/>
      <c r="DM62" s="41"/>
      <c r="DN62" s="41"/>
      <c r="DO62" s="41"/>
      <c r="DP62" s="41"/>
      <c r="DQ62" s="41"/>
      <c r="DR62" s="41"/>
      <c r="DS62" s="41"/>
      <c r="DT62" s="41"/>
      <c r="DU62" s="41"/>
      <c r="DV62" s="41"/>
      <c r="DW62" s="41"/>
      <c r="DX62" s="41"/>
      <c r="DY62" s="41"/>
      <c r="DZ62" s="41"/>
      <c r="EA62" s="41"/>
      <c r="EB62" s="41"/>
      <c r="EC62" s="41"/>
      <c r="ED62" s="41"/>
      <c r="EE62" s="41"/>
      <c r="EF62" s="41"/>
      <c r="EG62" s="41"/>
      <c r="EH62" s="42"/>
      <c r="EI62" s="42"/>
      <c r="EJ62" s="42"/>
      <c r="EK62" s="42"/>
      <c r="EL62" s="42"/>
      <c r="EM62" s="42"/>
      <c r="EN62" s="42"/>
      <c r="EO62" s="42"/>
      <c r="EP62" s="42"/>
      <c r="EQ62" s="42"/>
      <c r="ER62" s="42"/>
      <c r="ES62" s="42"/>
      <c r="ET62" s="42"/>
      <c r="EU62" s="42"/>
      <c r="EV62" s="42"/>
      <c r="EW62" s="42"/>
      <c r="EX62" s="42"/>
      <c r="EY62" s="42"/>
      <c r="EZ62" s="49"/>
    </row>
    <row r="63" spans="1:156" s="45" customFormat="1">
      <c r="A63" s="12"/>
      <c r="B63" s="12" t="s">
        <v>83</v>
      </c>
      <c r="C63" s="690" t="s">
        <v>84</v>
      </c>
      <c r="D63" s="690"/>
      <c r="E63" s="690"/>
      <c r="G63" s="50"/>
      <c r="M63" s="51"/>
      <c r="AI63" s="40"/>
      <c r="AJ63" s="59"/>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c r="DA63" s="41"/>
      <c r="DB63" s="41"/>
      <c r="DC63" s="41"/>
      <c r="DD63" s="41"/>
      <c r="DE63" s="41"/>
      <c r="DF63" s="41"/>
      <c r="DG63" s="41"/>
      <c r="DH63" s="41"/>
      <c r="DI63" s="41"/>
      <c r="DJ63" s="41"/>
      <c r="DK63" s="41"/>
      <c r="DL63" s="41"/>
      <c r="DM63" s="41"/>
      <c r="DN63" s="41"/>
      <c r="DO63" s="41"/>
      <c r="DP63" s="41"/>
      <c r="DQ63" s="41"/>
      <c r="DR63" s="41"/>
      <c r="DS63" s="41"/>
      <c r="DT63" s="41"/>
      <c r="DU63" s="41"/>
      <c r="DV63" s="41"/>
      <c r="DW63" s="41"/>
      <c r="DX63" s="41"/>
      <c r="DY63" s="41"/>
      <c r="DZ63" s="41"/>
      <c r="EA63" s="41"/>
      <c r="EB63" s="41"/>
      <c r="EC63" s="41"/>
      <c r="ED63" s="41"/>
      <c r="EE63" s="41"/>
      <c r="EF63" s="41"/>
      <c r="EG63" s="41"/>
      <c r="EH63" s="42"/>
      <c r="EI63" s="42"/>
      <c r="EJ63" s="42"/>
      <c r="EK63" s="42"/>
      <c r="EL63" s="42"/>
      <c r="EM63" s="42"/>
      <c r="EN63" s="42"/>
      <c r="EO63" s="42"/>
      <c r="EP63" s="42"/>
      <c r="EQ63" s="42"/>
      <c r="ER63" s="42"/>
      <c r="ES63" s="42"/>
      <c r="ET63" s="42"/>
      <c r="EU63" s="42"/>
      <c r="EV63" s="42"/>
      <c r="EW63" s="42"/>
      <c r="EX63" s="42"/>
      <c r="EY63" s="42"/>
      <c r="EZ63" s="49"/>
    </row>
    <row r="64" spans="1:156" s="45" customFormat="1">
      <c r="A64" s="12"/>
      <c r="B64" s="12"/>
      <c r="C64" s="690" t="s">
        <v>85</v>
      </c>
      <c r="D64" s="690"/>
      <c r="E64" s="690"/>
      <c r="G64" s="50"/>
      <c r="M64" s="51"/>
      <c r="AI64" s="40"/>
      <c r="AJ64" s="59"/>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41"/>
      <c r="CM64" s="41"/>
      <c r="CN64" s="41"/>
      <c r="CO64" s="41"/>
      <c r="CP64" s="41"/>
      <c r="CQ64" s="41"/>
      <c r="CR64" s="41"/>
      <c r="CS64" s="41"/>
      <c r="CT64" s="41"/>
      <c r="CU64" s="41"/>
      <c r="CV64" s="41"/>
      <c r="CW64" s="41"/>
      <c r="CX64" s="41"/>
      <c r="CY64" s="41"/>
      <c r="CZ64" s="41"/>
      <c r="DA64" s="41"/>
      <c r="DB64" s="41"/>
      <c r="DC64" s="41"/>
      <c r="DD64" s="41"/>
      <c r="DE64" s="41"/>
      <c r="DF64" s="41"/>
      <c r="DG64" s="41"/>
      <c r="DH64" s="41"/>
      <c r="DI64" s="41"/>
      <c r="DJ64" s="41"/>
      <c r="DK64" s="41"/>
      <c r="DL64" s="41"/>
      <c r="DM64" s="41"/>
      <c r="DN64" s="41"/>
      <c r="DO64" s="41"/>
      <c r="DP64" s="41"/>
      <c r="DQ64" s="41"/>
      <c r="DR64" s="41"/>
      <c r="DS64" s="41"/>
      <c r="DT64" s="41"/>
      <c r="DU64" s="41"/>
      <c r="DV64" s="41"/>
      <c r="DW64" s="41"/>
      <c r="DX64" s="41"/>
      <c r="DY64" s="41"/>
      <c r="DZ64" s="41"/>
      <c r="EA64" s="41"/>
      <c r="EB64" s="41"/>
      <c r="EC64" s="41"/>
      <c r="ED64" s="41"/>
      <c r="EE64" s="41"/>
      <c r="EF64" s="41"/>
      <c r="EG64" s="41"/>
      <c r="EH64" s="42"/>
      <c r="EI64" s="42"/>
      <c r="EJ64" s="42"/>
      <c r="EK64" s="42"/>
      <c r="EL64" s="42"/>
      <c r="EM64" s="42"/>
      <c r="EN64" s="42"/>
      <c r="EO64" s="42"/>
      <c r="EP64" s="42"/>
      <c r="EQ64" s="42"/>
      <c r="ER64" s="42"/>
      <c r="ES64" s="42"/>
      <c r="ET64" s="42"/>
      <c r="EU64" s="42"/>
      <c r="EV64" s="42"/>
      <c r="EW64" s="42"/>
      <c r="EX64" s="42"/>
      <c r="EY64" s="42"/>
      <c r="EZ64" s="49"/>
    </row>
    <row r="65" spans="1:156" s="45" customFormat="1" ht="15.95" customHeight="1">
      <c r="A65" s="12"/>
      <c r="B65" s="12"/>
      <c r="C65" s="690" t="s">
        <v>86</v>
      </c>
      <c r="D65" s="690"/>
      <c r="E65" s="690"/>
      <c r="G65" s="50"/>
      <c r="M65" s="51"/>
      <c r="AI65" s="40"/>
      <c r="AJ65" s="59"/>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c r="CT65" s="41"/>
      <c r="CU65" s="41"/>
      <c r="CV65" s="41"/>
      <c r="CW65" s="41"/>
      <c r="CX65" s="41"/>
      <c r="CY65" s="41"/>
      <c r="CZ65" s="41"/>
      <c r="DA65" s="41"/>
      <c r="DB65" s="41"/>
      <c r="DC65" s="41"/>
      <c r="DD65" s="41"/>
      <c r="DE65" s="41"/>
      <c r="DF65" s="41"/>
      <c r="DG65" s="41"/>
      <c r="DH65" s="41"/>
      <c r="DI65" s="41"/>
      <c r="DJ65" s="41"/>
      <c r="DK65" s="41"/>
      <c r="DL65" s="41"/>
      <c r="DM65" s="41"/>
      <c r="DN65" s="41"/>
      <c r="DO65" s="41"/>
      <c r="DP65" s="41"/>
      <c r="DQ65" s="41"/>
      <c r="DR65" s="41"/>
      <c r="DS65" s="41"/>
      <c r="DT65" s="41"/>
      <c r="DU65" s="41"/>
      <c r="DV65" s="41"/>
      <c r="DW65" s="41"/>
      <c r="DX65" s="41"/>
      <c r="DY65" s="41"/>
      <c r="DZ65" s="41"/>
      <c r="EA65" s="41"/>
      <c r="EB65" s="41"/>
      <c r="EC65" s="41"/>
      <c r="ED65" s="41"/>
      <c r="EE65" s="41"/>
      <c r="EF65" s="41"/>
      <c r="EG65" s="41"/>
      <c r="EH65" s="42"/>
      <c r="EI65" s="42"/>
      <c r="EJ65" s="42"/>
      <c r="EK65" s="42"/>
      <c r="EL65" s="42"/>
      <c r="EM65" s="42"/>
      <c r="EN65" s="42"/>
      <c r="EO65" s="42"/>
      <c r="EP65" s="42"/>
      <c r="EQ65" s="42"/>
      <c r="ER65" s="42"/>
      <c r="ES65" s="42"/>
      <c r="ET65" s="42"/>
      <c r="EU65" s="42"/>
      <c r="EV65" s="42"/>
      <c r="EW65" s="42"/>
      <c r="EX65" s="42"/>
      <c r="EY65" s="42"/>
      <c r="EZ65" s="49"/>
    </row>
    <row r="66" spans="1:156" s="45" customFormat="1">
      <c r="A66" s="12"/>
      <c r="B66" s="12"/>
      <c r="C66" s="690" t="s">
        <v>87</v>
      </c>
      <c r="D66" s="690"/>
      <c r="E66" s="690"/>
      <c r="G66" s="50"/>
      <c r="M66" s="51"/>
      <c r="AI66" s="40"/>
      <c r="AJ66" s="59"/>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c r="CI66" s="41"/>
      <c r="CJ66" s="41"/>
      <c r="CK66" s="41"/>
      <c r="CL66" s="41"/>
      <c r="CM66" s="41"/>
      <c r="CN66" s="41"/>
      <c r="CO66" s="41"/>
      <c r="CP66" s="41"/>
      <c r="CQ66" s="41"/>
      <c r="CR66" s="41"/>
      <c r="CS66" s="41"/>
      <c r="CT66" s="41"/>
      <c r="CU66" s="41"/>
      <c r="CV66" s="41"/>
      <c r="CW66" s="41"/>
      <c r="CX66" s="41"/>
      <c r="CY66" s="41"/>
      <c r="CZ66" s="41"/>
      <c r="DA66" s="41"/>
      <c r="DB66" s="41"/>
      <c r="DC66" s="41"/>
      <c r="DD66" s="41"/>
      <c r="DE66" s="41"/>
      <c r="DF66" s="41"/>
      <c r="DG66" s="41"/>
      <c r="DH66" s="41"/>
      <c r="DI66" s="41"/>
      <c r="DJ66" s="41"/>
      <c r="DK66" s="41"/>
      <c r="DL66" s="41"/>
      <c r="DM66" s="41"/>
      <c r="DN66" s="41"/>
      <c r="DO66" s="41"/>
      <c r="DP66" s="41"/>
      <c r="DQ66" s="41"/>
      <c r="DR66" s="41"/>
      <c r="DS66" s="41"/>
      <c r="DT66" s="41"/>
      <c r="DU66" s="41"/>
      <c r="DV66" s="41"/>
      <c r="DW66" s="41"/>
      <c r="DX66" s="41"/>
      <c r="DY66" s="41"/>
      <c r="DZ66" s="41"/>
      <c r="EA66" s="41"/>
      <c r="EB66" s="41"/>
      <c r="EC66" s="41"/>
      <c r="ED66" s="41"/>
      <c r="EE66" s="41"/>
      <c r="EF66" s="41"/>
      <c r="EG66" s="41"/>
      <c r="EH66" s="42"/>
      <c r="EI66" s="42"/>
      <c r="EJ66" s="42"/>
      <c r="EK66" s="42"/>
      <c r="EL66" s="42"/>
      <c r="EM66" s="42"/>
      <c r="EN66" s="42"/>
      <c r="EO66" s="42"/>
      <c r="EP66" s="42"/>
      <c r="EQ66" s="42"/>
      <c r="ER66" s="42"/>
      <c r="ES66" s="42"/>
      <c r="ET66" s="42"/>
      <c r="EU66" s="42"/>
      <c r="EV66" s="42"/>
      <c r="EW66" s="42"/>
      <c r="EX66" s="42"/>
      <c r="EY66" s="42"/>
      <c r="EZ66" s="49"/>
    </row>
    <row r="67" spans="1:156" s="45" customFormat="1">
      <c r="A67" s="12"/>
      <c r="B67" s="12"/>
      <c r="C67" s="691" t="s">
        <v>88</v>
      </c>
      <c r="D67" s="692"/>
      <c r="E67" s="693"/>
      <c r="G67" s="50"/>
      <c r="M67" s="51"/>
      <c r="AI67" s="40"/>
      <c r="AJ67" s="59"/>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c r="CD67" s="41"/>
      <c r="CE67" s="41"/>
      <c r="CF67" s="41"/>
      <c r="CG67" s="41"/>
      <c r="CH67" s="41"/>
      <c r="CI67" s="41"/>
      <c r="CJ67" s="41"/>
      <c r="CK67" s="41"/>
      <c r="CL67" s="41"/>
      <c r="CM67" s="41"/>
      <c r="CN67" s="41"/>
      <c r="CO67" s="41"/>
      <c r="CP67" s="41"/>
      <c r="CQ67" s="41"/>
      <c r="CR67" s="41"/>
      <c r="CS67" s="41"/>
      <c r="CT67" s="41"/>
      <c r="CU67" s="41"/>
      <c r="CV67" s="41"/>
      <c r="CW67" s="41"/>
      <c r="CX67" s="41"/>
      <c r="CY67" s="41"/>
      <c r="CZ67" s="41"/>
      <c r="DA67" s="41"/>
      <c r="DB67" s="41"/>
      <c r="DC67" s="41"/>
      <c r="DD67" s="41"/>
      <c r="DE67" s="41"/>
      <c r="DF67" s="41"/>
      <c r="DG67" s="41"/>
      <c r="DH67" s="41"/>
      <c r="DI67" s="41"/>
      <c r="DJ67" s="41"/>
      <c r="DK67" s="41"/>
      <c r="DL67" s="41"/>
      <c r="DM67" s="41"/>
      <c r="DN67" s="41"/>
      <c r="DO67" s="41"/>
      <c r="DP67" s="41"/>
      <c r="DQ67" s="41"/>
      <c r="DR67" s="41"/>
      <c r="DS67" s="41"/>
      <c r="DT67" s="41"/>
      <c r="DU67" s="41"/>
      <c r="DV67" s="41"/>
      <c r="DW67" s="41"/>
      <c r="DX67" s="41"/>
      <c r="DY67" s="41"/>
      <c r="DZ67" s="41"/>
      <c r="EA67" s="41"/>
      <c r="EB67" s="41"/>
      <c r="EC67" s="41"/>
      <c r="ED67" s="41"/>
      <c r="EE67" s="41"/>
      <c r="EF67" s="41"/>
      <c r="EG67" s="41"/>
      <c r="EH67" s="42"/>
      <c r="EI67" s="42"/>
      <c r="EJ67" s="42"/>
      <c r="EK67" s="42"/>
      <c r="EL67" s="42"/>
      <c r="EM67" s="42"/>
      <c r="EN67" s="42"/>
      <c r="EO67" s="42"/>
      <c r="EP67" s="42"/>
      <c r="EQ67" s="42"/>
      <c r="ER67" s="42"/>
      <c r="ES67" s="42"/>
      <c r="ET67" s="42"/>
      <c r="EU67" s="42"/>
      <c r="EV67" s="42"/>
      <c r="EW67" s="42"/>
      <c r="EX67" s="42"/>
      <c r="EY67" s="42"/>
      <c r="EZ67" s="49"/>
    </row>
    <row r="68" spans="1:156" s="45" customFormat="1">
      <c r="A68" s="12"/>
      <c r="B68" s="12"/>
      <c r="C68" s="687" t="s">
        <v>89</v>
      </c>
      <c r="D68" s="688"/>
      <c r="E68" s="689"/>
      <c r="G68" s="50"/>
      <c r="M68" s="51"/>
      <c r="AI68" s="40"/>
      <c r="AJ68" s="59"/>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c r="CT68" s="41"/>
      <c r="CU68" s="41"/>
      <c r="CV68" s="41"/>
      <c r="CW68" s="41"/>
      <c r="CX68" s="41"/>
      <c r="CY68" s="41"/>
      <c r="CZ68" s="41"/>
      <c r="DA68" s="41"/>
      <c r="DB68" s="41"/>
      <c r="DC68" s="41"/>
      <c r="DD68" s="41"/>
      <c r="DE68" s="41"/>
      <c r="DF68" s="41"/>
      <c r="DG68" s="41"/>
      <c r="DH68" s="41"/>
      <c r="DI68" s="41"/>
      <c r="DJ68" s="41"/>
      <c r="DK68" s="41"/>
      <c r="DL68" s="41"/>
      <c r="DM68" s="41"/>
      <c r="DN68" s="41"/>
      <c r="DO68" s="41"/>
      <c r="DP68" s="41"/>
      <c r="DQ68" s="41"/>
      <c r="DR68" s="41"/>
      <c r="DS68" s="41"/>
      <c r="DT68" s="41"/>
      <c r="DU68" s="41"/>
      <c r="DV68" s="41"/>
      <c r="DW68" s="41"/>
      <c r="DX68" s="41"/>
      <c r="DY68" s="41"/>
      <c r="DZ68" s="41"/>
      <c r="EA68" s="41"/>
      <c r="EB68" s="41"/>
      <c r="EC68" s="41"/>
      <c r="ED68" s="41"/>
      <c r="EE68" s="41"/>
      <c r="EF68" s="41"/>
      <c r="EG68" s="41"/>
      <c r="EH68" s="42"/>
      <c r="EI68" s="42"/>
      <c r="EJ68" s="42"/>
      <c r="EK68" s="42"/>
      <c r="EL68" s="42"/>
      <c r="EM68" s="42"/>
      <c r="EN68" s="42"/>
      <c r="EO68" s="42"/>
      <c r="EP68" s="42"/>
      <c r="EQ68" s="42"/>
      <c r="ER68" s="42"/>
      <c r="ES68" s="42"/>
      <c r="ET68" s="42"/>
      <c r="EU68" s="42"/>
      <c r="EV68" s="42"/>
      <c r="EW68" s="42"/>
      <c r="EX68" s="42"/>
      <c r="EY68" s="42"/>
      <c r="EZ68" s="49"/>
    </row>
    <row r="69" spans="1:156" s="45" customFormat="1">
      <c r="A69" s="12"/>
      <c r="B69" s="12"/>
      <c r="C69" s="52"/>
      <c r="D69" s="57"/>
      <c r="E69" s="53"/>
      <c r="G69" s="50"/>
      <c r="M69" s="51"/>
      <c r="AI69" s="40"/>
      <c r="AJ69" s="59"/>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c r="CR69" s="41"/>
      <c r="CS69" s="41"/>
      <c r="CT69" s="41"/>
      <c r="CU69" s="41"/>
      <c r="CV69" s="41"/>
      <c r="CW69" s="41"/>
      <c r="CX69" s="41"/>
      <c r="CY69" s="41"/>
      <c r="CZ69" s="41"/>
      <c r="DA69" s="41"/>
      <c r="DB69" s="41"/>
      <c r="DC69" s="41"/>
      <c r="DD69" s="41"/>
      <c r="DE69" s="41"/>
      <c r="DF69" s="41"/>
      <c r="DG69" s="41"/>
      <c r="DH69" s="41"/>
      <c r="DI69" s="41"/>
      <c r="DJ69" s="41"/>
      <c r="DK69" s="41"/>
      <c r="DL69" s="41"/>
      <c r="DM69" s="41"/>
      <c r="DN69" s="41"/>
      <c r="DO69" s="41"/>
      <c r="DP69" s="41"/>
      <c r="DQ69" s="41"/>
      <c r="DR69" s="41"/>
      <c r="DS69" s="41"/>
      <c r="DT69" s="41"/>
      <c r="DU69" s="41"/>
      <c r="DV69" s="41"/>
      <c r="DW69" s="41"/>
      <c r="DX69" s="41"/>
      <c r="DY69" s="41"/>
      <c r="DZ69" s="41"/>
      <c r="EA69" s="41"/>
      <c r="EB69" s="41"/>
      <c r="EC69" s="41"/>
      <c r="ED69" s="41"/>
      <c r="EE69" s="41"/>
      <c r="EF69" s="41"/>
      <c r="EG69" s="41"/>
      <c r="EH69" s="42"/>
      <c r="EI69" s="42"/>
      <c r="EJ69" s="42"/>
      <c r="EK69" s="42"/>
      <c r="EL69" s="42"/>
      <c r="EM69" s="42"/>
      <c r="EN69" s="42"/>
      <c r="EO69" s="42"/>
      <c r="EP69" s="42"/>
      <c r="EQ69" s="42"/>
      <c r="ER69" s="42"/>
      <c r="ES69" s="42"/>
      <c r="ET69" s="42"/>
      <c r="EU69" s="42"/>
      <c r="EV69" s="42"/>
      <c r="EW69" s="42"/>
      <c r="EX69" s="42"/>
      <c r="EY69" s="42"/>
      <c r="EZ69" s="49"/>
    </row>
    <row r="70" spans="1:156" s="41" customFormat="1">
      <c r="A70" s="54"/>
      <c r="M70" s="55"/>
    </row>
    <row r="71" spans="1:156" s="41" customFormat="1">
      <c r="A71" s="35"/>
    </row>
    <row r="72" spans="1:156" s="41" customFormat="1">
      <c r="A72" s="35"/>
    </row>
    <row r="73" spans="1:156" s="41" customFormat="1">
      <c r="A73" s="35"/>
    </row>
    <row r="74" spans="1:156" s="41" customFormat="1">
      <c r="A74" s="35"/>
    </row>
    <row r="75" spans="1:156" s="41" customFormat="1">
      <c r="A75" s="35"/>
    </row>
    <row r="76" spans="1:156" s="41" customFormat="1">
      <c r="A76" s="35"/>
    </row>
    <row r="77" spans="1:156" s="41" customFormat="1">
      <c r="A77" s="35"/>
    </row>
    <row r="78" spans="1:156" s="41" customFormat="1">
      <c r="A78" s="35"/>
    </row>
    <row r="79" spans="1:156" s="41" customFormat="1">
      <c r="A79" s="35"/>
    </row>
    <row r="80" spans="1:156" s="41" customFormat="1">
      <c r="A80" s="35"/>
    </row>
    <row r="81" spans="1:1" s="41" customFormat="1">
      <c r="A81" s="35"/>
    </row>
    <row r="82" spans="1:1" s="41" customFormat="1">
      <c r="A82" s="35"/>
    </row>
    <row r="83" spans="1:1" s="41" customFormat="1">
      <c r="A83" s="35"/>
    </row>
    <row r="84" spans="1:1" s="41" customFormat="1">
      <c r="A84" s="35"/>
    </row>
    <row r="85" spans="1:1" s="41" customFormat="1">
      <c r="A85" s="35"/>
    </row>
    <row r="86" spans="1:1" s="41" customFormat="1">
      <c r="A86" s="35"/>
    </row>
    <row r="87" spans="1:1" s="41" customFormat="1">
      <c r="A87" s="35"/>
    </row>
    <row r="88" spans="1:1" s="41" customFormat="1">
      <c r="A88" s="35"/>
    </row>
    <row r="89" spans="1:1" s="41" customFormat="1">
      <c r="A89" s="35"/>
    </row>
    <row r="90" spans="1:1" s="41" customFormat="1">
      <c r="A90" s="35"/>
    </row>
    <row r="91" spans="1:1" s="41" customFormat="1">
      <c r="A91" s="35"/>
    </row>
    <row r="92" spans="1:1" s="41" customFormat="1">
      <c r="A92" s="35"/>
    </row>
    <row r="93" spans="1:1" s="41" customFormat="1">
      <c r="A93" s="35"/>
    </row>
    <row r="94" spans="1:1" s="41" customFormat="1">
      <c r="A94" s="35"/>
    </row>
    <row r="95" spans="1:1" s="41" customFormat="1">
      <c r="A95" s="35"/>
    </row>
    <row r="96" spans="1:1" s="41" customFormat="1">
      <c r="A96" s="35"/>
    </row>
    <row r="97" spans="1:1" s="41" customFormat="1">
      <c r="A97" s="35"/>
    </row>
    <row r="98" spans="1:1" s="41" customFormat="1">
      <c r="A98" s="35"/>
    </row>
    <row r="99" spans="1:1" s="41" customFormat="1">
      <c r="A99" s="35"/>
    </row>
    <row r="100" spans="1:1" s="41" customFormat="1">
      <c r="A100" s="35"/>
    </row>
    <row r="101" spans="1:1" s="41" customFormat="1">
      <c r="A101" s="35"/>
    </row>
    <row r="102" spans="1:1" s="41" customFormat="1">
      <c r="A102" s="35"/>
    </row>
    <row r="103" spans="1:1" s="41" customFormat="1">
      <c r="A103" s="35"/>
    </row>
    <row r="104" spans="1:1" s="41" customFormat="1">
      <c r="A104" s="35"/>
    </row>
    <row r="105" spans="1:1" s="41" customFormat="1">
      <c r="A105" s="35"/>
    </row>
    <row r="106" spans="1:1" s="41" customFormat="1">
      <c r="A106" s="35"/>
    </row>
    <row r="107" spans="1:1" s="41" customFormat="1">
      <c r="A107" s="35"/>
    </row>
    <row r="108" spans="1:1" s="41" customFormat="1">
      <c r="A108" s="35"/>
    </row>
    <row r="109" spans="1:1" s="41" customFormat="1">
      <c r="A109" s="35"/>
    </row>
    <row r="110" spans="1:1" s="41" customFormat="1">
      <c r="A110" s="35"/>
    </row>
    <row r="111" spans="1:1" s="41" customFormat="1">
      <c r="A111" s="35"/>
    </row>
    <row r="112" spans="1:1" s="41" customFormat="1">
      <c r="A112" s="35"/>
    </row>
    <row r="113" spans="1:7" s="41" customFormat="1">
      <c r="A113" s="35"/>
    </row>
    <row r="114" spans="1:7" s="41" customFormat="1">
      <c r="A114" s="35"/>
    </row>
    <row r="115" spans="1:7" s="41" customFormat="1">
      <c r="A115" s="35"/>
    </row>
    <row r="116" spans="1:7" s="41" customFormat="1">
      <c r="A116" s="35"/>
    </row>
    <row r="117" spans="1:7" s="41" customFormat="1">
      <c r="A117" s="35"/>
    </row>
    <row r="118" spans="1:7" s="41" customFormat="1">
      <c r="A118" s="35"/>
    </row>
    <row r="119" spans="1:7" s="41" customFormat="1">
      <c r="A119" s="35"/>
    </row>
    <row r="120" spans="1:7" s="41" customFormat="1">
      <c r="A120" s="35"/>
    </row>
    <row r="121" spans="1:7" s="41" customFormat="1">
      <c r="A121" s="35"/>
    </row>
    <row r="122" spans="1:7" s="41" customFormat="1">
      <c r="A122" s="35"/>
    </row>
    <row r="123" spans="1:7" s="41" customFormat="1">
      <c r="A123" s="35"/>
    </row>
    <row r="124" spans="1:7" s="41" customFormat="1">
      <c r="A124" s="35"/>
    </row>
    <row r="125" spans="1:7" s="41" customFormat="1">
      <c r="A125" s="35"/>
    </row>
    <row r="126" spans="1:7" s="41" customFormat="1">
      <c r="A126" s="35"/>
    </row>
    <row r="127" spans="1:7">
      <c r="G127" s="41"/>
    </row>
    <row r="128" spans="1:7">
      <c r="G128" s="41"/>
    </row>
    <row r="129" spans="7:7">
      <c r="G129" s="41"/>
    </row>
    <row r="130" spans="7:7">
      <c r="G130" s="41"/>
    </row>
    <row r="131" spans="7:7">
      <c r="G131" s="41"/>
    </row>
    <row r="132" spans="7:7">
      <c r="G132" s="41"/>
    </row>
    <row r="133" spans="7:7">
      <c r="G133" s="41"/>
    </row>
    <row r="134" spans="7:7">
      <c r="G134" s="41"/>
    </row>
    <row r="135" spans="7:7">
      <c r="G135" s="41"/>
    </row>
    <row r="136" spans="7:7">
      <c r="G136" s="41"/>
    </row>
    <row r="137" spans="7:7">
      <c r="G137" s="41"/>
    </row>
    <row r="138" spans="7:7">
      <c r="G138" s="41"/>
    </row>
    <row r="139" spans="7:7">
      <c r="G139" s="41"/>
    </row>
    <row r="140" spans="7:7">
      <c r="G140" s="41"/>
    </row>
    <row r="141" spans="7:7">
      <c r="G141" s="41"/>
    </row>
    <row r="142" spans="7:7">
      <c r="G142" s="41"/>
    </row>
    <row r="143" spans="7:7">
      <c r="G143" s="41"/>
    </row>
    <row r="144" spans="7:7">
      <c r="G144" s="41"/>
    </row>
    <row r="145" spans="7:7">
      <c r="G145" s="41"/>
    </row>
    <row r="146" spans="7:7">
      <c r="G146" s="41"/>
    </row>
    <row r="147" spans="7:7">
      <c r="G147" s="41"/>
    </row>
    <row r="148" spans="7:7">
      <c r="G148" s="41"/>
    </row>
    <row r="149" spans="7:7">
      <c r="G149" s="41"/>
    </row>
    <row r="150" spans="7:7">
      <c r="G150" s="41"/>
    </row>
    <row r="151" spans="7:7">
      <c r="G151" s="41"/>
    </row>
    <row r="152" spans="7:7">
      <c r="G152" s="41"/>
    </row>
    <row r="153" spans="7:7">
      <c r="G153" s="41"/>
    </row>
    <row r="154" spans="7:7">
      <c r="G154" s="41"/>
    </row>
    <row r="155" spans="7:7">
      <c r="G155" s="41"/>
    </row>
    <row r="156" spans="7:7">
      <c r="G156" s="41"/>
    </row>
    <row r="157" spans="7:7">
      <c r="G157" s="41"/>
    </row>
    <row r="158" spans="7:7">
      <c r="G158" s="41"/>
    </row>
    <row r="159" spans="7:7">
      <c r="G159" s="41"/>
    </row>
    <row r="160" spans="7:7">
      <c r="G160" s="41"/>
    </row>
    <row r="161" spans="7:7">
      <c r="G161" s="41"/>
    </row>
    <row r="162" spans="7:7">
      <c r="G162" s="41"/>
    </row>
    <row r="163" spans="7:7">
      <c r="G163" s="41"/>
    </row>
    <row r="164" spans="7:7">
      <c r="G164" s="41"/>
    </row>
    <row r="165" spans="7:7">
      <c r="G165" s="41"/>
    </row>
    <row r="166" spans="7:7">
      <c r="G166" s="41"/>
    </row>
    <row r="167" spans="7:7">
      <c r="G167" s="41"/>
    </row>
    <row r="168" spans="7:7">
      <c r="G168" s="41"/>
    </row>
    <row r="169" spans="7:7">
      <c r="G169" s="41"/>
    </row>
    <row r="170" spans="7:7">
      <c r="G170" s="41"/>
    </row>
    <row r="171" spans="7:7">
      <c r="G171" s="41"/>
    </row>
    <row r="172" spans="7:7">
      <c r="G172" s="41"/>
    </row>
    <row r="173" spans="7:7">
      <c r="G173" s="41"/>
    </row>
    <row r="174" spans="7:7">
      <c r="G174" s="41"/>
    </row>
    <row r="175" spans="7:7">
      <c r="G175" s="41"/>
    </row>
    <row r="176" spans="7:7">
      <c r="G176" s="41"/>
    </row>
    <row r="177" spans="7:7">
      <c r="G177" s="41"/>
    </row>
    <row r="178" spans="7:7">
      <c r="G178" s="41"/>
    </row>
    <row r="179" spans="7:7">
      <c r="G179" s="41"/>
    </row>
    <row r="180" spans="7:7">
      <c r="G180" s="41"/>
    </row>
    <row r="181" spans="7:7">
      <c r="G181" s="41"/>
    </row>
    <row r="182" spans="7:7">
      <c r="G182" s="41"/>
    </row>
    <row r="183" spans="7:7">
      <c r="G183" s="41"/>
    </row>
    <row r="184" spans="7:7">
      <c r="G184" s="41"/>
    </row>
    <row r="185" spans="7:7">
      <c r="G185" s="41"/>
    </row>
    <row r="186" spans="7:7">
      <c r="G186" s="41"/>
    </row>
    <row r="187" spans="7:7">
      <c r="G187" s="41"/>
    </row>
    <row r="188" spans="7:7">
      <c r="G188" s="41"/>
    </row>
    <row r="189" spans="7:7">
      <c r="G189" s="41"/>
    </row>
    <row r="190" spans="7:7">
      <c r="G190" s="41"/>
    </row>
    <row r="191" spans="7:7">
      <c r="G191" s="41"/>
    </row>
    <row r="192" spans="7:7">
      <c r="G192" s="41"/>
    </row>
    <row r="193" spans="7:7">
      <c r="G193" s="41"/>
    </row>
    <row r="194" spans="7:7">
      <c r="G194" s="41"/>
    </row>
    <row r="195" spans="7:7">
      <c r="G195" s="41"/>
    </row>
    <row r="196" spans="7:7">
      <c r="G196" s="41"/>
    </row>
    <row r="197" spans="7:7">
      <c r="G197" s="41"/>
    </row>
    <row r="198" spans="7:7">
      <c r="G198" s="41"/>
    </row>
    <row r="199" spans="7:7">
      <c r="G199" s="41"/>
    </row>
    <row r="200" spans="7:7">
      <c r="G200" s="41"/>
    </row>
    <row r="201" spans="7:7">
      <c r="G201" s="41"/>
    </row>
    <row r="202" spans="7:7">
      <c r="G202" s="41"/>
    </row>
    <row r="203" spans="7:7">
      <c r="G203" s="41"/>
    </row>
    <row r="204" spans="7:7">
      <c r="G204" s="41"/>
    </row>
    <row r="205" spans="7:7">
      <c r="G205" s="41"/>
    </row>
    <row r="206" spans="7:7">
      <c r="G206" s="41"/>
    </row>
    <row r="207" spans="7:7">
      <c r="G207" s="41"/>
    </row>
    <row r="208" spans="7:7">
      <c r="G208" s="41"/>
    </row>
    <row r="209" spans="7:7">
      <c r="G209" s="41"/>
    </row>
    <row r="210" spans="7:7">
      <c r="G210" s="41"/>
    </row>
    <row r="211" spans="7:7">
      <c r="G211" s="41"/>
    </row>
    <row r="212" spans="7:7">
      <c r="G212" s="41"/>
    </row>
    <row r="213" spans="7:7">
      <c r="G213" s="41"/>
    </row>
    <row r="214" spans="7:7">
      <c r="G214" s="41"/>
    </row>
    <row r="215" spans="7:7">
      <c r="G215" s="41"/>
    </row>
    <row r="216" spans="7:7">
      <c r="G216" s="41"/>
    </row>
    <row r="217" spans="7:7">
      <c r="G217" s="41"/>
    </row>
    <row r="218" spans="7:7">
      <c r="G218" s="41"/>
    </row>
    <row r="219" spans="7:7">
      <c r="G219" s="41"/>
    </row>
    <row r="220" spans="7:7">
      <c r="G220" s="41"/>
    </row>
    <row r="221" spans="7:7">
      <c r="G221" s="41"/>
    </row>
    <row r="222" spans="7:7">
      <c r="G222" s="41"/>
    </row>
    <row r="223" spans="7:7">
      <c r="G223" s="41"/>
    </row>
    <row r="224" spans="7:7">
      <c r="G224" s="41"/>
    </row>
    <row r="225" spans="7:7">
      <c r="G225" s="41"/>
    </row>
    <row r="226" spans="7:7">
      <c r="G226" s="41"/>
    </row>
    <row r="227" spans="7:7">
      <c r="G227" s="41"/>
    </row>
    <row r="228" spans="7:7">
      <c r="G228" s="41"/>
    </row>
    <row r="229" spans="7:7">
      <c r="G229" s="41"/>
    </row>
    <row r="230" spans="7:7">
      <c r="G230" s="41"/>
    </row>
    <row r="231" spans="7:7">
      <c r="G231" s="41"/>
    </row>
    <row r="232" spans="7:7">
      <c r="G232" s="41"/>
    </row>
    <row r="233" spans="7:7">
      <c r="G233" s="41"/>
    </row>
    <row r="234" spans="7:7">
      <c r="G234" s="41"/>
    </row>
    <row r="235" spans="7:7">
      <c r="G235" s="41"/>
    </row>
    <row r="236" spans="7:7">
      <c r="G236" s="41"/>
    </row>
    <row r="237" spans="7:7">
      <c r="G237" s="41"/>
    </row>
    <row r="238" spans="7:7">
      <c r="G238" s="41"/>
    </row>
    <row r="239" spans="7:7">
      <c r="G239" s="41"/>
    </row>
    <row r="240" spans="7:7">
      <c r="G240" s="41"/>
    </row>
    <row r="241" spans="7:7">
      <c r="G241" s="41"/>
    </row>
    <row r="242" spans="7:7">
      <c r="G242" s="41"/>
    </row>
    <row r="243" spans="7:7">
      <c r="G243" s="41"/>
    </row>
    <row r="244" spans="7:7">
      <c r="G244" s="41"/>
    </row>
    <row r="245" spans="7:7">
      <c r="G245" s="41"/>
    </row>
    <row r="246" spans="7:7">
      <c r="G246" s="41"/>
    </row>
    <row r="247" spans="7:7">
      <c r="G247" s="41"/>
    </row>
    <row r="248" spans="7:7">
      <c r="G248" s="41"/>
    </row>
    <row r="249" spans="7:7">
      <c r="G249" s="41"/>
    </row>
    <row r="250" spans="7:7">
      <c r="G250" s="41"/>
    </row>
    <row r="251" spans="7:7">
      <c r="G251" s="41"/>
    </row>
    <row r="252" spans="7:7">
      <c r="G252" s="41"/>
    </row>
    <row r="253" spans="7:7">
      <c r="G253" s="41"/>
    </row>
    <row r="254" spans="7:7">
      <c r="G254" s="41"/>
    </row>
    <row r="255" spans="7:7">
      <c r="G255" s="41"/>
    </row>
    <row r="256" spans="7:7">
      <c r="G256" s="41"/>
    </row>
    <row r="257" spans="7:7">
      <c r="G257" s="41"/>
    </row>
    <row r="258" spans="7:7">
      <c r="G258" s="41"/>
    </row>
    <row r="259" spans="7:7">
      <c r="G259" s="41"/>
    </row>
    <row r="260" spans="7:7">
      <c r="G260" s="41"/>
    </row>
    <row r="261" spans="7:7">
      <c r="G261" s="41"/>
    </row>
    <row r="262" spans="7:7">
      <c r="G262" s="41"/>
    </row>
    <row r="263" spans="7:7">
      <c r="G263" s="41"/>
    </row>
    <row r="264" spans="7:7">
      <c r="G264" s="41"/>
    </row>
    <row r="265" spans="7:7">
      <c r="G265" s="41"/>
    </row>
    <row r="266" spans="7:7">
      <c r="G266" s="41"/>
    </row>
    <row r="267" spans="7:7">
      <c r="G267" s="41"/>
    </row>
    <row r="268" spans="7:7">
      <c r="G268" s="41"/>
    </row>
    <row r="269" spans="7:7">
      <c r="G269" s="41"/>
    </row>
    <row r="270" spans="7:7">
      <c r="G270" s="41"/>
    </row>
    <row r="271" spans="7:7">
      <c r="G271" s="41"/>
    </row>
    <row r="272" spans="7:7">
      <c r="G272" s="41"/>
    </row>
    <row r="273" spans="7:7">
      <c r="G273" s="41"/>
    </row>
    <row r="274" spans="7:7">
      <c r="G274" s="41"/>
    </row>
    <row r="275" spans="7:7">
      <c r="G275" s="41"/>
    </row>
    <row r="276" spans="7:7">
      <c r="G276" s="41"/>
    </row>
    <row r="277" spans="7:7">
      <c r="G277" s="41"/>
    </row>
    <row r="278" spans="7:7">
      <c r="G278" s="41"/>
    </row>
    <row r="279" spans="7:7">
      <c r="G279" s="41"/>
    </row>
    <row r="280" spans="7:7">
      <c r="G280" s="41"/>
    </row>
    <row r="281" spans="7:7">
      <c r="G281" s="41"/>
    </row>
    <row r="282" spans="7:7">
      <c r="G282" s="41"/>
    </row>
    <row r="283" spans="7:7">
      <c r="G283" s="41"/>
    </row>
    <row r="284" spans="7:7">
      <c r="G284" s="41"/>
    </row>
    <row r="285" spans="7:7">
      <c r="G285" s="41"/>
    </row>
    <row r="286" spans="7:7">
      <c r="G286" s="41"/>
    </row>
    <row r="287" spans="7:7">
      <c r="G287" s="41"/>
    </row>
    <row r="288" spans="7:7">
      <c r="G288" s="41"/>
    </row>
    <row r="289" spans="7:7">
      <c r="G289" s="41"/>
    </row>
    <row r="290" spans="7:7">
      <c r="G290" s="41"/>
    </row>
    <row r="291" spans="7:7">
      <c r="G291" s="41"/>
    </row>
    <row r="292" spans="7:7">
      <c r="G292" s="41"/>
    </row>
    <row r="293" spans="7:7">
      <c r="G293" s="41"/>
    </row>
    <row r="294" spans="7:7">
      <c r="G294" s="41"/>
    </row>
    <row r="295" spans="7:7">
      <c r="G295" s="41"/>
    </row>
    <row r="296" spans="7:7">
      <c r="G296" s="41"/>
    </row>
    <row r="297" spans="7:7">
      <c r="G297" s="41"/>
    </row>
    <row r="298" spans="7:7">
      <c r="G298" s="41"/>
    </row>
    <row r="299" spans="7:7">
      <c r="G299" s="41"/>
    </row>
    <row r="300" spans="7:7">
      <c r="G300" s="41"/>
    </row>
    <row r="301" spans="7:7">
      <c r="G301" s="41"/>
    </row>
    <row r="302" spans="7:7">
      <c r="G302" s="41"/>
    </row>
    <row r="303" spans="7:7">
      <c r="G303" s="41"/>
    </row>
    <row r="304" spans="7:7">
      <c r="G304" s="41"/>
    </row>
    <row r="305" spans="7:7">
      <c r="G305" s="41"/>
    </row>
    <row r="306" spans="7:7">
      <c r="G306" s="41"/>
    </row>
    <row r="307" spans="7:7">
      <c r="G307" s="41"/>
    </row>
    <row r="308" spans="7:7">
      <c r="G308" s="41"/>
    </row>
    <row r="309" spans="7:7">
      <c r="G309" s="41"/>
    </row>
    <row r="310" spans="7:7">
      <c r="G310" s="41"/>
    </row>
    <row r="311" spans="7:7">
      <c r="G311" s="41"/>
    </row>
    <row r="312" spans="7:7">
      <c r="G312" s="41"/>
    </row>
    <row r="313" spans="7:7">
      <c r="G313" s="41"/>
    </row>
    <row r="314" spans="7:7">
      <c r="G314" s="41"/>
    </row>
    <row r="315" spans="7:7">
      <c r="G315" s="41"/>
    </row>
    <row r="316" spans="7:7">
      <c r="G316" s="41"/>
    </row>
    <row r="317" spans="7:7">
      <c r="G317" s="41"/>
    </row>
    <row r="318" spans="7:7">
      <c r="G318" s="41"/>
    </row>
    <row r="319" spans="7:7">
      <c r="G319" s="41"/>
    </row>
    <row r="320" spans="7:7">
      <c r="G320" s="41"/>
    </row>
    <row r="321" spans="7:7">
      <c r="G321" s="41"/>
    </row>
    <row r="322" spans="7:7">
      <c r="G322" s="41"/>
    </row>
    <row r="323" spans="7:7">
      <c r="G323" s="41"/>
    </row>
    <row r="324" spans="7:7">
      <c r="G324" s="41"/>
    </row>
    <row r="325" spans="7:7">
      <c r="G325" s="41"/>
    </row>
    <row r="326" spans="7:7">
      <c r="G326" s="41"/>
    </row>
    <row r="327" spans="7:7">
      <c r="G327" s="41"/>
    </row>
    <row r="328" spans="7:7">
      <c r="G328" s="41"/>
    </row>
    <row r="329" spans="7:7">
      <c r="G329" s="41"/>
    </row>
    <row r="330" spans="7:7">
      <c r="G330" s="41"/>
    </row>
    <row r="331" spans="7:7">
      <c r="G331" s="41"/>
    </row>
    <row r="332" spans="7:7">
      <c r="G332" s="41"/>
    </row>
    <row r="333" spans="7:7">
      <c r="G333" s="41"/>
    </row>
    <row r="334" spans="7:7">
      <c r="G334" s="41"/>
    </row>
    <row r="335" spans="7:7">
      <c r="G335" s="41"/>
    </row>
    <row r="336" spans="7:7">
      <c r="G336" s="41"/>
    </row>
    <row r="337" spans="7:7">
      <c r="G337" s="41"/>
    </row>
    <row r="338" spans="7:7">
      <c r="G338" s="41"/>
    </row>
    <row r="339" spans="7:7">
      <c r="G339" s="41"/>
    </row>
    <row r="340" spans="7:7">
      <c r="G340" s="41"/>
    </row>
    <row r="341" spans="7:7">
      <c r="G341" s="41"/>
    </row>
    <row r="342" spans="7:7">
      <c r="G342" s="41"/>
    </row>
    <row r="343" spans="7:7">
      <c r="G343" s="41"/>
    </row>
    <row r="344" spans="7:7">
      <c r="G344" s="41"/>
    </row>
    <row r="345" spans="7:7">
      <c r="G345" s="41"/>
    </row>
    <row r="346" spans="7:7">
      <c r="G346" s="41"/>
    </row>
    <row r="347" spans="7:7">
      <c r="G347" s="41"/>
    </row>
    <row r="348" spans="7:7">
      <c r="G348" s="41"/>
    </row>
    <row r="349" spans="7:7">
      <c r="G349" s="41"/>
    </row>
    <row r="350" spans="7:7">
      <c r="G350" s="41"/>
    </row>
    <row r="351" spans="7:7">
      <c r="G351" s="41"/>
    </row>
    <row r="352" spans="7:7">
      <c r="G352" s="41"/>
    </row>
    <row r="353" spans="7:7">
      <c r="G353" s="41"/>
    </row>
    <row r="354" spans="7:7">
      <c r="G354" s="41"/>
    </row>
    <row r="355" spans="7:7">
      <c r="G355" s="41"/>
    </row>
    <row r="356" spans="7:7">
      <c r="G356" s="41"/>
    </row>
    <row r="357" spans="7:7">
      <c r="G357" s="41"/>
    </row>
    <row r="358" spans="7:7">
      <c r="G358" s="41"/>
    </row>
    <row r="359" spans="7:7">
      <c r="G359" s="41"/>
    </row>
    <row r="360" spans="7:7">
      <c r="G360" s="41"/>
    </row>
    <row r="361" spans="7:7">
      <c r="G361" s="41"/>
    </row>
    <row r="362" spans="7:7">
      <c r="G362" s="41"/>
    </row>
    <row r="363" spans="7:7">
      <c r="G363" s="41"/>
    </row>
    <row r="364" spans="7:7">
      <c r="G364" s="41"/>
    </row>
    <row r="365" spans="7:7">
      <c r="G365" s="41"/>
    </row>
    <row r="366" spans="7:7">
      <c r="G366" s="41"/>
    </row>
    <row r="367" spans="7:7">
      <c r="G367" s="41"/>
    </row>
    <row r="368" spans="7:7">
      <c r="G368" s="41"/>
    </row>
    <row r="369" spans="7:7">
      <c r="G369" s="41"/>
    </row>
    <row r="370" spans="7:7">
      <c r="G370" s="41"/>
    </row>
    <row r="371" spans="7:7">
      <c r="G371" s="41"/>
    </row>
    <row r="372" spans="7:7">
      <c r="G372" s="41"/>
    </row>
    <row r="373" spans="7:7">
      <c r="G373" s="41"/>
    </row>
    <row r="374" spans="7:7">
      <c r="G374" s="41"/>
    </row>
    <row r="375" spans="7:7">
      <c r="G375" s="41"/>
    </row>
    <row r="376" spans="7:7">
      <c r="G376" s="41"/>
    </row>
    <row r="377" spans="7:7">
      <c r="G377" s="41"/>
    </row>
    <row r="378" spans="7:7">
      <c r="G378" s="41"/>
    </row>
    <row r="379" spans="7:7">
      <c r="G379" s="41"/>
    </row>
    <row r="380" spans="7:7">
      <c r="G380" s="41"/>
    </row>
    <row r="381" spans="7:7">
      <c r="G381" s="41"/>
    </row>
    <row r="382" spans="7:7">
      <c r="G382" s="41"/>
    </row>
    <row r="383" spans="7:7">
      <c r="G383" s="54"/>
    </row>
  </sheetData>
  <mergeCells count="6">
    <mergeCell ref="C68:E68"/>
    <mergeCell ref="C63:E63"/>
    <mergeCell ref="C64:E64"/>
    <mergeCell ref="C65:E65"/>
    <mergeCell ref="C66:E66"/>
    <mergeCell ref="C67:E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C62FA-FC8A-4C28-830A-61E63BCF43C2}">
  <dimension ref="A1:GK336"/>
  <sheetViews>
    <sheetView workbookViewId="0">
      <pane ySplit="1" topLeftCell="A14" activePane="bottomLeft" state="frozen"/>
      <selection pane="bottomLeft" activeCell="R18" sqref="R18"/>
    </sheetView>
  </sheetViews>
  <sheetFormatPr defaultRowHeight="15.75"/>
  <cols>
    <col min="1" max="1" width="9.86328125" customWidth="1"/>
    <col min="2" max="2" width="27.86328125" style="42" customWidth="1"/>
    <col min="3" max="4" width="12.86328125" customWidth="1"/>
    <col min="5" max="5" width="9.1328125" style="129"/>
    <col min="6" max="6" width="9.1328125" style="31"/>
    <col min="29" max="29" width="9.1328125" customWidth="1"/>
  </cols>
  <sheetData>
    <row r="1" spans="1:193" ht="18">
      <c r="A1" s="29" t="s">
        <v>64</v>
      </c>
      <c r="B1" s="29" t="s">
        <v>65</v>
      </c>
      <c r="C1" s="13" t="s">
        <v>90</v>
      </c>
      <c r="D1" s="13" t="s">
        <v>4</v>
      </c>
      <c r="E1" s="126" t="s">
        <v>68</v>
      </c>
      <c r="F1" s="13">
        <v>1</v>
      </c>
      <c r="G1" s="13">
        <v>2</v>
      </c>
      <c r="H1" s="13">
        <v>3</v>
      </c>
      <c r="I1" s="13">
        <v>4</v>
      </c>
      <c r="J1" s="13">
        <v>5</v>
      </c>
      <c r="K1" s="13">
        <v>6</v>
      </c>
      <c r="L1" s="13">
        <v>7</v>
      </c>
      <c r="M1" s="14">
        <v>8</v>
      </c>
      <c r="N1" s="13">
        <v>9</v>
      </c>
      <c r="O1" s="13">
        <v>10</v>
      </c>
      <c r="P1" s="13">
        <v>11</v>
      </c>
      <c r="Q1" s="13">
        <v>12</v>
      </c>
      <c r="R1" s="13">
        <v>13</v>
      </c>
      <c r="S1" s="13">
        <v>14</v>
      </c>
      <c r="T1" s="13">
        <v>15</v>
      </c>
      <c r="U1" s="13">
        <v>16</v>
      </c>
      <c r="V1" s="13">
        <v>17</v>
      </c>
      <c r="W1" s="13">
        <v>18</v>
      </c>
      <c r="X1" s="13">
        <v>19</v>
      </c>
      <c r="Y1" s="13">
        <v>20</v>
      </c>
      <c r="Z1" s="13">
        <v>21</v>
      </c>
      <c r="AA1" s="13">
        <v>22</v>
      </c>
      <c r="AB1" s="13">
        <v>23</v>
      </c>
      <c r="AC1" s="13">
        <v>24</v>
      </c>
      <c r="AD1" s="13">
        <v>25</v>
      </c>
      <c r="AE1" s="13">
        <v>26</v>
      </c>
      <c r="AF1" s="13">
        <v>27</v>
      </c>
      <c r="AG1" s="13">
        <v>28</v>
      </c>
      <c r="AH1" s="13">
        <v>29</v>
      </c>
      <c r="AI1" s="33">
        <v>30</v>
      </c>
      <c r="AJ1" s="3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row>
    <row r="2" spans="1:193" ht="18">
      <c r="A2" s="34">
        <v>1</v>
      </c>
      <c r="B2" s="16" t="s">
        <v>5</v>
      </c>
      <c r="C2" s="7">
        <v>3.5</v>
      </c>
      <c r="D2" s="7">
        <f t="shared" ref="D2:D33" si="0">E2-C2</f>
        <v>0.5</v>
      </c>
      <c r="E2" s="127">
        <v>4</v>
      </c>
      <c r="F2" s="9" t="s">
        <v>69</v>
      </c>
      <c r="G2" s="25" t="s">
        <v>72</v>
      </c>
      <c r="H2" s="9" t="s">
        <v>69</v>
      </c>
      <c r="I2" s="9" t="s">
        <v>69</v>
      </c>
      <c r="J2" s="9" t="s">
        <v>69</v>
      </c>
      <c r="K2" s="9" t="s">
        <v>91</v>
      </c>
      <c r="L2" s="9" t="s">
        <v>69</v>
      </c>
      <c r="M2" s="9" t="s">
        <v>69</v>
      </c>
      <c r="N2" s="9" t="s">
        <v>69</v>
      </c>
      <c r="O2" s="25" t="s">
        <v>72</v>
      </c>
      <c r="P2" s="9" t="s">
        <v>69</v>
      </c>
      <c r="Q2" s="9" t="s">
        <v>69</v>
      </c>
      <c r="R2" s="9" t="s">
        <v>91</v>
      </c>
      <c r="S2" s="9" t="s">
        <v>69</v>
      </c>
      <c r="T2" s="9" t="s">
        <v>69</v>
      </c>
      <c r="U2" s="9" t="s">
        <v>69</v>
      </c>
      <c r="V2" s="9" t="s">
        <v>69</v>
      </c>
      <c r="W2" s="9" t="s">
        <v>69</v>
      </c>
      <c r="X2" s="62" t="s">
        <v>92</v>
      </c>
      <c r="Y2" s="9" t="s">
        <v>91</v>
      </c>
      <c r="Z2" s="9" t="s">
        <v>69</v>
      </c>
      <c r="AA2" s="62" t="s">
        <v>92</v>
      </c>
      <c r="AB2" s="25" t="s">
        <v>72</v>
      </c>
      <c r="AC2" s="64" t="s">
        <v>93</v>
      </c>
      <c r="AD2" s="64" t="s">
        <v>94</v>
      </c>
      <c r="AE2" s="9" t="s">
        <v>69</v>
      </c>
      <c r="AF2" s="9" t="s">
        <v>91</v>
      </c>
      <c r="AG2" s="9" t="s">
        <v>69</v>
      </c>
      <c r="AH2" s="9" t="s">
        <v>69</v>
      </c>
      <c r="AI2" s="9" t="s">
        <v>69</v>
      </c>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row>
    <row r="3" spans="1:193" ht="18">
      <c r="A3" s="34">
        <v>2</v>
      </c>
      <c r="B3" s="16" t="s">
        <v>6</v>
      </c>
      <c r="C3" s="7">
        <v>2</v>
      </c>
      <c r="D3" s="7">
        <f t="shared" si="0"/>
        <v>0</v>
      </c>
      <c r="E3" s="127">
        <v>2</v>
      </c>
      <c r="F3" s="9" t="s">
        <v>69</v>
      </c>
      <c r="G3" s="9" t="s">
        <v>69</v>
      </c>
      <c r="H3" s="9" t="s">
        <v>69</v>
      </c>
      <c r="I3" s="9" t="s">
        <v>69</v>
      </c>
      <c r="J3" s="9" t="s">
        <v>69</v>
      </c>
      <c r="K3" s="9" t="s">
        <v>91</v>
      </c>
      <c r="L3" s="63" t="s">
        <v>72</v>
      </c>
      <c r="M3" s="9" t="s">
        <v>69</v>
      </c>
      <c r="N3" s="9" t="s">
        <v>69</v>
      </c>
      <c r="O3" s="9" t="s">
        <v>69</v>
      </c>
      <c r="P3" s="9" t="s">
        <v>69</v>
      </c>
      <c r="Q3" s="9" t="s">
        <v>69</v>
      </c>
      <c r="R3" s="9" t="s">
        <v>91</v>
      </c>
      <c r="S3" s="9" t="s">
        <v>69</v>
      </c>
      <c r="T3" s="9" t="s">
        <v>69</v>
      </c>
      <c r="U3" s="9" t="s">
        <v>69</v>
      </c>
      <c r="V3" s="9" t="s">
        <v>69</v>
      </c>
      <c r="W3" s="9" t="s">
        <v>69</v>
      </c>
      <c r="X3" s="9" t="s">
        <v>69</v>
      </c>
      <c r="Y3" s="9" t="s">
        <v>91</v>
      </c>
      <c r="Z3" s="9" t="s">
        <v>69</v>
      </c>
      <c r="AA3" s="9" t="s">
        <v>69</v>
      </c>
      <c r="AB3" s="9" t="s">
        <v>69</v>
      </c>
      <c r="AC3" s="9" t="s">
        <v>69</v>
      </c>
      <c r="AD3" s="9" t="s">
        <v>69</v>
      </c>
      <c r="AE3" s="25" t="s">
        <v>72</v>
      </c>
      <c r="AF3" s="9" t="s">
        <v>91</v>
      </c>
      <c r="AG3" s="9" t="s">
        <v>69</v>
      </c>
      <c r="AH3" s="62" t="s">
        <v>74</v>
      </c>
      <c r="AI3" s="9" t="s">
        <v>69</v>
      </c>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row>
    <row r="4" spans="1:193" ht="18">
      <c r="A4" s="34">
        <v>3</v>
      </c>
      <c r="B4" s="16" t="s">
        <v>7</v>
      </c>
      <c r="C4" s="7">
        <v>2</v>
      </c>
      <c r="D4" s="7">
        <f t="shared" si="0"/>
        <v>0</v>
      </c>
      <c r="E4" s="127">
        <v>2</v>
      </c>
      <c r="F4" s="9" t="s">
        <v>69</v>
      </c>
      <c r="G4" s="9" t="s">
        <v>69</v>
      </c>
      <c r="H4" s="9" t="s">
        <v>69</v>
      </c>
      <c r="I4" s="9" t="s">
        <v>69</v>
      </c>
      <c r="J4" s="9" t="s">
        <v>69</v>
      </c>
      <c r="K4" s="9" t="s">
        <v>91</v>
      </c>
      <c r="L4" s="9" t="s">
        <v>69</v>
      </c>
      <c r="M4" s="9" t="s">
        <v>69</v>
      </c>
      <c r="N4" s="9" t="s">
        <v>69</v>
      </c>
      <c r="O4" s="9" t="s">
        <v>69</v>
      </c>
      <c r="P4" s="9" t="s">
        <v>69</v>
      </c>
      <c r="Q4" s="9" t="s">
        <v>69</v>
      </c>
      <c r="R4" s="9" t="s">
        <v>91</v>
      </c>
      <c r="S4" s="9" t="s">
        <v>69</v>
      </c>
      <c r="T4" s="9" t="s">
        <v>69</v>
      </c>
      <c r="U4" s="9" t="s">
        <v>69</v>
      </c>
      <c r="V4" s="9" t="s">
        <v>69</v>
      </c>
      <c r="W4" s="9" t="s">
        <v>69</v>
      </c>
      <c r="X4" s="25" t="s">
        <v>72</v>
      </c>
      <c r="Y4" s="9" t="s">
        <v>91</v>
      </c>
      <c r="Z4" s="9" t="s">
        <v>69</v>
      </c>
      <c r="AA4" s="25" t="s">
        <v>72</v>
      </c>
      <c r="AB4" s="9" t="s">
        <v>69</v>
      </c>
      <c r="AC4" s="9" t="s">
        <v>69</v>
      </c>
      <c r="AD4" s="62" t="s">
        <v>92</v>
      </c>
      <c r="AE4" s="9" t="s">
        <v>69</v>
      </c>
      <c r="AF4" s="9" t="s">
        <v>91</v>
      </c>
      <c r="AG4" s="9" t="s">
        <v>69</v>
      </c>
      <c r="AH4" s="9" t="s">
        <v>69</v>
      </c>
      <c r="AI4" s="9" t="s">
        <v>69</v>
      </c>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row>
    <row r="5" spans="1:193" ht="18">
      <c r="A5" s="34">
        <v>4</v>
      </c>
      <c r="B5" s="16" t="s">
        <v>8</v>
      </c>
      <c r="C5" s="7">
        <v>4.5</v>
      </c>
      <c r="D5" s="7">
        <f t="shared" si="0"/>
        <v>0</v>
      </c>
      <c r="E5" s="127">
        <v>4.5</v>
      </c>
      <c r="F5" s="9" t="s">
        <v>69</v>
      </c>
      <c r="G5" s="9" t="s">
        <v>69</v>
      </c>
      <c r="H5" s="9" t="s">
        <v>69</v>
      </c>
      <c r="I5" s="62" t="s">
        <v>92</v>
      </c>
      <c r="J5" s="9" t="s">
        <v>70</v>
      </c>
      <c r="K5" s="9" t="s">
        <v>91</v>
      </c>
      <c r="L5" s="63" t="s">
        <v>72</v>
      </c>
      <c r="M5" s="63" t="s">
        <v>72</v>
      </c>
      <c r="N5" s="63" t="s">
        <v>72</v>
      </c>
      <c r="O5" s="63" t="s">
        <v>72</v>
      </c>
      <c r="P5" s="64" t="s">
        <v>73</v>
      </c>
      <c r="Q5" s="9" t="s">
        <v>69</v>
      </c>
      <c r="R5" s="9" t="s">
        <v>91</v>
      </c>
      <c r="S5" s="9" t="s">
        <v>69</v>
      </c>
      <c r="T5" s="9" t="s">
        <v>69</v>
      </c>
      <c r="U5" s="9" t="s">
        <v>69</v>
      </c>
      <c r="V5" s="9" t="s">
        <v>69</v>
      </c>
      <c r="W5" s="9" t="s">
        <v>69</v>
      </c>
      <c r="X5" s="9" t="s">
        <v>69</v>
      </c>
      <c r="Y5" s="9" t="s">
        <v>91</v>
      </c>
      <c r="Z5" s="9" t="s">
        <v>69</v>
      </c>
      <c r="AA5" s="9" t="s">
        <v>69</v>
      </c>
      <c r="AB5" s="9" t="s">
        <v>69</v>
      </c>
      <c r="AC5" s="9" t="s">
        <v>69</v>
      </c>
      <c r="AD5" s="9" t="s">
        <v>69</v>
      </c>
      <c r="AE5" s="9" t="s">
        <v>69</v>
      </c>
      <c r="AF5" s="9" t="s">
        <v>91</v>
      </c>
      <c r="AG5" s="9" t="s">
        <v>69</v>
      </c>
      <c r="AH5" s="62" t="s">
        <v>74</v>
      </c>
      <c r="AI5" s="9" t="s">
        <v>69</v>
      </c>
      <c r="AJ5" s="10"/>
      <c r="AK5" s="10"/>
      <c r="AL5" s="32"/>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row>
    <row r="6" spans="1:193" ht="18">
      <c r="A6" s="34">
        <v>5</v>
      </c>
      <c r="B6" s="17" t="s">
        <v>9</v>
      </c>
      <c r="C6" s="7">
        <v>1</v>
      </c>
      <c r="D6" s="7">
        <f t="shared" si="0"/>
        <v>20</v>
      </c>
      <c r="E6" s="127">
        <v>21</v>
      </c>
      <c r="F6" s="9" t="s">
        <v>69</v>
      </c>
      <c r="G6" s="9" t="s">
        <v>69</v>
      </c>
      <c r="H6" s="9" t="s">
        <v>69</v>
      </c>
      <c r="I6" s="9" t="s">
        <v>69</v>
      </c>
      <c r="J6" s="25" t="s">
        <v>72</v>
      </c>
      <c r="K6" s="9" t="s">
        <v>91</v>
      </c>
      <c r="L6" s="25" t="s">
        <v>72</v>
      </c>
      <c r="M6" s="9" t="s">
        <v>69</v>
      </c>
      <c r="N6" s="25" t="s">
        <v>72</v>
      </c>
      <c r="O6" s="9" t="s">
        <v>69</v>
      </c>
      <c r="P6" s="9" t="s">
        <v>69</v>
      </c>
      <c r="Q6" s="25" t="s">
        <v>72</v>
      </c>
      <c r="R6" s="9" t="s">
        <v>91</v>
      </c>
      <c r="S6" s="25" t="s">
        <v>72</v>
      </c>
      <c r="T6" s="25" t="s">
        <v>72</v>
      </c>
      <c r="U6" s="25" t="s">
        <v>72</v>
      </c>
      <c r="V6" s="25" t="s">
        <v>72</v>
      </c>
      <c r="W6" s="25" t="s">
        <v>72</v>
      </c>
      <c r="X6" s="25" t="s">
        <v>72</v>
      </c>
      <c r="Y6" s="9" t="s">
        <v>91</v>
      </c>
      <c r="Z6" s="25" t="s">
        <v>72</v>
      </c>
      <c r="AA6" s="25" t="s">
        <v>72</v>
      </c>
      <c r="AB6" s="25" t="s">
        <v>72</v>
      </c>
      <c r="AC6" s="25" t="s">
        <v>72</v>
      </c>
      <c r="AD6" s="25" t="s">
        <v>72</v>
      </c>
      <c r="AE6" s="25" t="s">
        <v>72</v>
      </c>
      <c r="AF6" s="9" t="s">
        <v>91</v>
      </c>
      <c r="AG6" s="25" t="s">
        <v>72</v>
      </c>
      <c r="AH6" s="25" t="s">
        <v>72</v>
      </c>
      <c r="AI6" s="25" t="s">
        <v>72</v>
      </c>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row>
    <row r="7" spans="1:193" ht="18">
      <c r="A7" s="34">
        <v>6</v>
      </c>
      <c r="B7" s="16" t="s">
        <v>10</v>
      </c>
      <c r="C7" s="7">
        <v>1</v>
      </c>
      <c r="D7" s="7">
        <f t="shared" si="0"/>
        <v>2</v>
      </c>
      <c r="E7" s="127">
        <v>3</v>
      </c>
      <c r="F7" s="9" t="s">
        <v>69</v>
      </c>
      <c r="G7" s="9" t="s">
        <v>69</v>
      </c>
      <c r="H7" s="9" t="s">
        <v>69</v>
      </c>
      <c r="I7" s="9" t="s">
        <v>69</v>
      </c>
      <c r="J7" s="25" t="s">
        <v>72</v>
      </c>
      <c r="K7" s="9" t="s">
        <v>91</v>
      </c>
      <c r="L7" s="25" t="s">
        <v>72</v>
      </c>
      <c r="M7" s="9" t="s">
        <v>69</v>
      </c>
      <c r="N7" s="9" t="s">
        <v>69</v>
      </c>
      <c r="O7" s="9" t="s">
        <v>69</v>
      </c>
      <c r="P7" s="9" t="s">
        <v>69</v>
      </c>
      <c r="Q7" s="9" t="s">
        <v>69</v>
      </c>
      <c r="R7" s="9" t="s">
        <v>91</v>
      </c>
      <c r="S7" s="9" t="s">
        <v>69</v>
      </c>
      <c r="T7" s="9" t="s">
        <v>69</v>
      </c>
      <c r="U7" s="9" t="s">
        <v>69</v>
      </c>
      <c r="V7" s="9" t="s">
        <v>69</v>
      </c>
      <c r="W7" s="62" t="s">
        <v>92</v>
      </c>
      <c r="X7" s="9" t="s">
        <v>69</v>
      </c>
      <c r="Y7" s="9" t="s">
        <v>91</v>
      </c>
      <c r="Z7" s="9" t="s">
        <v>69</v>
      </c>
      <c r="AA7" s="25" t="s">
        <v>72</v>
      </c>
      <c r="AB7" s="9" t="s">
        <v>69</v>
      </c>
      <c r="AC7" s="62" t="s">
        <v>92</v>
      </c>
      <c r="AD7" s="9" t="s">
        <v>69</v>
      </c>
      <c r="AE7" s="9" t="s">
        <v>69</v>
      </c>
      <c r="AF7" s="9" t="s">
        <v>91</v>
      </c>
      <c r="AG7" s="9" t="s">
        <v>69</v>
      </c>
      <c r="AH7" s="9" t="s">
        <v>69</v>
      </c>
      <c r="AI7" s="9" t="s">
        <v>69</v>
      </c>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row>
    <row r="8" spans="1:193" ht="18">
      <c r="A8" s="34">
        <v>7</v>
      </c>
      <c r="B8" s="16" t="s">
        <v>11</v>
      </c>
      <c r="C8" s="7">
        <v>6.5</v>
      </c>
      <c r="D8" s="7">
        <f t="shared" si="0"/>
        <v>0</v>
      </c>
      <c r="E8" s="127">
        <v>6.5</v>
      </c>
      <c r="F8" s="25" t="s">
        <v>72</v>
      </c>
      <c r="G8" s="9" t="s">
        <v>69</v>
      </c>
      <c r="H8" s="9" t="s">
        <v>69</v>
      </c>
      <c r="I8" s="25" t="s">
        <v>72</v>
      </c>
      <c r="J8" s="25" t="s">
        <v>72</v>
      </c>
      <c r="K8" s="9" t="s">
        <v>91</v>
      </c>
      <c r="L8" s="25" t="s">
        <v>72</v>
      </c>
      <c r="M8" s="9" t="s">
        <v>69</v>
      </c>
      <c r="N8" s="9" t="s">
        <v>69</v>
      </c>
      <c r="O8" s="9" t="s">
        <v>69</v>
      </c>
      <c r="P8" s="9" t="s">
        <v>69</v>
      </c>
      <c r="Q8" s="9" t="s">
        <v>69</v>
      </c>
      <c r="R8" s="9" t="s">
        <v>91</v>
      </c>
      <c r="S8" s="62" t="s">
        <v>92</v>
      </c>
      <c r="T8" s="64" t="s">
        <v>94</v>
      </c>
      <c r="U8" s="62" t="s">
        <v>92</v>
      </c>
      <c r="V8" s="9" t="s">
        <v>69</v>
      </c>
      <c r="W8" s="9" t="s">
        <v>69</v>
      </c>
      <c r="X8" s="9" t="s">
        <v>69</v>
      </c>
      <c r="Y8" s="9" t="s">
        <v>91</v>
      </c>
      <c r="Z8" s="9" t="s">
        <v>69</v>
      </c>
      <c r="AA8" s="9" t="s">
        <v>69</v>
      </c>
      <c r="AB8" s="25" t="s">
        <v>72</v>
      </c>
      <c r="AC8" s="9" t="s">
        <v>69</v>
      </c>
      <c r="AD8" s="9" t="s">
        <v>69</v>
      </c>
      <c r="AE8" s="9" t="s">
        <v>69</v>
      </c>
      <c r="AF8" s="9" t="s">
        <v>91</v>
      </c>
      <c r="AG8" s="25" t="s">
        <v>72</v>
      </c>
      <c r="AH8" s="9" t="s">
        <v>69</v>
      </c>
      <c r="AI8" s="9" t="s">
        <v>69</v>
      </c>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row>
    <row r="9" spans="1:193" ht="18">
      <c r="A9" s="34">
        <v>8</v>
      </c>
      <c r="B9" s="16" t="s">
        <v>12</v>
      </c>
      <c r="C9" s="7">
        <v>4</v>
      </c>
      <c r="D9" s="7">
        <f t="shared" si="0"/>
        <v>0</v>
      </c>
      <c r="E9" s="127">
        <v>4</v>
      </c>
      <c r="F9" s="9" t="s">
        <v>69</v>
      </c>
      <c r="G9" s="61" t="s">
        <v>73</v>
      </c>
      <c r="H9" s="61" t="s">
        <v>73</v>
      </c>
      <c r="I9" s="25" t="s">
        <v>72</v>
      </c>
      <c r="J9" s="65" t="s">
        <v>69</v>
      </c>
      <c r="K9" s="9" t="s">
        <v>91</v>
      </c>
      <c r="L9" s="62" t="s">
        <v>92</v>
      </c>
      <c r="M9" s="62" t="s">
        <v>92</v>
      </c>
      <c r="N9" s="9" t="s">
        <v>69</v>
      </c>
      <c r="O9" s="9" t="s">
        <v>69</v>
      </c>
      <c r="P9" s="9" t="s">
        <v>69</v>
      </c>
      <c r="Q9" s="9" t="s">
        <v>69</v>
      </c>
      <c r="R9" s="9" t="s">
        <v>91</v>
      </c>
      <c r="S9" s="25" t="s">
        <v>72</v>
      </c>
      <c r="T9" s="9" t="s">
        <v>69</v>
      </c>
      <c r="U9" s="9" t="s">
        <v>69</v>
      </c>
      <c r="V9" s="9" t="s">
        <v>69</v>
      </c>
      <c r="W9" s="9" t="s">
        <v>69</v>
      </c>
      <c r="X9" s="9" t="s">
        <v>69</v>
      </c>
      <c r="Y9" s="9" t="s">
        <v>91</v>
      </c>
      <c r="Z9" s="9" t="s">
        <v>69</v>
      </c>
      <c r="AA9" s="9" t="s">
        <v>69</v>
      </c>
      <c r="AB9" s="9" t="s">
        <v>69</v>
      </c>
      <c r="AC9" s="9" t="s">
        <v>69</v>
      </c>
      <c r="AD9" s="25" t="s">
        <v>72</v>
      </c>
      <c r="AE9" s="9" t="s">
        <v>69</v>
      </c>
      <c r="AF9" s="9" t="s">
        <v>91</v>
      </c>
      <c r="AG9" s="9" t="s">
        <v>69</v>
      </c>
      <c r="AH9" s="9" t="s">
        <v>69</v>
      </c>
      <c r="AI9" s="9" t="s">
        <v>69</v>
      </c>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row>
    <row r="10" spans="1:193" ht="18">
      <c r="A10" s="34">
        <v>9</v>
      </c>
      <c r="B10" s="16" t="s">
        <v>95</v>
      </c>
      <c r="C10" s="7">
        <v>0</v>
      </c>
      <c r="D10" s="7">
        <f t="shared" si="0"/>
        <v>9</v>
      </c>
      <c r="E10" s="127">
        <v>9</v>
      </c>
      <c r="F10" s="63" t="s">
        <v>72</v>
      </c>
      <c r="G10" s="63" t="s">
        <v>72</v>
      </c>
      <c r="H10" s="63" t="s">
        <v>72</v>
      </c>
      <c r="I10" s="63" t="s">
        <v>72</v>
      </c>
      <c r="J10" s="63" t="s">
        <v>72</v>
      </c>
      <c r="K10" s="9" t="s">
        <v>91</v>
      </c>
      <c r="L10" s="63" t="s">
        <v>72</v>
      </c>
      <c r="M10" s="63" t="s">
        <v>72</v>
      </c>
      <c r="N10" s="9" t="s">
        <v>69</v>
      </c>
      <c r="O10" s="9" t="s">
        <v>69</v>
      </c>
      <c r="P10" s="9" t="s">
        <v>69</v>
      </c>
      <c r="Q10" s="62" t="s">
        <v>92</v>
      </c>
      <c r="R10" s="9" t="s">
        <v>91</v>
      </c>
      <c r="S10" s="71" t="s">
        <v>69</v>
      </c>
      <c r="T10" s="71" t="s">
        <v>69</v>
      </c>
      <c r="U10" s="25" t="s">
        <v>72</v>
      </c>
      <c r="V10" s="9" t="s">
        <v>69</v>
      </c>
      <c r="W10" s="9" t="s">
        <v>69</v>
      </c>
      <c r="X10" s="62" t="s">
        <v>92</v>
      </c>
      <c r="Y10" s="9" t="s">
        <v>91</v>
      </c>
      <c r="Z10" s="9" t="s">
        <v>69</v>
      </c>
      <c r="AA10" s="62" t="s">
        <v>92</v>
      </c>
      <c r="AB10" s="9" t="s">
        <v>69</v>
      </c>
      <c r="AC10" s="9" t="s">
        <v>69</v>
      </c>
      <c r="AD10" s="9" t="s">
        <v>69</v>
      </c>
      <c r="AE10" s="9" t="s">
        <v>69</v>
      </c>
      <c r="AF10" s="9" t="s">
        <v>91</v>
      </c>
      <c r="AG10" s="9" t="s">
        <v>69</v>
      </c>
      <c r="AH10" s="9" t="s">
        <v>69</v>
      </c>
      <c r="AI10" s="9" t="s">
        <v>69</v>
      </c>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row>
    <row r="11" spans="1:193" ht="18">
      <c r="A11" s="34">
        <v>10</v>
      </c>
      <c r="B11" s="16" t="s">
        <v>13</v>
      </c>
      <c r="C11" s="7">
        <v>4.5</v>
      </c>
      <c r="D11" s="7">
        <f t="shared" si="0"/>
        <v>0</v>
      </c>
      <c r="E11" s="127">
        <v>4.5</v>
      </c>
      <c r="F11" s="9" t="s">
        <v>69</v>
      </c>
      <c r="G11" s="25" t="s">
        <v>72</v>
      </c>
      <c r="H11" s="25" t="s">
        <v>72</v>
      </c>
      <c r="I11" s="25" t="s">
        <v>72</v>
      </c>
      <c r="J11" s="25" t="s">
        <v>72</v>
      </c>
      <c r="K11" s="9" t="s">
        <v>91</v>
      </c>
      <c r="L11" s="9" t="s">
        <v>69</v>
      </c>
      <c r="M11" s="9" t="s">
        <v>69</v>
      </c>
      <c r="N11" s="68" t="s">
        <v>92</v>
      </c>
      <c r="O11" s="9" t="s">
        <v>69</v>
      </c>
      <c r="P11" s="9" t="s">
        <v>69</v>
      </c>
      <c r="Q11" s="9" t="s">
        <v>69</v>
      </c>
      <c r="R11" s="9" t="s">
        <v>91</v>
      </c>
      <c r="S11" s="9" t="s">
        <v>69</v>
      </c>
      <c r="T11" s="9" t="s">
        <v>69</v>
      </c>
      <c r="U11" s="9" t="s">
        <v>69</v>
      </c>
      <c r="V11" s="9" t="s">
        <v>69</v>
      </c>
      <c r="W11" s="62" t="s">
        <v>92</v>
      </c>
      <c r="X11" s="9" t="s">
        <v>69</v>
      </c>
      <c r="Y11" s="9" t="s">
        <v>91</v>
      </c>
      <c r="Z11" s="9" t="s">
        <v>69</v>
      </c>
      <c r="AA11" s="9" t="s">
        <v>69</v>
      </c>
      <c r="AB11" s="9" t="s">
        <v>69</v>
      </c>
      <c r="AC11" s="9" t="s">
        <v>69</v>
      </c>
      <c r="AD11" s="9" t="s">
        <v>69</v>
      </c>
      <c r="AE11" s="64" t="s">
        <v>94</v>
      </c>
      <c r="AF11" s="9" t="s">
        <v>91</v>
      </c>
      <c r="AG11" s="9" t="s">
        <v>69</v>
      </c>
      <c r="AH11" s="9" t="s">
        <v>69</v>
      </c>
      <c r="AI11" s="9" t="s">
        <v>69</v>
      </c>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row>
    <row r="12" spans="1:193" ht="18">
      <c r="A12" s="34">
        <v>11</v>
      </c>
      <c r="B12" s="16" t="s">
        <v>14</v>
      </c>
      <c r="C12" s="7">
        <v>2</v>
      </c>
      <c r="D12" s="7">
        <f t="shared" si="0"/>
        <v>0.5</v>
      </c>
      <c r="E12" s="127">
        <v>2.5</v>
      </c>
      <c r="F12" s="9" t="s">
        <v>69</v>
      </c>
      <c r="G12" s="9" t="s">
        <v>69</v>
      </c>
      <c r="H12" s="9" t="s">
        <v>69</v>
      </c>
      <c r="I12" s="9" t="s">
        <v>69</v>
      </c>
      <c r="J12" s="9" t="s">
        <v>69</v>
      </c>
      <c r="K12" s="9" t="s">
        <v>91</v>
      </c>
      <c r="L12" s="62" t="s">
        <v>92</v>
      </c>
      <c r="M12" s="9" t="s">
        <v>69</v>
      </c>
      <c r="N12" s="9" t="s">
        <v>69</v>
      </c>
      <c r="O12" s="9" t="s">
        <v>69</v>
      </c>
      <c r="P12" s="9" t="s">
        <v>69</v>
      </c>
      <c r="Q12" s="9" t="s">
        <v>69</v>
      </c>
      <c r="R12" s="9" t="s">
        <v>91</v>
      </c>
      <c r="S12" s="9" t="s">
        <v>69</v>
      </c>
      <c r="T12" s="9" t="s">
        <v>69</v>
      </c>
      <c r="U12" s="9" t="s">
        <v>69</v>
      </c>
      <c r="V12" s="9" t="s">
        <v>69</v>
      </c>
      <c r="W12" s="9" t="s">
        <v>69</v>
      </c>
      <c r="X12" s="63" t="s">
        <v>72</v>
      </c>
      <c r="Y12" s="9" t="s">
        <v>91</v>
      </c>
      <c r="Z12" s="9" t="s">
        <v>69</v>
      </c>
      <c r="AA12" s="25" t="s">
        <v>72</v>
      </c>
      <c r="AB12" s="9" t="s">
        <v>69</v>
      </c>
      <c r="AC12" s="62" t="s">
        <v>92</v>
      </c>
      <c r="AD12" s="9" t="s">
        <v>69</v>
      </c>
      <c r="AE12" s="64" t="s">
        <v>94</v>
      </c>
      <c r="AF12" s="9" t="s">
        <v>91</v>
      </c>
      <c r="AG12" s="9" t="s">
        <v>69</v>
      </c>
      <c r="AH12" s="9" t="s">
        <v>69</v>
      </c>
      <c r="AI12" s="9" t="s">
        <v>69</v>
      </c>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row>
    <row r="13" spans="1:193" ht="18">
      <c r="A13" s="34">
        <v>12</v>
      </c>
      <c r="B13" s="17" t="s">
        <v>15</v>
      </c>
      <c r="C13" s="7">
        <v>1</v>
      </c>
      <c r="D13" s="7">
        <f t="shared" si="0"/>
        <v>1</v>
      </c>
      <c r="E13" s="127">
        <v>2</v>
      </c>
      <c r="F13" s="9" t="s">
        <v>69</v>
      </c>
      <c r="G13" s="9" t="s">
        <v>69</v>
      </c>
      <c r="H13" s="9" t="s">
        <v>69</v>
      </c>
      <c r="I13" s="9" t="s">
        <v>69</v>
      </c>
      <c r="J13" s="9" t="s">
        <v>69</v>
      </c>
      <c r="K13" s="9" t="s">
        <v>91</v>
      </c>
      <c r="L13" s="9" t="s">
        <v>69</v>
      </c>
      <c r="M13" s="9" t="s">
        <v>69</v>
      </c>
      <c r="N13" s="9" t="s">
        <v>69</v>
      </c>
      <c r="O13" s="9" t="s">
        <v>69</v>
      </c>
      <c r="P13" s="25" t="s">
        <v>72</v>
      </c>
      <c r="Q13" s="25" t="s">
        <v>72</v>
      </c>
      <c r="R13" s="9" t="s">
        <v>91</v>
      </c>
      <c r="S13" s="9" t="s">
        <v>69</v>
      </c>
      <c r="T13" s="9" t="s">
        <v>69</v>
      </c>
      <c r="U13" s="9" t="s">
        <v>69</v>
      </c>
      <c r="V13" s="9" t="s">
        <v>69</v>
      </c>
      <c r="W13" s="62" t="s">
        <v>92</v>
      </c>
      <c r="X13" s="9" t="s">
        <v>69</v>
      </c>
      <c r="Y13" s="9" t="s">
        <v>91</v>
      </c>
      <c r="Z13" s="9" t="s">
        <v>69</v>
      </c>
      <c r="AA13" s="9" t="s">
        <v>69</v>
      </c>
      <c r="AB13" s="9" t="s">
        <v>69</v>
      </c>
      <c r="AC13" s="65" t="s">
        <v>69</v>
      </c>
      <c r="AD13" s="62" t="s">
        <v>92</v>
      </c>
      <c r="AE13" s="9" t="s">
        <v>69</v>
      </c>
      <c r="AF13" s="9" t="s">
        <v>91</v>
      </c>
      <c r="AG13" s="9" t="s">
        <v>69</v>
      </c>
      <c r="AH13" s="9" t="s">
        <v>69</v>
      </c>
      <c r="AI13" s="9" t="s">
        <v>69</v>
      </c>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c r="GJ13" s="10"/>
      <c r="GK13" s="10"/>
    </row>
    <row r="14" spans="1:193" ht="18">
      <c r="A14" s="34">
        <v>13</v>
      </c>
      <c r="B14" s="16" t="s">
        <v>16</v>
      </c>
      <c r="C14" s="7">
        <v>2</v>
      </c>
      <c r="D14" s="7">
        <f t="shared" si="0"/>
        <v>0</v>
      </c>
      <c r="E14" s="127">
        <v>2</v>
      </c>
      <c r="F14" s="62" t="s">
        <v>92</v>
      </c>
      <c r="G14" s="9" t="s">
        <v>69</v>
      </c>
      <c r="H14" s="9" t="s">
        <v>69</v>
      </c>
      <c r="I14" s="9" t="s">
        <v>69</v>
      </c>
      <c r="J14" s="25" t="s">
        <v>72</v>
      </c>
      <c r="K14" s="9" t="s">
        <v>91</v>
      </c>
      <c r="L14" s="9" t="s">
        <v>69</v>
      </c>
      <c r="M14" s="62" t="s">
        <v>92</v>
      </c>
      <c r="N14" s="9" t="s">
        <v>69</v>
      </c>
      <c r="O14" s="9" t="s">
        <v>69</v>
      </c>
      <c r="P14" s="9" t="s">
        <v>69</v>
      </c>
      <c r="Q14" s="9" t="s">
        <v>69</v>
      </c>
      <c r="R14" s="9" t="s">
        <v>91</v>
      </c>
      <c r="S14" s="9" t="s">
        <v>69</v>
      </c>
      <c r="T14" s="25" t="s">
        <v>72</v>
      </c>
      <c r="U14" s="9" t="s">
        <v>69</v>
      </c>
      <c r="V14" s="9" t="s">
        <v>69</v>
      </c>
      <c r="W14" s="9" t="s">
        <v>69</v>
      </c>
      <c r="X14" s="9" t="s">
        <v>69</v>
      </c>
      <c r="Y14" s="9" t="s">
        <v>91</v>
      </c>
      <c r="Z14" s="9" t="s">
        <v>69</v>
      </c>
      <c r="AA14" s="9" t="s">
        <v>69</v>
      </c>
      <c r="AB14" s="9" t="s">
        <v>69</v>
      </c>
      <c r="AC14" s="9" t="s">
        <v>69</v>
      </c>
      <c r="AD14" s="9" t="s">
        <v>69</v>
      </c>
      <c r="AE14" s="9" t="s">
        <v>69</v>
      </c>
      <c r="AF14" s="9" t="s">
        <v>91</v>
      </c>
      <c r="AG14" s="9" t="s">
        <v>69</v>
      </c>
      <c r="AH14" s="9" t="s">
        <v>69</v>
      </c>
      <c r="AI14" s="9" t="s">
        <v>69</v>
      </c>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row>
    <row r="15" spans="1:193" ht="18">
      <c r="A15" s="34">
        <v>14</v>
      </c>
      <c r="B15" s="16" t="s">
        <v>17</v>
      </c>
      <c r="C15" s="7">
        <v>1</v>
      </c>
      <c r="D15" s="7">
        <f t="shared" si="0"/>
        <v>0</v>
      </c>
      <c r="E15" s="127">
        <v>1</v>
      </c>
      <c r="F15" s="9" t="s">
        <v>69</v>
      </c>
      <c r="G15" s="9" t="s">
        <v>69</v>
      </c>
      <c r="H15" s="9" t="s">
        <v>69</v>
      </c>
      <c r="I15" s="9" t="s">
        <v>69</v>
      </c>
      <c r="J15" s="9" t="s">
        <v>69</v>
      </c>
      <c r="K15" s="9" t="s">
        <v>91</v>
      </c>
      <c r="L15" s="9" t="s">
        <v>69</v>
      </c>
      <c r="M15" s="9" t="s">
        <v>69</v>
      </c>
      <c r="N15" s="9" t="s">
        <v>69</v>
      </c>
      <c r="O15" s="9" t="s">
        <v>69</v>
      </c>
      <c r="P15" s="25" t="s">
        <v>72</v>
      </c>
      <c r="Q15" s="9" t="s">
        <v>69</v>
      </c>
      <c r="R15" s="9" t="s">
        <v>91</v>
      </c>
      <c r="S15" s="9" t="s">
        <v>69</v>
      </c>
      <c r="T15" s="9" t="s">
        <v>69</v>
      </c>
      <c r="U15" s="9" t="s">
        <v>69</v>
      </c>
      <c r="V15" s="9" t="s">
        <v>69</v>
      </c>
      <c r="W15" s="9" t="s">
        <v>69</v>
      </c>
      <c r="X15" s="9" t="s">
        <v>69</v>
      </c>
      <c r="Y15" s="9" t="s">
        <v>91</v>
      </c>
      <c r="Z15" s="9" t="s">
        <v>69</v>
      </c>
      <c r="AA15" s="9" t="s">
        <v>69</v>
      </c>
      <c r="AB15" s="9" t="s">
        <v>69</v>
      </c>
      <c r="AC15" s="62" t="s">
        <v>92</v>
      </c>
      <c r="AD15" s="9" t="s">
        <v>69</v>
      </c>
      <c r="AE15" s="9" t="s">
        <v>69</v>
      </c>
      <c r="AF15" s="9" t="s">
        <v>91</v>
      </c>
      <c r="AG15" s="9" t="s">
        <v>69</v>
      </c>
      <c r="AH15" s="9" t="s">
        <v>69</v>
      </c>
      <c r="AI15" s="62" t="s">
        <v>92</v>
      </c>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row>
    <row r="16" spans="1:193" ht="18">
      <c r="A16" s="34">
        <v>15</v>
      </c>
      <c r="B16" s="17" t="s">
        <v>75</v>
      </c>
      <c r="C16" s="7">
        <v>2</v>
      </c>
      <c r="D16" s="7">
        <f t="shared" si="0"/>
        <v>1</v>
      </c>
      <c r="E16" s="127">
        <v>3</v>
      </c>
      <c r="F16" s="9" t="s">
        <v>69</v>
      </c>
      <c r="G16" s="9" t="s">
        <v>69</v>
      </c>
      <c r="H16" s="9" t="s">
        <v>69</v>
      </c>
      <c r="I16" s="9" t="s">
        <v>69</v>
      </c>
      <c r="J16" s="25" t="s">
        <v>72</v>
      </c>
      <c r="K16" s="9" t="s">
        <v>91</v>
      </c>
      <c r="L16" s="9" t="s">
        <v>69</v>
      </c>
      <c r="M16" s="9" t="s">
        <v>69</v>
      </c>
      <c r="N16" s="9" t="s">
        <v>69</v>
      </c>
      <c r="O16" s="9" t="s">
        <v>69</v>
      </c>
      <c r="P16" s="9" t="s">
        <v>69</v>
      </c>
      <c r="Q16" s="9" t="s">
        <v>69</v>
      </c>
      <c r="R16" s="9" t="s">
        <v>91</v>
      </c>
      <c r="S16" s="9" t="s">
        <v>69</v>
      </c>
      <c r="T16" s="9" t="s">
        <v>69</v>
      </c>
      <c r="U16" s="9" t="s">
        <v>69</v>
      </c>
      <c r="V16" s="9" t="s">
        <v>69</v>
      </c>
      <c r="W16" s="9" t="s">
        <v>69</v>
      </c>
      <c r="X16" s="9" t="s">
        <v>69</v>
      </c>
      <c r="Y16" s="9" t="s">
        <v>91</v>
      </c>
      <c r="Z16" s="9" t="s">
        <v>69</v>
      </c>
      <c r="AA16" s="9" t="s">
        <v>69</v>
      </c>
      <c r="AB16" s="64" t="s">
        <v>94</v>
      </c>
      <c r="AC16" s="9" t="s">
        <v>69</v>
      </c>
      <c r="AD16" s="64" t="s">
        <v>94</v>
      </c>
      <c r="AE16" s="25" t="s">
        <v>72</v>
      </c>
      <c r="AF16" s="9" t="s">
        <v>91</v>
      </c>
      <c r="AG16" s="9" t="s">
        <v>69</v>
      </c>
      <c r="AH16" s="9" t="s">
        <v>69</v>
      </c>
      <c r="AI16" s="9" t="s">
        <v>69</v>
      </c>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row>
    <row r="17" spans="1:193" ht="18">
      <c r="A17" s="34">
        <v>16</v>
      </c>
      <c r="B17" s="16" t="s">
        <v>19</v>
      </c>
      <c r="C17" s="7">
        <v>1</v>
      </c>
      <c r="D17" s="7">
        <f t="shared" si="0"/>
        <v>0</v>
      </c>
      <c r="E17" s="127">
        <v>1</v>
      </c>
      <c r="F17" s="9" t="s">
        <v>69</v>
      </c>
      <c r="G17" s="9" t="s">
        <v>69</v>
      </c>
      <c r="H17" s="9" t="s">
        <v>69</v>
      </c>
      <c r="I17" s="9" t="s">
        <v>69</v>
      </c>
      <c r="J17" s="9" t="s">
        <v>69</v>
      </c>
      <c r="K17" s="9" t="s">
        <v>91</v>
      </c>
      <c r="L17" s="67" t="s">
        <v>92</v>
      </c>
      <c r="M17" s="9" t="s">
        <v>69</v>
      </c>
      <c r="N17" s="9" t="s">
        <v>69</v>
      </c>
      <c r="O17" s="9" t="s">
        <v>69</v>
      </c>
      <c r="P17" s="9" t="s">
        <v>69</v>
      </c>
      <c r="Q17" s="9" t="s">
        <v>69</v>
      </c>
      <c r="R17" s="9" t="s">
        <v>91</v>
      </c>
      <c r="S17" s="9" t="s">
        <v>69</v>
      </c>
      <c r="T17" s="9" t="s">
        <v>69</v>
      </c>
      <c r="U17" s="9" t="s">
        <v>69</v>
      </c>
      <c r="V17" s="9" t="s">
        <v>69</v>
      </c>
      <c r="W17" s="9" t="s">
        <v>69</v>
      </c>
      <c r="X17" s="9" t="s">
        <v>69</v>
      </c>
      <c r="Y17" s="9" t="s">
        <v>91</v>
      </c>
      <c r="Z17" s="9" t="s">
        <v>69</v>
      </c>
      <c r="AA17" s="25" t="s">
        <v>72</v>
      </c>
      <c r="AB17" s="9" t="s">
        <v>69</v>
      </c>
      <c r="AC17" s="9" t="s">
        <v>69</v>
      </c>
      <c r="AD17" s="62" t="s">
        <v>92</v>
      </c>
      <c r="AE17" s="9" t="s">
        <v>69</v>
      </c>
      <c r="AF17" s="9" t="s">
        <v>91</v>
      </c>
      <c r="AG17" s="9" t="s">
        <v>69</v>
      </c>
      <c r="AH17" s="9" t="s">
        <v>69</v>
      </c>
      <c r="AI17" s="9" t="s">
        <v>69</v>
      </c>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row>
    <row r="18" spans="1:193" ht="18">
      <c r="A18" s="34">
        <v>17</v>
      </c>
      <c r="B18" s="16" t="s">
        <v>20</v>
      </c>
      <c r="C18" s="7">
        <v>3.5</v>
      </c>
      <c r="D18" s="7">
        <f t="shared" si="0"/>
        <v>0</v>
      </c>
      <c r="E18" s="127">
        <v>3.5</v>
      </c>
      <c r="F18" s="39" t="s">
        <v>74</v>
      </c>
      <c r="G18" s="9" t="s">
        <v>69</v>
      </c>
      <c r="H18" s="9" t="s">
        <v>69</v>
      </c>
      <c r="I18" s="9" t="s">
        <v>69</v>
      </c>
      <c r="J18" s="25" t="s">
        <v>72</v>
      </c>
      <c r="K18" s="9" t="s">
        <v>91</v>
      </c>
      <c r="L18" s="9" t="s">
        <v>69</v>
      </c>
      <c r="M18" s="9" t="s">
        <v>69</v>
      </c>
      <c r="N18" s="25" t="s">
        <v>72</v>
      </c>
      <c r="O18" s="9" t="s">
        <v>69</v>
      </c>
      <c r="P18" s="62" t="s">
        <v>92</v>
      </c>
      <c r="Q18" s="9" t="s">
        <v>69</v>
      </c>
      <c r="R18" s="9" t="s">
        <v>91</v>
      </c>
      <c r="S18" s="9" t="s">
        <v>69</v>
      </c>
      <c r="T18" s="9" t="s">
        <v>69</v>
      </c>
      <c r="U18" s="9" t="s">
        <v>69</v>
      </c>
      <c r="V18" s="9" t="s">
        <v>69</v>
      </c>
      <c r="W18" s="9" t="s">
        <v>69</v>
      </c>
      <c r="X18" s="9" t="s">
        <v>69</v>
      </c>
      <c r="Y18" s="9" t="s">
        <v>91</v>
      </c>
      <c r="Z18" s="9" t="s">
        <v>69</v>
      </c>
      <c r="AA18" s="9" t="s">
        <v>69</v>
      </c>
      <c r="AB18" s="64" t="s">
        <v>94</v>
      </c>
      <c r="AC18" s="9" t="s">
        <v>69</v>
      </c>
      <c r="AD18" s="9" t="s">
        <v>69</v>
      </c>
      <c r="AE18" s="9" t="s">
        <v>69</v>
      </c>
      <c r="AF18" s="9" t="s">
        <v>91</v>
      </c>
      <c r="AG18" s="9" t="s">
        <v>69</v>
      </c>
      <c r="AH18" s="9" t="s">
        <v>69</v>
      </c>
      <c r="AI18" s="25" t="s">
        <v>72</v>
      </c>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row>
    <row r="19" spans="1:193" ht="18">
      <c r="A19" s="34">
        <v>18</v>
      </c>
      <c r="B19" s="16" t="s">
        <v>21</v>
      </c>
      <c r="C19" s="7">
        <v>1</v>
      </c>
      <c r="D19" s="7">
        <f t="shared" si="0"/>
        <v>0</v>
      </c>
      <c r="E19" s="127">
        <v>1</v>
      </c>
      <c r="F19" s="9" t="s">
        <v>69</v>
      </c>
      <c r="G19" s="9" t="s">
        <v>69</v>
      </c>
      <c r="H19" s="9" t="s">
        <v>69</v>
      </c>
      <c r="I19" s="9" t="s">
        <v>69</v>
      </c>
      <c r="J19" s="62" t="s">
        <v>92</v>
      </c>
      <c r="K19" s="9" t="s">
        <v>91</v>
      </c>
      <c r="L19" s="9" t="s">
        <v>69</v>
      </c>
      <c r="M19" s="9" t="s">
        <v>69</v>
      </c>
      <c r="N19" s="9" t="s">
        <v>69</v>
      </c>
      <c r="O19" s="9" t="s">
        <v>69</v>
      </c>
      <c r="P19" s="9" t="s">
        <v>69</v>
      </c>
      <c r="Q19" s="9" t="s">
        <v>69</v>
      </c>
      <c r="R19" s="9" t="s">
        <v>91</v>
      </c>
      <c r="S19" s="9" t="s">
        <v>69</v>
      </c>
      <c r="T19" s="9" t="s">
        <v>69</v>
      </c>
      <c r="U19" s="670" t="s">
        <v>96</v>
      </c>
      <c r="V19" s="9" t="s">
        <v>69</v>
      </c>
      <c r="W19" s="9" t="s">
        <v>69</v>
      </c>
      <c r="X19" s="9" t="s">
        <v>69</v>
      </c>
      <c r="Y19" s="9" t="s">
        <v>91</v>
      </c>
      <c r="Z19" s="9" t="s">
        <v>69</v>
      </c>
      <c r="AA19" s="9" t="s">
        <v>69</v>
      </c>
      <c r="AB19" s="9" t="s">
        <v>69</v>
      </c>
      <c r="AC19" s="9" t="s">
        <v>69</v>
      </c>
      <c r="AD19" s="9" t="s">
        <v>69</v>
      </c>
      <c r="AE19" s="9" t="s">
        <v>69</v>
      </c>
      <c r="AF19" s="9" t="s">
        <v>91</v>
      </c>
      <c r="AG19" s="25" t="s">
        <v>72</v>
      </c>
      <c r="AH19" s="65" t="s">
        <v>69</v>
      </c>
      <c r="AI19" s="65" t="s">
        <v>69</v>
      </c>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c r="GJ19" s="10"/>
      <c r="GK19" s="10"/>
    </row>
    <row r="20" spans="1:193" ht="18">
      <c r="A20" s="34">
        <v>19</v>
      </c>
      <c r="B20" s="16" t="s">
        <v>97</v>
      </c>
      <c r="C20" s="7">
        <v>0</v>
      </c>
      <c r="D20" s="7">
        <f t="shared" si="0"/>
        <v>8</v>
      </c>
      <c r="E20" s="127">
        <v>8</v>
      </c>
      <c r="F20" s="63" t="s">
        <v>72</v>
      </c>
      <c r="G20" s="63" t="s">
        <v>72</v>
      </c>
      <c r="H20" s="63" t="s">
        <v>72</v>
      </c>
      <c r="I20" s="63" t="s">
        <v>72</v>
      </c>
      <c r="J20" s="63" t="s">
        <v>72</v>
      </c>
      <c r="K20" s="9" t="s">
        <v>91</v>
      </c>
      <c r="L20" s="63" t="s">
        <v>72</v>
      </c>
      <c r="M20" s="63" t="s">
        <v>72</v>
      </c>
      <c r="N20" s="9" t="s">
        <v>69</v>
      </c>
      <c r="O20" s="9" t="s">
        <v>69</v>
      </c>
      <c r="P20" s="9" t="s">
        <v>69</v>
      </c>
      <c r="Q20" s="9" t="s">
        <v>69</v>
      </c>
      <c r="R20" s="9" t="s">
        <v>91</v>
      </c>
      <c r="S20" s="9" t="s">
        <v>69</v>
      </c>
      <c r="T20" s="9" t="s">
        <v>69</v>
      </c>
      <c r="U20" s="9" t="s">
        <v>69</v>
      </c>
      <c r="V20" s="9" t="s">
        <v>69</v>
      </c>
      <c r="W20" s="9" t="s">
        <v>69</v>
      </c>
      <c r="X20" s="9" t="s">
        <v>69</v>
      </c>
      <c r="Y20" s="9" t="s">
        <v>91</v>
      </c>
      <c r="Z20" s="9" t="s">
        <v>69</v>
      </c>
      <c r="AA20" s="9" t="s">
        <v>69</v>
      </c>
      <c r="AB20" s="9" t="s">
        <v>69</v>
      </c>
      <c r="AC20" s="9" t="s">
        <v>69</v>
      </c>
      <c r="AD20" s="9" t="s">
        <v>69</v>
      </c>
      <c r="AE20" s="9" t="s">
        <v>69</v>
      </c>
      <c r="AF20" s="9" t="s">
        <v>91</v>
      </c>
      <c r="AG20" s="9" t="s">
        <v>69</v>
      </c>
      <c r="AH20" s="9" t="s">
        <v>69</v>
      </c>
      <c r="AI20" s="9" t="s">
        <v>69</v>
      </c>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row>
    <row r="21" spans="1:193" ht="18">
      <c r="A21" s="34">
        <v>20</v>
      </c>
      <c r="B21" s="16" t="s">
        <v>22</v>
      </c>
      <c r="C21" s="7">
        <v>2</v>
      </c>
      <c r="D21" s="7">
        <f t="shared" si="0"/>
        <v>0</v>
      </c>
      <c r="E21" s="127">
        <v>2</v>
      </c>
      <c r="F21" s="9" t="s">
        <v>69</v>
      </c>
      <c r="G21" s="9" t="s">
        <v>69</v>
      </c>
      <c r="H21" s="9" t="s">
        <v>69</v>
      </c>
      <c r="I21" s="9" t="s">
        <v>69</v>
      </c>
      <c r="J21" s="9" t="s">
        <v>69</v>
      </c>
      <c r="K21" s="9" t="s">
        <v>91</v>
      </c>
      <c r="L21" s="9" t="s">
        <v>69</v>
      </c>
      <c r="M21" s="9" t="s">
        <v>69</v>
      </c>
      <c r="N21" s="9" t="s">
        <v>69</v>
      </c>
      <c r="O21" s="9" t="s">
        <v>69</v>
      </c>
      <c r="P21" s="9" t="s">
        <v>69</v>
      </c>
      <c r="Q21" s="9" t="s">
        <v>69</v>
      </c>
      <c r="R21" s="9" t="s">
        <v>91</v>
      </c>
      <c r="S21" s="9" t="s">
        <v>69</v>
      </c>
      <c r="T21" s="25" t="s">
        <v>72</v>
      </c>
      <c r="U21" s="9" t="s">
        <v>69</v>
      </c>
      <c r="V21" s="9" t="s">
        <v>69</v>
      </c>
      <c r="W21" s="9" t="s">
        <v>69</v>
      </c>
      <c r="X21" s="9" t="s">
        <v>69</v>
      </c>
      <c r="Y21" s="9" t="s">
        <v>91</v>
      </c>
      <c r="Z21" s="9" t="s">
        <v>69</v>
      </c>
      <c r="AA21" s="9" t="s">
        <v>69</v>
      </c>
      <c r="AB21" s="9" t="s">
        <v>69</v>
      </c>
      <c r="AC21" s="9" t="s">
        <v>69</v>
      </c>
      <c r="AD21" s="9" t="s">
        <v>69</v>
      </c>
      <c r="AE21" s="9" t="s">
        <v>69</v>
      </c>
      <c r="AF21" s="9" t="s">
        <v>91</v>
      </c>
      <c r="AG21" s="9" t="s">
        <v>69</v>
      </c>
      <c r="AH21" s="25" t="s">
        <v>72</v>
      </c>
      <c r="AI21" s="9" t="s">
        <v>69</v>
      </c>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row>
    <row r="22" spans="1:193" ht="18">
      <c r="A22" s="34">
        <v>21</v>
      </c>
      <c r="B22" s="16" t="s">
        <v>23</v>
      </c>
      <c r="C22" s="7">
        <v>2</v>
      </c>
      <c r="D22" s="7">
        <f t="shared" si="0"/>
        <v>0</v>
      </c>
      <c r="E22" s="127">
        <v>2</v>
      </c>
      <c r="F22" s="39" t="s">
        <v>74</v>
      </c>
      <c r="G22" s="9" t="s">
        <v>69</v>
      </c>
      <c r="H22" s="62" t="s">
        <v>92</v>
      </c>
      <c r="I22" s="9" t="s">
        <v>69</v>
      </c>
      <c r="J22" s="9" t="s">
        <v>69</v>
      </c>
      <c r="K22" s="9" t="s">
        <v>91</v>
      </c>
      <c r="L22" s="9" t="s">
        <v>69</v>
      </c>
      <c r="M22" s="9" t="s">
        <v>69</v>
      </c>
      <c r="N22" s="9" t="s">
        <v>69</v>
      </c>
      <c r="O22" s="9" t="s">
        <v>69</v>
      </c>
      <c r="P22" s="9" t="s">
        <v>69</v>
      </c>
      <c r="Q22" s="9" t="s">
        <v>69</v>
      </c>
      <c r="R22" s="9" t="s">
        <v>91</v>
      </c>
      <c r="S22" s="25" t="s">
        <v>72</v>
      </c>
      <c r="T22" s="9" t="s">
        <v>69</v>
      </c>
      <c r="U22" s="9" t="s">
        <v>69</v>
      </c>
      <c r="V22" s="9" t="s">
        <v>69</v>
      </c>
      <c r="W22" s="9" t="s">
        <v>69</v>
      </c>
      <c r="X22" s="9" t="s">
        <v>69</v>
      </c>
      <c r="Y22" s="9" t="s">
        <v>91</v>
      </c>
      <c r="Z22" s="9" t="s">
        <v>69</v>
      </c>
      <c r="AA22" s="9" t="s">
        <v>69</v>
      </c>
      <c r="AB22" s="9" t="s">
        <v>69</v>
      </c>
      <c r="AC22" s="25" t="s">
        <v>72</v>
      </c>
      <c r="AD22" s="9" t="s">
        <v>69</v>
      </c>
      <c r="AE22" s="9" t="s">
        <v>69</v>
      </c>
      <c r="AF22" s="9" t="s">
        <v>91</v>
      </c>
      <c r="AG22" s="9" t="s">
        <v>69</v>
      </c>
      <c r="AH22" s="9" t="s">
        <v>69</v>
      </c>
      <c r="AI22" s="9" t="s">
        <v>69</v>
      </c>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row>
    <row r="23" spans="1:193" ht="18">
      <c r="A23" s="34">
        <v>22</v>
      </c>
      <c r="B23" s="17" t="s">
        <v>24</v>
      </c>
      <c r="C23" s="7">
        <v>1</v>
      </c>
      <c r="D23" s="7">
        <f t="shared" si="0"/>
        <v>0</v>
      </c>
      <c r="E23" s="127">
        <v>1</v>
      </c>
      <c r="F23" s="9" t="s">
        <v>69</v>
      </c>
      <c r="G23" s="25" t="s">
        <v>72</v>
      </c>
      <c r="H23" s="9" t="s">
        <v>69</v>
      </c>
      <c r="I23" s="9" t="s">
        <v>69</v>
      </c>
      <c r="J23" s="67" t="s">
        <v>92</v>
      </c>
      <c r="K23" s="9" t="s">
        <v>91</v>
      </c>
      <c r="L23" s="9" t="s">
        <v>69</v>
      </c>
      <c r="M23" s="9" t="s">
        <v>69</v>
      </c>
      <c r="N23" s="9" t="s">
        <v>69</v>
      </c>
      <c r="O23" s="9" t="s">
        <v>69</v>
      </c>
      <c r="P23" s="9" t="s">
        <v>69</v>
      </c>
      <c r="Q23" s="9" t="s">
        <v>69</v>
      </c>
      <c r="R23" s="9" t="s">
        <v>91</v>
      </c>
      <c r="S23" s="9" t="s">
        <v>69</v>
      </c>
      <c r="T23" s="9" t="s">
        <v>69</v>
      </c>
      <c r="U23" s="9" t="s">
        <v>69</v>
      </c>
      <c r="V23" s="9" t="s">
        <v>69</v>
      </c>
      <c r="W23" s="9" t="s">
        <v>69</v>
      </c>
      <c r="X23" s="9" t="s">
        <v>69</v>
      </c>
      <c r="Y23" s="9" t="s">
        <v>91</v>
      </c>
      <c r="Z23" s="9" t="s">
        <v>69</v>
      </c>
      <c r="AA23" s="9" t="s">
        <v>69</v>
      </c>
      <c r="AB23" s="9" t="s">
        <v>69</v>
      </c>
      <c r="AC23" s="9" t="s">
        <v>69</v>
      </c>
      <c r="AD23" s="9" t="s">
        <v>69</v>
      </c>
      <c r="AE23" s="9" t="s">
        <v>69</v>
      </c>
      <c r="AF23" s="9" t="s">
        <v>91</v>
      </c>
      <c r="AG23" s="9" t="s">
        <v>69</v>
      </c>
      <c r="AH23" s="9" t="s">
        <v>69</v>
      </c>
      <c r="AI23" s="62" t="s">
        <v>92</v>
      </c>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row>
    <row r="24" spans="1:193" ht="18">
      <c r="A24" s="34">
        <v>23</v>
      </c>
      <c r="B24" s="17" t="s">
        <v>25</v>
      </c>
      <c r="C24" s="7">
        <v>1.5</v>
      </c>
      <c r="D24" s="7">
        <f t="shared" si="0"/>
        <v>6</v>
      </c>
      <c r="E24" s="127">
        <v>7.5</v>
      </c>
      <c r="F24" s="25" t="s">
        <v>72</v>
      </c>
      <c r="G24" s="9" t="s">
        <v>69</v>
      </c>
      <c r="H24" s="25" t="s">
        <v>72</v>
      </c>
      <c r="I24" s="25" t="s">
        <v>72</v>
      </c>
      <c r="J24" s="9" t="s">
        <v>69</v>
      </c>
      <c r="K24" s="9" t="s">
        <v>91</v>
      </c>
      <c r="L24" s="25" t="s">
        <v>72</v>
      </c>
      <c r="M24" s="9" t="s">
        <v>69</v>
      </c>
      <c r="N24" s="9" t="s">
        <v>69</v>
      </c>
      <c r="O24" s="9" t="s">
        <v>69</v>
      </c>
      <c r="P24" s="9" t="s">
        <v>69</v>
      </c>
      <c r="Q24" s="9" t="s">
        <v>69</v>
      </c>
      <c r="R24" s="9" t="s">
        <v>91</v>
      </c>
      <c r="S24" s="9" t="s">
        <v>69</v>
      </c>
      <c r="T24" s="9" t="s">
        <v>69</v>
      </c>
      <c r="U24" s="9" t="s">
        <v>69</v>
      </c>
      <c r="V24" s="9" t="s">
        <v>69</v>
      </c>
      <c r="W24" s="9" t="s">
        <v>69</v>
      </c>
      <c r="X24" s="9" t="s">
        <v>69</v>
      </c>
      <c r="Y24" s="9" t="s">
        <v>91</v>
      </c>
      <c r="Z24" s="9" t="s">
        <v>69</v>
      </c>
      <c r="AA24" s="9" t="s">
        <v>69</v>
      </c>
      <c r="AB24" s="9" t="s">
        <v>69</v>
      </c>
      <c r="AC24" s="9" t="s">
        <v>69</v>
      </c>
      <c r="AD24" s="64" t="s">
        <v>94</v>
      </c>
      <c r="AE24" s="25" t="s">
        <v>72</v>
      </c>
      <c r="AF24" s="9" t="s">
        <v>91</v>
      </c>
      <c r="AG24" s="9" t="s">
        <v>69</v>
      </c>
      <c r="AH24" s="25" t="s">
        <v>72</v>
      </c>
      <c r="AI24" s="25" t="s">
        <v>72</v>
      </c>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row>
    <row r="25" spans="1:193" ht="18">
      <c r="A25" s="34">
        <v>24</v>
      </c>
      <c r="B25" s="16" t="s">
        <v>26</v>
      </c>
      <c r="C25" s="7">
        <v>1</v>
      </c>
      <c r="D25" s="7">
        <f t="shared" si="0"/>
        <v>0</v>
      </c>
      <c r="E25" s="127">
        <v>1</v>
      </c>
      <c r="F25" s="39" t="s">
        <v>74</v>
      </c>
      <c r="G25" s="9" t="s">
        <v>69</v>
      </c>
      <c r="H25" s="9" t="s">
        <v>69</v>
      </c>
      <c r="I25" s="9" t="s">
        <v>69</v>
      </c>
      <c r="J25" s="9" t="s">
        <v>69</v>
      </c>
      <c r="K25" s="9" t="s">
        <v>91</v>
      </c>
      <c r="L25" s="9" t="s">
        <v>69</v>
      </c>
      <c r="M25" s="62" t="s">
        <v>92</v>
      </c>
      <c r="N25" s="9" t="s">
        <v>69</v>
      </c>
      <c r="O25" s="9" t="s">
        <v>69</v>
      </c>
      <c r="P25" s="9" t="s">
        <v>69</v>
      </c>
      <c r="Q25" s="9" t="s">
        <v>69</v>
      </c>
      <c r="R25" s="9" t="s">
        <v>91</v>
      </c>
      <c r="S25" s="9" t="s">
        <v>69</v>
      </c>
      <c r="T25" s="9" t="s">
        <v>69</v>
      </c>
      <c r="U25" s="9" t="s">
        <v>69</v>
      </c>
      <c r="V25" s="9" t="s">
        <v>69</v>
      </c>
      <c r="W25" s="25" t="s">
        <v>72</v>
      </c>
      <c r="X25" s="9" t="s">
        <v>69</v>
      </c>
      <c r="Y25" s="9" t="s">
        <v>91</v>
      </c>
      <c r="Z25" s="9" t="s">
        <v>69</v>
      </c>
      <c r="AA25" s="9" t="s">
        <v>69</v>
      </c>
      <c r="AB25" s="9" t="s">
        <v>69</v>
      </c>
      <c r="AC25" s="9" t="s">
        <v>69</v>
      </c>
      <c r="AD25" s="9" t="s">
        <v>69</v>
      </c>
      <c r="AE25" s="9" t="s">
        <v>69</v>
      </c>
      <c r="AF25" s="9" t="s">
        <v>91</v>
      </c>
      <c r="AG25" s="9" t="s">
        <v>69</v>
      </c>
      <c r="AH25" s="9" t="s">
        <v>69</v>
      </c>
      <c r="AI25" s="9" t="s">
        <v>69</v>
      </c>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c r="GJ25" s="10"/>
      <c r="GK25" s="10"/>
    </row>
    <row r="26" spans="1:193" ht="18">
      <c r="A26" s="34">
        <v>25</v>
      </c>
      <c r="B26" s="16" t="s">
        <v>27</v>
      </c>
      <c r="C26" s="7">
        <v>1.5</v>
      </c>
      <c r="D26" s="7">
        <f t="shared" si="0"/>
        <v>4.5</v>
      </c>
      <c r="E26" s="127">
        <v>6</v>
      </c>
      <c r="F26" s="25" t="s">
        <v>72</v>
      </c>
      <c r="G26" s="25" t="s">
        <v>72</v>
      </c>
      <c r="H26" s="9" t="s">
        <v>69</v>
      </c>
      <c r="I26" s="9" t="s">
        <v>69</v>
      </c>
      <c r="J26" s="62" t="s">
        <v>92</v>
      </c>
      <c r="K26" s="9" t="s">
        <v>91</v>
      </c>
      <c r="L26" s="9" t="s">
        <v>69</v>
      </c>
      <c r="M26" s="9" t="s">
        <v>69</v>
      </c>
      <c r="N26" s="9" t="s">
        <v>69</v>
      </c>
      <c r="O26" s="9" t="s">
        <v>69</v>
      </c>
      <c r="P26" s="25" t="s">
        <v>72</v>
      </c>
      <c r="Q26" s="9" t="s">
        <v>69</v>
      </c>
      <c r="R26" s="9" t="s">
        <v>91</v>
      </c>
      <c r="S26" s="9" t="s">
        <v>69</v>
      </c>
      <c r="T26" s="9" t="s">
        <v>69</v>
      </c>
      <c r="U26" s="9" t="s">
        <v>69</v>
      </c>
      <c r="V26" s="25" t="s">
        <v>72</v>
      </c>
      <c r="W26" s="25" t="s">
        <v>72</v>
      </c>
      <c r="X26" s="9" t="s">
        <v>69</v>
      </c>
      <c r="Y26" s="9" t="s">
        <v>91</v>
      </c>
      <c r="Z26" s="62" t="s">
        <v>92</v>
      </c>
      <c r="AA26" s="9" t="s">
        <v>69</v>
      </c>
      <c r="AB26" s="25" t="s">
        <v>72</v>
      </c>
      <c r="AC26" s="9" t="s">
        <v>69</v>
      </c>
      <c r="AD26" s="9" t="s">
        <v>69</v>
      </c>
      <c r="AE26" s="9" t="s">
        <v>69</v>
      </c>
      <c r="AF26" s="9" t="s">
        <v>91</v>
      </c>
      <c r="AG26" s="9" t="s">
        <v>69</v>
      </c>
      <c r="AH26" s="9" t="s">
        <v>69</v>
      </c>
      <c r="AI26" s="9" t="s">
        <v>69</v>
      </c>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row>
    <row r="27" spans="1:193" ht="18">
      <c r="A27" s="34">
        <v>26</v>
      </c>
      <c r="B27" s="16" t="s">
        <v>28</v>
      </c>
      <c r="C27" s="7">
        <v>1</v>
      </c>
      <c r="D27" s="7">
        <f t="shared" si="0"/>
        <v>0</v>
      </c>
      <c r="E27" s="127">
        <v>1</v>
      </c>
      <c r="F27" s="9" t="s">
        <v>69</v>
      </c>
      <c r="G27" s="9" t="s">
        <v>69</v>
      </c>
      <c r="H27" s="9" t="s">
        <v>69</v>
      </c>
      <c r="I27" s="9" t="s">
        <v>69</v>
      </c>
      <c r="J27" s="9" t="s">
        <v>69</v>
      </c>
      <c r="K27" s="9" t="s">
        <v>91</v>
      </c>
      <c r="L27" s="9" t="s">
        <v>69</v>
      </c>
      <c r="M27" s="9" t="s">
        <v>69</v>
      </c>
      <c r="N27" s="9" t="s">
        <v>69</v>
      </c>
      <c r="O27" s="9" t="s">
        <v>69</v>
      </c>
      <c r="P27" s="9" t="s">
        <v>69</v>
      </c>
      <c r="Q27" s="25" t="s">
        <v>72</v>
      </c>
      <c r="R27" s="9" t="s">
        <v>91</v>
      </c>
      <c r="S27" s="9" t="s">
        <v>69</v>
      </c>
      <c r="T27" s="9" t="s">
        <v>69</v>
      </c>
      <c r="U27" s="9" t="s">
        <v>69</v>
      </c>
      <c r="V27" s="9" t="s">
        <v>69</v>
      </c>
      <c r="W27" s="9" t="s">
        <v>69</v>
      </c>
      <c r="X27" s="9" t="s">
        <v>69</v>
      </c>
      <c r="Y27" s="9" t="s">
        <v>91</v>
      </c>
      <c r="Z27" s="9" t="s">
        <v>69</v>
      </c>
      <c r="AA27" s="9" t="s">
        <v>69</v>
      </c>
      <c r="AB27" s="9" t="s">
        <v>69</v>
      </c>
      <c r="AC27" s="9" t="s">
        <v>69</v>
      </c>
      <c r="AD27" s="9" t="s">
        <v>69</v>
      </c>
      <c r="AE27" s="9" t="s">
        <v>69</v>
      </c>
      <c r="AF27" s="9" t="s">
        <v>91</v>
      </c>
      <c r="AG27" s="9" t="s">
        <v>69</v>
      </c>
      <c r="AH27" s="9" t="s">
        <v>69</v>
      </c>
      <c r="AI27" s="9" t="s">
        <v>69</v>
      </c>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row>
    <row r="28" spans="1:193" ht="18">
      <c r="A28" s="34">
        <v>27</v>
      </c>
      <c r="B28" s="16" t="s">
        <v>29</v>
      </c>
      <c r="C28" s="7">
        <v>2.5</v>
      </c>
      <c r="D28" s="7">
        <f t="shared" si="0"/>
        <v>0</v>
      </c>
      <c r="E28" s="127">
        <v>2.5</v>
      </c>
      <c r="F28" s="9" t="s">
        <v>69</v>
      </c>
      <c r="G28" s="9" t="s">
        <v>69</v>
      </c>
      <c r="H28" s="9" t="s">
        <v>69</v>
      </c>
      <c r="I28" s="9" t="s">
        <v>69</v>
      </c>
      <c r="J28" s="9" t="s">
        <v>69</v>
      </c>
      <c r="K28" s="9" t="s">
        <v>91</v>
      </c>
      <c r="L28" s="9" t="s">
        <v>69</v>
      </c>
      <c r="M28" s="9" t="s">
        <v>69</v>
      </c>
      <c r="N28" s="9" t="s">
        <v>69</v>
      </c>
      <c r="O28" s="9" t="s">
        <v>69</v>
      </c>
      <c r="P28" s="9" t="s">
        <v>69</v>
      </c>
      <c r="Q28" s="9" t="s">
        <v>69</v>
      </c>
      <c r="R28" s="9" t="s">
        <v>91</v>
      </c>
      <c r="S28" s="9" t="s">
        <v>69</v>
      </c>
      <c r="T28" s="125" t="s">
        <v>94</v>
      </c>
      <c r="U28" s="125" t="s">
        <v>94</v>
      </c>
      <c r="V28" s="125" t="s">
        <v>94</v>
      </c>
      <c r="W28" s="9" t="s">
        <v>69</v>
      </c>
      <c r="X28" s="25" t="s">
        <v>72</v>
      </c>
      <c r="Y28" s="9" t="s">
        <v>91</v>
      </c>
      <c r="Z28" s="9" t="s">
        <v>69</v>
      </c>
      <c r="AA28" s="9" t="s">
        <v>69</v>
      </c>
      <c r="AB28" s="9" t="s">
        <v>69</v>
      </c>
      <c r="AC28" s="9" t="s">
        <v>69</v>
      </c>
      <c r="AD28" s="9" t="s">
        <v>69</v>
      </c>
      <c r="AE28" s="9" t="s">
        <v>69</v>
      </c>
      <c r="AF28" s="9" t="s">
        <v>91</v>
      </c>
      <c r="AG28" s="9" t="s">
        <v>69</v>
      </c>
      <c r="AH28" s="9" t="s">
        <v>69</v>
      </c>
      <c r="AI28" s="9" t="s">
        <v>69</v>
      </c>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row>
    <row r="29" spans="1:193" ht="18">
      <c r="A29" s="34">
        <v>28</v>
      </c>
      <c r="B29" s="16" t="s">
        <v>30</v>
      </c>
      <c r="C29" s="7">
        <v>1</v>
      </c>
      <c r="D29" s="7">
        <f t="shared" si="0"/>
        <v>0</v>
      </c>
      <c r="E29" s="127">
        <v>1</v>
      </c>
      <c r="F29" s="9" t="s">
        <v>69</v>
      </c>
      <c r="G29" s="9" t="s">
        <v>69</v>
      </c>
      <c r="H29" s="9" t="s">
        <v>69</v>
      </c>
      <c r="I29" s="9" t="s">
        <v>69</v>
      </c>
      <c r="J29" s="9" t="s">
        <v>69</v>
      </c>
      <c r="K29" s="9" t="s">
        <v>91</v>
      </c>
      <c r="L29" s="9" t="s">
        <v>69</v>
      </c>
      <c r="M29" s="9" t="s">
        <v>69</v>
      </c>
      <c r="N29" s="9" t="s">
        <v>69</v>
      </c>
      <c r="O29" s="9" t="s">
        <v>69</v>
      </c>
      <c r="P29" s="9" t="s">
        <v>69</v>
      </c>
      <c r="Q29" s="9" t="s">
        <v>69</v>
      </c>
      <c r="R29" s="9" t="s">
        <v>91</v>
      </c>
      <c r="S29" s="62" t="s">
        <v>92</v>
      </c>
      <c r="T29" s="9" t="s">
        <v>69</v>
      </c>
      <c r="U29" s="62" t="s">
        <v>92</v>
      </c>
      <c r="V29" s="9" t="s">
        <v>69</v>
      </c>
      <c r="W29" s="9" t="s">
        <v>69</v>
      </c>
      <c r="X29" s="9" t="s">
        <v>69</v>
      </c>
      <c r="Y29" s="9" t="s">
        <v>91</v>
      </c>
      <c r="Z29" s="9" t="s">
        <v>69</v>
      </c>
      <c r="AA29" s="9" t="s">
        <v>69</v>
      </c>
      <c r="AB29" s="9" t="s">
        <v>69</v>
      </c>
      <c r="AC29" s="9" t="s">
        <v>69</v>
      </c>
      <c r="AD29" s="9" t="s">
        <v>69</v>
      </c>
      <c r="AE29" s="9" t="s">
        <v>69</v>
      </c>
      <c r="AF29" s="9" t="s">
        <v>91</v>
      </c>
      <c r="AG29" s="9" t="s">
        <v>69</v>
      </c>
      <c r="AH29" s="9" t="s">
        <v>69</v>
      </c>
      <c r="AI29" s="25" t="s">
        <v>72</v>
      </c>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c r="FZ29" s="10"/>
      <c r="GA29" s="10"/>
      <c r="GB29" s="10"/>
      <c r="GC29" s="10"/>
      <c r="GD29" s="10"/>
      <c r="GE29" s="10"/>
      <c r="GF29" s="10"/>
      <c r="GG29" s="10"/>
      <c r="GH29" s="10"/>
      <c r="GI29" s="10"/>
      <c r="GJ29" s="10"/>
      <c r="GK29" s="10"/>
    </row>
    <row r="30" spans="1:193" ht="18">
      <c r="A30" s="34">
        <v>29</v>
      </c>
      <c r="B30" s="16" t="s">
        <v>31</v>
      </c>
      <c r="C30" s="7">
        <v>1.5</v>
      </c>
      <c r="D30" s="7">
        <f t="shared" si="0"/>
        <v>0.5</v>
      </c>
      <c r="E30" s="127">
        <v>2</v>
      </c>
      <c r="F30" s="9" t="s">
        <v>69</v>
      </c>
      <c r="G30" s="25" t="s">
        <v>72</v>
      </c>
      <c r="H30" s="9" t="s">
        <v>69</v>
      </c>
      <c r="I30" s="9" t="s">
        <v>69</v>
      </c>
      <c r="J30" s="9" t="s">
        <v>69</v>
      </c>
      <c r="K30" s="9" t="s">
        <v>91</v>
      </c>
      <c r="L30" s="9" t="s">
        <v>69</v>
      </c>
      <c r="M30" s="9" t="s">
        <v>69</v>
      </c>
      <c r="N30" s="9" t="s">
        <v>69</v>
      </c>
      <c r="O30" s="9" t="s">
        <v>69</v>
      </c>
      <c r="P30" s="9" t="s">
        <v>69</v>
      </c>
      <c r="Q30" s="9" t="s">
        <v>69</v>
      </c>
      <c r="R30" s="9" t="s">
        <v>91</v>
      </c>
      <c r="S30" s="9" t="s">
        <v>69</v>
      </c>
      <c r="T30" s="25" t="s">
        <v>72</v>
      </c>
      <c r="U30" s="9" t="s">
        <v>69</v>
      </c>
      <c r="V30" s="9" t="s">
        <v>69</v>
      </c>
      <c r="W30" s="9" t="s">
        <v>69</v>
      </c>
      <c r="X30" s="9" t="s">
        <v>69</v>
      </c>
      <c r="Y30" s="9" t="s">
        <v>91</v>
      </c>
      <c r="Z30" s="9" t="s">
        <v>69</v>
      </c>
      <c r="AA30" s="9" t="s">
        <v>69</v>
      </c>
      <c r="AB30" s="9" t="s">
        <v>69</v>
      </c>
      <c r="AC30" s="9" t="s">
        <v>69</v>
      </c>
      <c r="AD30" s="9" t="s">
        <v>69</v>
      </c>
      <c r="AE30" s="9" t="s">
        <v>69</v>
      </c>
      <c r="AF30" s="9" t="s">
        <v>91</v>
      </c>
      <c r="AG30" s="9" t="s">
        <v>69</v>
      </c>
      <c r="AH30" s="9" t="s">
        <v>69</v>
      </c>
      <c r="AI30" s="9" t="s">
        <v>69</v>
      </c>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c r="GJ30" s="10"/>
      <c r="GK30" s="10"/>
    </row>
    <row r="31" spans="1:193" ht="19.5" customHeight="1">
      <c r="A31" s="34">
        <v>30</v>
      </c>
      <c r="B31" s="17" t="s">
        <v>33</v>
      </c>
      <c r="C31" s="7">
        <v>0</v>
      </c>
      <c r="D31" s="7">
        <f t="shared" si="0"/>
        <v>0</v>
      </c>
      <c r="E31" s="127">
        <v>0</v>
      </c>
      <c r="F31" s="9" t="s">
        <v>69</v>
      </c>
      <c r="G31" s="9" t="s">
        <v>69</v>
      </c>
      <c r="H31" s="9" t="s">
        <v>69</v>
      </c>
      <c r="I31" s="9" t="s">
        <v>69</v>
      </c>
      <c r="J31" s="9" t="s">
        <v>69</v>
      </c>
      <c r="K31" s="9" t="s">
        <v>91</v>
      </c>
      <c r="L31" s="9" t="s">
        <v>69</v>
      </c>
      <c r="M31" s="9" t="s">
        <v>69</v>
      </c>
      <c r="N31" s="9" t="s">
        <v>69</v>
      </c>
      <c r="O31" s="9" t="s">
        <v>69</v>
      </c>
      <c r="P31" s="9" t="s">
        <v>69</v>
      </c>
      <c r="Q31" s="9" t="s">
        <v>69</v>
      </c>
      <c r="R31" s="9" t="s">
        <v>91</v>
      </c>
      <c r="S31" s="9" t="s">
        <v>69</v>
      </c>
      <c r="T31" s="9" t="s">
        <v>69</v>
      </c>
      <c r="U31" s="9" t="s">
        <v>69</v>
      </c>
      <c r="V31" s="9" t="s">
        <v>69</v>
      </c>
      <c r="W31" s="9" t="s">
        <v>69</v>
      </c>
      <c r="X31" s="9" t="s">
        <v>69</v>
      </c>
      <c r="Y31" s="9" t="s">
        <v>91</v>
      </c>
      <c r="Z31" s="9" t="s">
        <v>69</v>
      </c>
      <c r="AA31" s="9" t="s">
        <v>69</v>
      </c>
      <c r="AB31" s="9" t="s">
        <v>69</v>
      </c>
      <c r="AC31" s="9" t="s">
        <v>69</v>
      </c>
      <c r="AD31" s="9" t="s">
        <v>69</v>
      </c>
      <c r="AE31" s="9" t="s">
        <v>69</v>
      </c>
      <c r="AF31" s="9" t="s">
        <v>91</v>
      </c>
      <c r="AG31" s="9" t="s">
        <v>69</v>
      </c>
      <c r="AH31" s="9" t="s">
        <v>69</v>
      </c>
      <c r="AI31" s="9" t="s">
        <v>69</v>
      </c>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row>
    <row r="32" spans="1:193" ht="18">
      <c r="A32" s="34">
        <v>31</v>
      </c>
      <c r="B32" s="17" t="s">
        <v>98</v>
      </c>
      <c r="C32" s="7">
        <v>0</v>
      </c>
      <c r="D32" s="7">
        <f t="shared" si="0"/>
        <v>5</v>
      </c>
      <c r="E32" s="127">
        <v>5</v>
      </c>
      <c r="F32" s="25" t="s">
        <v>72</v>
      </c>
      <c r="G32" s="25" t="s">
        <v>72</v>
      </c>
      <c r="H32" s="25" t="s">
        <v>72</v>
      </c>
      <c r="I32" s="25" t="s">
        <v>72</v>
      </c>
      <c r="J32" s="25" t="s">
        <v>72</v>
      </c>
      <c r="K32" s="9" t="s">
        <v>91</v>
      </c>
      <c r="L32" s="9" t="s">
        <v>69</v>
      </c>
      <c r="M32" s="9" t="s">
        <v>69</v>
      </c>
      <c r="N32" s="9" t="s">
        <v>69</v>
      </c>
      <c r="O32" s="9" t="s">
        <v>69</v>
      </c>
      <c r="P32" s="9" t="s">
        <v>69</v>
      </c>
      <c r="Q32" s="9" t="s">
        <v>69</v>
      </c>
      <c r="R32" s="9" t="s">
        <v>91</v>
      </c>
      <c r="S32" s="9"/>
      <c r="T32" s="9" t="s">
        <v>69</v>
      </c>
      <c r="U32" s="9" t="s">
        <v>69</v>
      </c>
      <c r="V32" s="65" t="s">
        <v>69</v>
      </c>
      <c r="W32" s="65" t="s">
        <v>69</v>
      </c>
      <c r="X32" s="65" t="s">
        <v>69</v>
      </c>
      <c r="Y32" s="9" t="s">
        <v>91</v>
      </c>
      <c r="Z32" s="9" t="s">
        <v>69</v>
      </c>
      <c r="AA32" s="9" t="s">
        <v>69</v>
      </c>
      <c r="AB32" s="9" t="s">
        <v>69</v>
      </c>
      <c r="AC32" s="9" t="s">
        <v>69</v>
      </c>
      <c r="AD32" s="9" t="s">
        <v>69</v>
      </c>
      <c r="AE32" s="9" t="s">
        <v>69</v>
      </c>
      <c r="AF32" s="9" t="s">
        <v>91</v>
      </c>
      <c r="AG32" s="9" t="s">
        <v>69</v>
      </c>
      <c r="AH32" s="9" t="s">
        <v>69</v>
      </c>
      <c r="AI32" s="9" t="s">
        <v>69</v>
      </c>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c r="GJ32" s="10"/>
      <c r="GK32" s="10"/>
    </row>
    <row r="33" spans="1:193" ht="18">
      <c r="A33" s="34">
        <v>32</v>
      </c>
      <c r="B33" s="28" t="s">
        <v>77</v>
      </c>
      <c r="C33" s="7">
        <v>2</v>
      </c>
      <c r="D33" s="7">
        <f t="shared" si="0"/>
        <v>0</v>
      </c>
      <c r="E33" s="127">
        <v>2</v>
      </c>
      <c r="F33" s="9" t="s">
        <v>69</v>
      </c>
      <c r="G33" s="9" t="s">
        <v>69</v>
      </c>
      <c r="H33" s="9" t="s">
        <v>69</v>
      </c>
      <c r="I33" s="62" t="s">
        <v>92</v>
      </c>
      <c r="J33" s="9" t="s">
        <v>69</v>
      </c>
      <c r="K33" s="9" t="s">
        <v>91</v>
      </c>
      <c r="L33" s="9" t="s">
        <v>69</v>
      </c>
      <c r="M33" s="62" t="s">
        <v>92</v>
      </c>
      <c r="N33" s="9" t="s">
        <v>69</v>
      </c>
      <c r="O33" s="9" t="s">
        <v>69</v>
      </c>
      <c r="P33" s="9" t="s">
        <v>69</v>
      </c>
      <c r="Q33" s="25" t="s">
        <v>72</v>
      </c>
      <c r="R33" s="9" t="s">
        <v>91</v>
      </c>
      <c r="S33" s="9" t="s">
        <v>69</v>
      </c>
      <c r="T33" s="9" t="s">
        <v>69</v>
      </c>
      <c r="U33" s="9" t="s">
        <v>69</v>
      </c>
      <c r="V33" s="9" t="s">
        <v>69</v>
      </c>
      <c r="W33" s="9" t="s">
        <v>69</v>
      </c>
      <c r="X33" s="9" t="s">
        <v>69</v>
      </c>
      <c r="Y33" s="9" t="s">
        <v>91</v>
      </c>
      <c r="Z33" s="9" t="s">
        <v>69</v>
      </c>
      <c r="AA33" s="9" t="s">
        <v>69</v>
      </c>
      <c r="AB33" s="9" t="s">
        <v>69</v>
      </c>
      <c r="AC33" s="9" t="s">
        <v>69</v>
      </c>
      <c r="AD33" s="25" t="s">
        <v>72</v>
      </c>
      <c r="AE33" s="9" t="s">
        <v>69</v>
      </c>
      <c r="AF33" s="9" t="s">
        <v>91</v>
      </c>
      <c r="AG33" s="9" t="s">
        <v>69</v>
      </c>
      <c r="AH33" s="9" t="s">
        <v>69</v>
      </c>
      <c r="AI33" s="9" t="s">
        <v>69</v>
      </c>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c r="GJ33" s="10"/>
      <c r="GK33" s="10"/>
    </row>
    <row r="34" spans="1:193" ht="18">
      <c r="A34" s="34">
        <v>33</v>
      </c>
      <c r="B34" s="17" t="s">
        <v>99</v>
      </c>
      <c r="C34" s="7">
        <v>0</v>
      </c>
      <c r="D34" s="7">
        <f t="shared" ref="D34:D65" si="1">E34-C34</f>
        <v>23</v>
      </c>
      <c r="E34" s="127">
        <v>23</v>
      </c>
      <c r="F34" s="63" t="s">
        <v>72</v>
      </c>
      <c r="G34" s="63" t="s">
        <v>72</v>
      </c>
      <c r="H34" s="63" t="s">
        <v>72</v>
      </c>
      <c r="I34" s="63" t="s">
        <v>72</v>
      </c>
      <c r="J34" s="63" t="s">
        <v>72</v>
      </c>
      <c r="K34" s="9" t="s">
        <v>91</v>
      </c>
      <c r="L34" s="63" t="s">
        <v>72</v>
      </c>
      <c r="M34" s="63" t="s">
        <v>72</v>
      </c>
      <c r="N34" s="63" t="s">
        <v>72</v>
      </c>
      <c r="O34" s="63" t="s">
        <v>72</v>
      </c>
      <c r="P34" s="63" t="s">
        <v>72</v>
      </c>
      <c r="Q34" s="63" t="s">
        <v>72</v>
      </c>
      <c r="R34" s="9" t="s">
        <v>91</v>
      </c>
      <c r="S34" s="63" t="s">
        <v>72</v>
      </c>
      <c r="T34" s="63" t="s">
        <v>72</v>
      </c>
      <c r="U34" s="63" t="s">
        <v>72</v>
      </c>
      <c r="V34" s="63" t="s">
        <v>72</v>
      </c>
      <c r="W34" s="63" t="s">
        <v>72</v>
      </c>
      <c r="X34" s="63" t="s">
        <v>72</v>
      </c>
      <c r="Y34" s="9" t="s">
        <v>91</v>
      </c>
      <c r="Z34" s="63" t="s">
        <v>72</v>
      </c>
      <c r="AA34" s="63" t="s">
        <v>72</v>
      </c>
      <c r="AB34" s="63" t="s">
        <v>72</v>
      </c>
      <c r="AC34" s="9" t="s">
        <v>69</v>
      </c>
      <c r="AD34" s="9" t="s">
        <v>69</v>
      </c>
      <c r="AE34" s="9" t="s">
        <v>69</v>
      </c>
      <c r="AF34" s="9" t="s">
        <v>91</v>
      </c>
      <c r="AG34" s="9" t="s">
        <v>69</v>
      </c>
      <c r="AH34" s="9" t="s">
        <v>69</v>
      </c>
      <c r="AI34" s="9" t="s">
        <v>69</v>
      </c>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row>
    <row r="35" spans="1:193" ht="18">
      <c r="A35" s="34">
        <v>34</v>
      </c>
      <c r="B35" s="17" t="s">
        <v>35</v>
      </c>
      <c r="C35" s="7">
        <v>1</v>
      </c>
      <c r="D35" s="7">
        <f t="shared" si="1"/>
        <v>15</v>
      </c>
      <c r="E35" s="127">
        <v>16</v>
      </c>
      <c r="F35" s="9" t="s">
        <v>69</v>
      </c>
      <c r="G35" s="9" t="s">
        <v>69</v>
      </c>
      <c r="H35" s="9" t="s">
        <v>69</v>
      </c>
      <c r="I35" s="9" t="s">
        <v>69</v>
      </c>
      <c r="J35" s="9" t="s">
        <v>69</v>
      </c>
      <c r="K35" s="9" t="s">
        <v>91</v>
      </c>
      <c r="L35" s="66" t="s">
        <v>72</v>
      </c>
      <c r="M35" s="66" t="s">
        <v>72</v>
      </c>
      <c r="N35" s="66" t="s">
        <v>72</v>
      </c>
      <c r="O35" s="66" t="s">
        <v>72</v>
      </c>
      <c r="P35" s="66" t="s">
        <v>72</v>
      </c>
      <c r="Q35" s="66" t="s">
        <v>72</v>
      </c>
      <c r="R35" s="9" t="s">
        <v>91</v>
      </c>
      <c r="S35" s="66" t="s">
        <v>72</v>
      </c>
      <c r="T35" s="66" t="s">
        <v>72</v>
      </c>
      <c r="U35" s="66" t="s">
        <v>72</v>
      </c>
      <c r="V35" s="66" t="s">
        <v>72</v>
      </c>
      <c r="W35" s="66" t="s">
        <v>72</v>
      </c>
      <c r="X35" s="66" t="s">
        <v>72</v>
      </c>
      <c r="Y35" s="9" t="s">
        <v>91</v>
      </c>
      <c r="Z35" s="25" t="s">
        <v>72</v>
      </c>
      <c r="AA35" s="9" t="s">
        <v>69</v>
      </c>
      <c r="AB35" s="9" t="s">
        <v>69</v>
      </c>
      <c r="AC35" s="25" t="s">
        <v>72</v>
      </c>
      <c r="AD35" s="9" t="s">
        <v>69</v>
      </c>
      <c r="AE35" s="9" t="s">
        <v>69</v>
      </c>
      <c r="AF35" s="9" t="s">
        <v>91</v>
      </c>
      <c r="AG35" s="9" t="s">
        <v>69</v>
      </c>
      <c r="AH35" s="9" t="s">
        <v>69</v>
      </c>
      <c r="AI35" s="9" t="s">
        <v>69</v>
      </c>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row>
    <row r="36" spans="1:193" ht="18">
      <c r="A36" s="34">
        <v>35</v>
      </c>
      <c r="B36" s="17" t="s">
        <v>36</v>
      </c>
      <c r="C36" s="7">
        <v>1</v>
      </c>
      <c r="D36" s="7">
        <f t="shared" si="1"/>
        <v>1.5</v>
      </c>
      <c r="E36" s="127">
        <v>2.5</v>
      </c>
      <c r="F36" s="9" t="s">
        <v>69</v>
      </c>
      <c r="G36" s="25" t="s">
        <v>72</v>
      </c>
      <c r="H36" s="9" t="s">
        <v>69</v>
      </c>
      <c r="I36" s="9" t="s">
        <v>69</v>
      </c>
      <c r="J36" s="9" t="s">
        <v>69</v>
      </c>
      <c r="K36" s="9" t="s">
        <v>91</v>
      </c>
      <c r="L36" s="9" t="s">
        <v>69</v>
      </c>
      <c r="M36" s="9" t="s">
        <v>69</v>
      </c>
      <c r="N36" s="62" t="s">
        <v>92</v>
      </c>
      <c r="O36" s="9" t="s">
        <v>69</v>
      </c>
      <c r="P36" s="65" t="s">
        <v>69</v>
      </c>
      <c r="Q36" s="65" t="s">
        <v>69</v>
      </c>
      <c r="R36" s="9" t="s">
        <v>91</v>
      </c>
      <c r="S36" s="9" t="s">
        <v>69</v>
      </c>
      <c r="T36" s="9" t="s">
        <v>69</v>
      </c>
      <c r="U36" s="62" t="s">
        <v>92</v>
      </c>
      <c r="V36" s="9" t="s">
        <v>69</v>
      </c>
      <c r="W36" s="9" t="s">
        <v>69</v>
      </c>
      <c r="X36" s="9" t="s">
        <v>69</v>
      </c>
      <c r="Y36" s="9" t="s">
        <v>91</v>
      </c>
      <c r="Z36" s="9" t="s">
        <v>69</v>
      </c>
      <c r="AA36" s="9" t="s">
        <v>69</v>
      </c>
      <c r="AB36" s="64" t="s">
        <v>94</v>
      </c>
      <c r="AC36" s="9" t="s">
        <v>69</v>
      </c>
      <c r="AD36" s="9" t="s">
        <v>69</v>
      </c>
      <c r="AE36" s="9" t="s">
        <v>69</v>
      </c>
      <c r="AF36" s="9" t="s">
        <v>91</v>
      </c>
      <c r="AG36" s="9" t="s">
        <v>69</v>
      </c>
      <c r="AH36" s="9" t="s">
        <v>69</v>
      </c>
      <c r="AI36" s="25" t="s">
        <v>72</v>
      </c>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row>
    <row r="37" spans="1:193" ht="18">
      <c r="A37" s="34">
        <v>36</v>
      </c>
      <c r="B37" s="69" t="s">
        <v>100</v>
      </c>
      <c r="C37" s="7"/>
      <c r="D37" s="7">
        <f t="shared" si="1"/>
        <v>0</v>
      </c>
      <c r="E37" s="127"/>
      <c r="F37" s="9" t="s">
        <v>69</v>
      </c>
      <c r="G37" s="9" t="s">
        <v>69</v>
      </c>
      <c r="H37" s="9" t="s">
        <v>69</v>
      </c>
      <c r="I37" s="9" t="s">
        <v>69</v>
      </c>
      <c r="J37" s="9" t="s">
        <v>69</v>
      </c>
      <c r="K37" s="9" t="s">
        <v>91</v>
      </c>
      <c r="L37" s="9" t="s">
        <v>69</v>
      </c>
      <c r="M37" s="9" t="s">
        <v>69</v>
      </c>
      <c r="N37" s="25" t="s">
        <v>72</v>
      </c>
      <c r="O37" s="9" t="s">
        <v>69</v>
      </c>
      <c r="P37" s="25" t="s">
        <v>76</v>
      </c>
      <c r="Q37" s="25" t="s">
        <v>76</v>
      </c>
      <c r="R37" s="9" t="s">
        <v>91</v>
      </c>
      <c r="S37" s="25" t="s">
        <v>76</v>
      </c>
      <c r="T37" s="25" t="s">
        <v>76</v>
      </c>
      <c r="U37" s="25" t="s">
        <v>76</v>
      </c>
      <c r="V37" s="25" t="s">
        <v>76</v>
      </c>
      <c r="W37" s="25" t="s">
        <v>76</v>
      </c>
      <c r="X37" s="25" t="s">
        <v>76</v>
      </c>
      <c r="Y37" s="9" t="s">
        <v>91</v>
      </c>
      <c r="Z37" s="25" t="s">
        <v>76</v>
      </c>
      <c r="AA37" s="25" t="s">
        <v>76</v>
      </c>
      <c r="AB37" s="25" t="s">
        <v>76</v>
      </c>
      <c r="AC37" s="25" t="s">
        <v>76</v>
      </c>
      <c r="AD37" s="25" t="s">
        <v>76</v>
      </c>
      <c r="AE37" s="25" t="s">
        <v>76</v>
      </c>
      <c r="AF37" s="9" t="s">
        <v>91</v>
      </c>
      <c r="AG37" s="25" t="s">
        <v>76</v>
      </c>
      <c r="AH37" s="25" t="s">
        <v>76</v>
      </c>
      <c r="AI37" s="25" t="s">
        <v>76</v>
      </c>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c r="GJ37" s="10"/>
      <c r="GK37" s="10"/>
    </row>
    <row r="38" spans="1:193" ht="18">
      <c r="A38" s="34">
        <v>37</v>
      </c>
      <c r="B38" s="16" t="s">
        <v>38</v>
      </c>
      <c r="C38" s="7">
        <v>0</v>
      </c>
      <c r="D38" s="7">
        <f t="shared" si="1"/>
        <v>0</v>
      </c>
      <c r="E38" s="127">
        <v>0</v>
      </c>
      <c r="F38" s="9" t="s">
        <v>69</v>
      </c>
      <c r="G38" s="9" t="s">
        <v>69</v>
      </c>
      <c r="H38" s="9" t="s">
        <v>69</v>
      </c>
      <c r="I38" s="9" t="s">
        <v>69</v>
      </c>
      <c r="J38" s="9" t="s">
        <v>69</v>
      </c>
      <c r="K38" s="9" t="s">
        <v>91</v>
      </c>
      <c r="L38" s="9" t="s">
        <v>69</v>
      </c>
      <c r="M38" s="9" t="s">
        <v>69</v>
      </c>
      <c r="N38" s="9" t="s">
        <v>69</v>
      </c>
      <c r="O38" s="9" t="s">
        <v>69</v>
      </c>
      <c r="P38" s="9" t="s">
        <v>69</v>
      </c>
      <c r="Q38" s="9" t="s">
        <v>69</v>
      </c>
      <c r="R38" s="9" t="s">
        <v>91</v>
      </c>
      <c r="S38" s="9" t="s">
        <v>69</v>
      </c>
      <c r="T38" s="62" t="s">
        <v>92</v>
      </c>
      <c r="U38" s="9" t="s">
        <v>69</v>
      </c>
      <c r="V38" s="9" t="s">
        <v>69</v>
      </c>
      <c r="W38" s="9" t="s">
        <v>69</v>
      </c>
      <c r="X38" s="9" t="s">
        <v>69</v>
      </c>
      <c r="Y38" s="9" t="s">
        <v>91</v>
      </c>
      <c r="Z38" s="62" t="s">
        <v>92</v>
      </c>
      <c r="AA38" s="9" t="s">
        <v>69</v>
      </c>
      <c r="AB38" s="9" t="s">
        <v>69</v>
      </c>
      <c r="AC38" s="9" t="s">
        <v>69</v>
      </c>
      <c r="AD38" s="9" t="s">
        <v>69</v>
      </c>
      <c r="AE38" s="9" t="s">
        <v>69</v>
      </c>
      <c r="AF38" s="9" t="s">
        <v>91</v>
      </c>
      <c r="AG38" s="9" t="s">
        <v>69</v>
      </c>
      <c r="AH38" s="9" t="s">
        <v>69</v>
      </c>
      <c r="AI38" s="9" t="s">
        <v>69</v>
      </c>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row>
    <row r="39" spans="1:193" ht="18">
      <c r="A39" s="34">
        <v>38</v>
      </c>
      <c r="B39" s="16" t="s">
        <v>39</v>
      </c>
      <c r="C39" s="7">
        <v>2</v>
      </c>
      <c r="D39" s="7">
        <f t="shared" si="1"/>
        <v>0</v>
      </c>
      <c r="E39" s="127">
        <v>2</v>
      </c>
      <c r="F39" s="25" t="s">
        <v>72</v>
      </c>
      <c r="G39" s="9" t="s">
        <v>69</v>
      </c>
      <c r="H39" s="9" t="s">
        <v>69</v>
      </c>
      <c r="I39" s="9" t="s">
        <v>69</v>
      </c>
      <c r="J39" s="9" t="s">
        <v>69</v>
      </c>
      <c r="K39" s="9" t="s">
        <v>91</v>
      </c>
      <c r="L39" s="9" t="s">
        <v>69</v>
      </c>
      <c r="M39" s="9" t="s">
        <v>69</v>
      </c>
      <c r="N39" s="9" t="s">
        <v>69</v>
      </c>
      <c r="O39" s="9" t="s">
        <v>69</v>
      </c>
      <c r="P39" s="9" t="s">
        <v>69</v>
      </c>
      <c r="Q39" s="9" t="s">
        <v>69</v>
      </c>
      <c r="R39" s="9" t="s">
        <v>91</v>
      </c>
      <c r="S39" s="9" t="s">
        <v>69</v>
      </c>
      <c r="T39" s="25" t="s">
        <v>72</v>
      </c>
      <c r="U39" s="9" t="s">
        <v>69</v>
      </c>
      <c r="V39" s="9" t="s">
        <v>69</v>
      </c>
      <c r="W39" s="9" t="s">
        <v>69</v>
      </c>
      <c r="X39" s="9" t="s">
        <v>69</v>
      </c>
      <c r="Y39" s="9" t="s">
        <v>91</v>
      </c>
      <c r="Z39" s="9" t="s">
        <v>69</v>
      </c>
      <c r="AA39" s="9" t="s">
        <v>69</v>
      </c>
      <c r="AB39" s="9" t="s">
        <v>69</v>
      </c>
      <c r="AC39" s="9" t="s">
        <v>69</v>
      </c>
      <c r="AD39" s="9" t="s">
        <v>69</v>
      </c>
      <c r="AE39" s="9" t="s">
        <v>69</v>
      </c>
      <c r="AF39" s="9" t="s">
        <v>91</v>
      </c>
      <c r="AG39" s="9" t="s">
        <v>69</v>
      </c>
      <c r="AH39" s="9" t="s">
        <v>69</v>
      </c>
      <c r="AI39" s="9" t="s">
        <v>69</v>
      </c>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row>
    <row r="40" spans="1:193" ht="18">
      <c r="A40" s="34">
        <v>39</v>
      </c>
      <c r="B40" s="70" t="s">
        <v>101</v>
      </c>
      <c r="C40" s="7">
        <v>0</v>
      </c>
      <c r="D40" s="7">
        <f t="shared" si="1"/>
        <v>16</v>
      </c>
      <c r="E40" s="127">
        <v>16</v>
      </c>
      <c r="F40" s="25" t="s">
        <v>72</v>
      </c>
      <c r="G40" s="25" t="s">
        <v>72</v>
      </c>
      <c r="H40" s="25" t="s">
        <v>72</v>
      </c>
      <c r="I40" s="25" t="s">
        <v>72</v>
      </c>
      <c r="J40" s="25" t="s">
        <v>72</v>
      </c>
      <c r="K40" s="9" t="s">
        <v>91</v>
      </c>
      <c r="L40" s="25" t="s">
        <v>72</v>
      </c>
      <c r="M40" s="25" t="s">
        <v>72</v>
      </c>
      <c r="N40" s="25" t="s">
        <v>72</v>
      </c>
      <c r="O40" s="25" t="s">
        <v>72</v>
      </c>
      <c r="P40" s="25" t="s">
        <v>72</v>
      </c>
      <c r="Q40" s="25" t="s">
        <v>72</v>
      </c>
      <c r="R40" s="9" t="s">
        <v>91</v>
      </c>
      <c r="S40" s="25" t="s">
        <v>72</v>
      </c>
      <c r="T40" s="9" t="s">
        <v>69</v>
      </c>
      <c r="U40" s="9" t="s">
        <v>69</v>
      </c>
      <c r="V40" s="9" t="s">
        <v>69</v>
      </c>
      <c r="W40" s="9" t="s">
        <v>69</v>
      </c>
      <c r="X40" s="25" t="s">
        <v>72</v>
      </c>
      <c r="Y40" s="9" t="s">
        <v>91</v>
      </c>
      <c r="Z40" s="25" t="s">
        <v>72</v>
      </c>
      <c r="AA40" s="9" t="s">
        <v>69</v>
      </c>
      <c r="AB40" s="9" t="s">
        <v>69</v>
      </c>
      <c r="AC40" s="9" t="s">
        <v>69</v>
      </c>
      <c r="AD40" s="9" t="s">
        <v>69</v>
      </c>
      <c r="AE40" s="9" t="s">
        <v>69</v>
      </c>
      <c r="AF40" s="9" t="s">
        <v>91</v>
      </c>
      <c r="AG40" s="9" t="s">
        <v>69</v>
      </c>
      <c r="AH40" s="9" t="s">
        <v>69</v>
      </c>
      <c r="AI40" s="9" t="s">
        <v>69</v>
      </c>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row>
    <row r="41" spans="1:193" ht="18">
      <c r="A41" s="34">
        <v>40</v>
      </c>
      <c r="B41" s="16" t="s">
        <v>40</v>
      </c>
      <c r="C41" s="7">
        <v>3</v>
      </c>
      <c r="D41" s="7">
        <f t="shared" si="1"/>
        <v>0</v>
      </c>
      <c r="E41" s="127">
        <v>3</v>
      </c>
      <c r="F41" s="9" t="s">
        <v>69</v>
      </c>
      <c r="G41" s="9" t="s">
        <v>69</v>
      </c>
      <c r="H41" s="9" t="s">
        <v>69</v>
      </c>
      <c r="I41" s="9" t="s">
        <v>69</v>
      </c>
      <c r="J41" s="9" t="s">
        <v>69</v>
      </c>
      <c r="K41" s="9" t="s">
        <v>91</v>
      </c>
      <c r="L41" s="25" t="s">
        <v>72</v>
      </c>
      <c r="M41" s="62" t="s">
        <v>92</v>
      </c>
      <c r="N41" s="62" t="s">
        <v>92</v>
      </c>
      <c r="O41" s="9" t="s">
        <v>69</v>
      </c>
      <c r="P41" s="25" t="s">
        <v>72</v>
      </c>
      <c r="Q41" s="9" t="s">
        <v>69</v>
      </c>
      <c r="R41" s="9" t="s">
        <v>91</v>
      </c>
      <c r="S41" s="9" t="s">
        <v>69</v>
      </c>
      <c r="T41" s="25" t="s">
        <v>72</v>
      </c>
      <c r="U41" s="9" t="s">
        <v>69</v>
      </c>
      <c r="V41" s="9" t="s">
        <v>69</v>
      </c>
      <c r="W41" s="9" t="s">
        <v>69</v>
      </c>
      <c r="X41" s="9" t="s">
        <v>69</v>
      </c>
      <c r="Y41" s="9" t="s">
        <v>91</v>
      </c>
      <c r="Z41" s="9" t="s">
        <v>69</v>
      </c>
      <c r="AA41" s="9" t="s">
        <v>69</v>
      </c>
      <c r="AB41" s="9" t="s">
        <v>69</v>
      </c>
      <c r="AC41" s="9" t="s">
        <v>69</v>
      </c>
      <c r="AD41" s="9" t="s">
        <v>69</v>
      </c>
      <c r="AE41" s="9" t="s">
        <v>69</v>
      </c>
      <c r="AF41" s="9" t="s">
        <v>91</v>
      </c>
      <c r="AG41" s="9" t="s">
        <v>69</v>
      </c>
      <c r="AH41" s="9" t="s">
        <v>69</v>
      </c>
      <c r="AI41" s="9" t="s">
        <v>69</v>
      </c>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row>
    <row r="42" spans="1:193" ht="18">
      <c r="A42" s="34">
        <v>41</v>
      </c>
      <c r="B42" s="17" t="s">
        <v>41</v>
      </c>
      <c r="C42" s="7">
        <v>1</v>
      </c>
      <c r="D42" s="7">
        <f t="shared" si="1"/>
        <v>0</v>
      </c>
      <c r="E42" s="127">
        <v>1</v>
      </c>
      <c r="F42" s="60" t="s">
        <v>92</v>
      </c>
      <c r="G42" s="9" t="s">
        <v>69</v>
      </c>
      <c r="H42" s="9" t="s">
        <v>69</v>
      </c>
      <c r="I42" s="9" t="s">
        <v>69</v>
      </c>
      <c r="J42" s="9" t="s">
        <v>69</v>
      </c>
      <c r="K42" s="9" t="s">
        <v>91</v>
      </c>
      <c r="L42" s="9" t="s">
        <v>69</v>
      </c>
      <c r="M42" s="9" t="s">
        <v>69</v>
      </c>
      <c r="N42" s="9" t="s">
        <v>69</v>
      </c>
      <c r="O42" s="9" t="s">
        <v>69</v>
      </c>
      <c r="P42" s="9" t="s">
        <v>69</v>
      </c>
      <c r="Q42" s="62" t="s">
        <v>92</v>
      </c>
      <c r="R42" s="9" t="s">
        <v>91</v>
      </c>
      <c r="S42" s="9" t="s">
        <v>69</v>
      </c>
      <c r="T42" s="9" t="s">
        <v>69</v>
      </c>
      <c r="U42" s="9" t="s">
        <v>69</v>
      </c>
      <c r="V42" s="9" t="s">
        <v>69</v>
      </c>
      <c r="W42" s="9" t="s">
        <v>69</v>
      </c>
      <c r="X42" s="9" t="s">
        <v>69</v>
      </c>
      <c r="Y42" s="9" t="s">
        <v>91</v>
      </c>
      <c r="Z42" s="65" t="s">
        <v>69</v>
      </c>
      <c r="AA42" s="9" t="s">
        <v>69</v>
      </c>
      <c r="AB42" s="9" t="s">
        <v>69</v>
      </c>
      <c r="AC42" s="9" t="s">
        <v>69</v>
      </c>
      <c r="AD42" s="25" t="s">
        <v>72</v>
      </c>
      <c r="AE42" s="9" t="s">
        <v>69</v>
      </c>
      <c r="AF42" s="9" t="s">
        <v>91</v>
      </c>
      <c r="AG42" s="9" t="s">
        <v>69</v>
      </c>
      <c r="AH42" s="9" t="s">
        <v>69</v>
      </c>
      <c r="AI42" s="9" t="s">
        <v>69</v>
      </c>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row>
    <row r="43" spans="1:193" ht="18">
      <c r="A43" s="34">
        <v>42</v>
      </c>
      <c r="B43" s="16" t="s">
        <v>42</v>
      </c>
      <c r="C43" s="7">
        <v>0</v>
      </c>
      <c r="D43" s="7">
        <f t="shared" si="1"/>
        <v>0</v>
      </c>
      <c r="E43" s="127">
        <v>0</v>
      </c>
      <c r="F43" s="135" t="s">
        <v>78</v>
      </c>
      <c r="G43" s="135" t="s">
        <v>78</v>
      </c>
      <c r="H43" s="135" t="s">
        <v>78</v>
      </c>
      <c r="I43" s="135" t="s">
        <v>78</v>
      </c>
      <c r="J43" s="135" t="s">
        <v>78</v>
      </c>
      <c r="K43" s="9" t="s">
        <v>91</v>
      </c>
      <c r="L43" s="135" t="s">
        <v>78</v>
      </c>
      <c r="M43" s="135" t="s">
        <v>78</v>
      </c>
      <c r="N43" s="135" t="s">
        <v>78</v>
      </c>
      <c r="O43" s="135" t="s">
        <v>78</v>
      </c>
      <c r="P43" s="135" t="s">
        <v>78</v>
      </c>
      <c r="Q43" s="135" t="s">
        <v>78</v>
      </c>
      <c r="R43" s="9" t="s">
        <v>91</v>
      </c>
      <c r="S43" s="135" t="s">
        <v>78</v>
      </c>
      <c r="T43" s="135" t="s">
        <v>78</v>
      </c>
      <c r="U43" s="135" t="s">
        <v>78</v>
      </c>
      <c r="V43" s="135" t="s">
        <v>78</v>
      </c>
      <c r="W43" s="135" t="s">
        <v>78</v>
      </c>
      <c r="X43" s="135" t="s">
        <v>78</v>
      </c>
      <c r="Y43" s="9" t="s">
        <v>91</v>
      </c>
      <c r="Z43" s="135" t="s">
        <v>78</v>
      </c>
      <c r="AA43" s="135" t="s">
        <v>78</v>
      </c>
      <c r="AB43" s="135" t="s">
        <v>78</v>
      </c>
      <c r="AC43" s="135" t="s">
        <v>78</v>
      </c>
      <c r="AD43" s="135" t="s">
        <v>78</v>
      </c>
      <c r="AE43" s="135" t="s">
        <v>78</v>
      </c>
      <c r="AF43" s="9" t="s">
        <v>91</v>
      </c>
      <c r="AG43" s="135" t="s">
        <v>78</v>
      </c>
      <c r="AH43" s="135" t="s">
        <v>78</v>
      </c>
      <c r="AI43" s="135" t="s">
        <v>78</v>
      </c>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row>
    <row r="44" spans="1:193" ht="18">
      <c r="A44" s="34">
        <v>43</v>
      </c>
      <c r="B44" s="16" t="s">
        <v>43</v>
      </c>
      <c r="C44" s="7">
        <v>2</v>
      </c>
      <c r="D44" s="7">
        <f t="shared" si="1"/>
        <v>0</v>
      </c>
      <c r="E44" s="127">
        <v>2</v>
      </c>
      <c r="F44" s="9" t="s">
        <v>69</v>
      </c>
      <c r="G44" s="9" t="s">
        <v>69</v>
      </c>
      <c r="H44" s="9" t="s">
        <v>69</v>
      </c>
      <c r="I44" s="9" t="s">
        <v>69</v>
      </c>
      <c r="J44" s="9" t="s">
        <v>69</v>
      </c>
      <c r="K44" s="9" t="s">
        <v>91</v>
      </c>
      <c r="L44" s="9" t="s">
        <v>69</v>
      </c>
      <c r="M44" s="9" t="s">
        <v>69</v>
      </c>
      <c r="N44" s="9" t="s">
        <v>69</v>
      </c>
      <c r="O44" s="9" t="s">
        <v>69</v>
      </c>
      <c r="P44" s="9" t="s">
        <v>69</v>
      </c>
      <c r="Q44" s="9" t="s">
        <v>69</v>
      </c>
      <c r="R44" s="9" t="s">
        <v>91</v>
      </c>
      <c r="S44" s="25" t="s">
        <v>72</v>
      </c>
      <c r="T44" s="9" t="s">
        <v>69</v>
      </c>
      <c r="U44" s="9" t="s">
        <v>69</v>
      </c>
      <c r="V44" s="9" t="s">
        <v>69</v>
      </c>
      <c r="W44" s="25" t="s">
        <v>72</v>
      </c>
      <c r="X44" s="9" t="s">
        <v>69</v>
      </c>
      <c r="Y44" s="9" t="s">
        <v>91</v>
      </c>
      <c r="Z44" s="9" t="s">
        <v>69</v>
      </c>
      <c r="AA44" s="9" t="s">
        <v>69</v>
      </c>
      <c r="AB44" s="9" t="s">
        <v>69</v>
      </c>
      <c r="AC44" s="9" t="s">
        <v>69</v>
      </c>
      <c r="AD44" s="9" t="s">
        <v>69</v>
      </c>
      <c r="AE44" s="9" t="s">
        <v>69</v>
      </c>
      <c r="AF44" s="9" t="s">
        <v>91</v>
      </c>
      <c r="AG44" s="9" t="s">
        <v>69</v>
      </c>
      <c r="AH44" s="9" t="s">
        <v>69</v>
      </c>
      <c r="AI44" s="9" t="s">
        <v>69</v>
      </c>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row>
    <row r="45" spans="1:193" ht="18">
      <c r="A45" s="34">
        <v>44</v>
      </c>
      <c r="B45" s="17" t="s">
        <v>44</v>
      </c>
      <c r="C45" s="7">
        <v>2.5</v>
      </c>
      <c r="D45" s="7">
        <f t="shared" si="1"/>
        <v>1.5</v>
      </c>
      <c r="E45" s="127">
        <v>4</v>
      </c>
      <c r="F45" s="9" t="s">
        <v>69</v>
      </c>
      <c r="G45" s="9" t="s">
        <v>69</v>
      </c>
      <c r="H45" s="9" t="s">
        <v>69</v>
      </c>
      <c r="I45" s="9" t="s">
        <v>69</v>
      </c>
      <c r="J45" s="9" t="s">
        <v>69</v>
      </c>
      <c r="K45" s="9" t="s">
        <v>91</v>
      </c>
      <c r="L45" s="9" t="s">
        <v>69</v>
      </c>
      <c r="M45" s="9" t="s">
        <v>69</v>
      </c>
      <c r="N45" s="9" t="s">
        <v>69</v>
      </c>
      <c r="O45" s="9" t="s">
        <v>69</v>
      </c>
      <c r="P45" s="25" t="s">
        <v>72</v>
      </c>
      <c r="Q45" s="9" t="s">
        <v>69</v>
      </c>
      <c r="R45" s="9" t="s">
        <v>91</v>
      </c>
      <c r="S45" s="9" t="s">
        <v>69</v>
      </c>
      <c r="T45" s="9" t="s">
        <v>69</v>
      </c>
      <c r="U45" s="9" t="s">
        <v>69</v>
      </c>
      <c r="V45" s="9" t="s">
        <v>69</v>
      </c>
      <c r="W45" s="9" t="s">
        <v>69</v>
      </c>
      <c r="X45" s="9" t="s">
        <v>69</v>
      </c>
      <c r="Y45" s="9" t="s">
        <v>91</v>
      </c>
      <c r="Z45" s="9" t="s">
        <v>69</v>
      </c>
      <c r="AA45" s="9" t="s">
        <v>69</v>
      </c>
      <c r="AB45" s="9" t="s">
        <v>69</v>
      </c>
      <c r="AC45" s="9" t="s">
        <v>69</v>
      </c>
      <c r="AD45" s="9" t="s">
        <v>69</v>
      </c>
      <c r="AE45" s="9" t="s">
        <v>69</v>
      </c>
      <c r="AF45" s="9" t="s">
        <v>91</v>
      </c>
      <c r="AG45" s="25" t="s">
        <v>72</v>
      </c>
      <c r="AH45" s="25" t="s">
        <v>72</v>
      </c>
      <c r="AI45" s="25" t="s">
        <v>72</v>
      </c>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row>
    <row r="46" spans="1:193" ht="18">
      <c r="A46" s="34">
        <v>45</v>
      </c>
      <c r="B46" s="16" t="s">
        <v>46</v>
      </c>
      <c r="C46" s="7">
        <v>15</v>
      </c>
      <c r="D46" s="7">
        <f t="shared" si="1"/>
        <v>0</v>
      </c>
      <c r="E46" s="127">
        <v>15</v>
      </c>
      <c r="F46" s="9" t="s">
        <v>69</v>
      </c>
      <c r="G46" s="9" t="s">
        <v>69</v>
      </c>
      <c r="H46" s="25" t="s">
        <v>72</v>
      </c>
      <c r="I46" s="25" t="s">
        <v>72</v>
      </c>
      <c r="J46" s="25" t="s">
        <v>72</v>
      </c>
      <c r="K46" s="9" t="s">
        <v>91</v>
      </c>
      <c r="L46" s="63" t="s">
        <v>72</v>
      </c>
      <c r="M46" s="63" t="s">
        <v>72</v>
      </c>
      <c r="N46" s="63" t="s">
        <v>72</v>
      </c>
      <c r="O46" s="9" t="s">
        <v>69</v>
      </c>
      <c r="P46" s="62" t="s">
        <v>92</v>
      </c>
      <c r="Q46" s="62" t="s">
        <v>92</v>
      </c>
      <c r="R46" s="9" t="s">
        <v>91</v>
      </c>
      <c r="S46" s="9" t="s">
        <v>69</v>
      </c>
      <c r="T46" s="25" t="s">
        <v>72</v>
      </c>
      <c r="U46" s="9" t="s">
        <v>69</v>
      </c>
      <c r="V46" s="9" t="s">
        <v>69</v>
      </c>
      <c r="W46" s="9" t="s">
        <v>69</v>
      </c>
      <c r="X46" s="9" t="s">
        <v>69</v>
      </c>
      <c r="Y46" s="9" t="s">
        <v>91</v>
      </c>
      <c r="Z46" s="9" t="s">
        <v>69</v>
      </c>
      <c r="AA46" s="25" t="s">
        <v>72</v>
      </c>
      <c r="AB46" s="25" t="s">
        <v>72</v>
      </c>
      <c r="AC46" s="25" t="s">
        <v>72</v>
      </c>
      <c r="AD46" s="25" t="s">
        <v>72</v>
      </c>
      <c r="AE46" s="25" t="s">
        <v>72</v>
      </c>
      <c r="AF46" s="9" t="s">
        <v>91</v>
      </c>
      <c r="AG46" s="25" t="s">
        <v>72</v>
      </c>
      <c r="AH46" s="25" t="s">
        <v>72</v>
      </c>
      <c r="AI46" s="25" t="s">
        <v>72</v>
      </c>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row>
    <row r="47" spans="1:193" ht="18">
      <c r="A47" s="34">
        <v>46</v>
      </c>
      <c r="B47" s="16" t="s">
        <v>47</v>
      </c>
      <c r="C47" s="7">
        <v>2.5</v>
      </c>
      <c r="D47" s="7">
        <f t="shared" si="1"/>
        <v>0.5</v>
      </c>
      <c r="E47" s="127">
        <v>3</v>
      </c>
      <c r="F47" s="9" t="s">
        <v>69</v>
      </c>
      <c r="G47" s="9" t="s">
        <v>69</v>
      </c>
      <c r="H47" s="9" t="s">
        <v>69</v>
      </c>
      <c r="I47" s="9" t="s">
        <v>69</v>
      </c>
      <c r="J47" s="9" t="s">
        <v>69</v>
      </c>
      <c r="K47" s="9" t="s">
        <v>91</v>
      </c>
      <c r="L47" s="9" t="s">
        <v>69</v>
      </c>
      <c r="M47" s="9" t="s">
        <v>69</v>
      </c>
      <c r="N47" s="9" t="s">
        <v>69</v>
      </c>
      <c r="O47" s="9" t="s">
        <v>69</v>
      </c>
      <c r="P47" s="9" t="s">
        <v>69</v>
      </c>
      <c r="Q47" s="9" t="s">
        <v>69</v>
      </c>
      <c r="R47" s="9" t="s">
        <v>91</v>
      </c>
      <c r="S47" s="9" t="s">
        <v>69</v>
      </c>
      <c r="T47" s="9" t="s">
        <v>69</v>
      </c>
      <c r="U47" s="9" t="s">
        <v>69</v>
      </c>
      <c r="V47" s="9" t="s">
        <v>69</v>
      </c>
      <c r="W47" s="62" t="s">
        <v>92</v>
      </c>
      <c r="X47" s="9"/>
      <c r="Y47" s="9" t="s">
        <v>91</v>
      </c>
      <c r="Z47" s="9" t="s">
        <v>69</v>
      </c>
      <c r="AA47" s="9" t="s">
        <v>69</v>
      </c>
      <c r="AB47" s="9" t="s">
        <v>69</v>
      </c>
      <c r="AC47" s="9" t="s">
        <v>69</v>
      </c>
      <c r="AD47" s="9" t="s">
        <v>69</v>
      </c>
      <c r="AE47" s="25" t="s">
        <v>72</v>
      </c>
      <c r="AF47" s="9" t="s">
        <v>91</v>
      </c>
      <c r="AG47" s="25" t="s">
        <v>72</v>
      </c>
      <c r="AH47" s="25" t="s">
        <v>72</v>
      </c>
      <c r="AI47" s="9" t="s">
        <v>69</v>
      </c>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row>
    <row r="48" spans="1:193" ht="18">
      <c r="A48" s="34">
        <v>47</v>
      </c>
      <c r="B48" s="70" t="s">
        <v>102</v>
      </c>
      <c r="C48" s="7">
        <v>0</v>
      </c>
      <c r="D48" s="7">
        <f t="shared" si="1"/>
        <v>23</v>
      </c>
      <c r="E48" s="127">
        <v>23</v>
      </c>
      <c r="F48" s="63" t="s">
        <v>103</v>
      </c>
      <c r="G48" s="63" t="s">
        <v>103</v>
      </c>
      <c r="H48" s="63" t="s">
        <v>103</v>
      </c>
      <c r="I48" s="63" t="s">
        <v>103</v>
      </c>
      <c r="J48" s="63" t="s">
        <v>103</v>
      </c>
      <c r="K48" s="9" t="s">
        <v>91</v>
      </c>
      <c r="L48" s="63" t="s">
        <v>103</v>
      </c>
      <c r="M48" s="63" t="s">
        <v>103</v>
      </c>
      <c r="N48" s="63" t="s">
        <v>103</v>
      </c>
      <c r="O48" s="63" t="s">
        <v>103</v>
      </c>
      <c r="P48" s="63" t="s">
        <v>103</v>
      </c>
      <c r="Q48" s="63" t="s">
        <v>103</v>
      </c>
      <c r="R48" s="9" t="s">
        <v>91</v>
      </c>
      <c r="S48" s="63" t="s">
        <v>103</v>
      </c>
      <c r="T48" s="63" t="s">
        <v>103</v>
      </c>
      <c r="U48" s="63" t="s">
        <v>103</v>
      </c>
      <c r="V48" s="63" t="s">
        <v>103</v>
      </c>
      <c r="W48" s="63" t="s">
        <v>103</v>
      </c>
      <c r="X48" s="63" t="s">
        <v>103</v>
      </c>
      <c r="Y48" s="9" t="s">
        <v>91</v>
      </c>
      <c r="Z48" s="63" t="s">
        <v>103</v>
      </c>
      <c r="AA48" s="9" t="s">
        <v>69</v>
      </c>
      <c r="AB48" s="9" t="s">
        <v>69</v>
      </c>
      <c r="AC48" s="9" t="s">
        <v>69</v>
      </c>
      <c r="AD48" s="9" t="s">
        <v>69</v>
      </c>
      <c r="AE48" s="9" t="s">
        <v>69</v>
      </c>
      <c r="AF48" s="9" t="s">
        <v>91</v>
      </c>
      <c r="AG48" s="9" t="s">
        <v>69</v>
      </c>
      <c r="AH48" s="25" t="s">
        <v>72</v>
      </c>
      <c r="AI48" s="25" t="s">
        <v>72</v>
      </c>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row>
    <row r="49" spans="1:193" ht="18">
      <c r="A49" s="34">
        <v>48</v>
      </c>
      <c r="B49" s="16" t="s">
        <v>48</v>
      </c>
      <c r="C49" s="7">
        <v>1</v>
      </c>
      <c r="D49" s="7">
        <f t="shared" si="1"/>
        <v>2</v>
      </c>
      <c r="E49" s="127">
        <v>3</v>
      </c>
      <c r="F49" s="9" t="s">
        <v>69</v>
      </c>
      <c r="G49" s="9" t="s">
        <v>69</v>
      </c>
      <c r="H49" s="9" t="s">
        <v>69</v>
      </c>
      <c r="I49" s="9" t="s">
        <v>69</v>
      </c>
      <c r="J49" s="62" t="s">
        <v>92</v>
      </c>
      <c r="K49" s="9" t="s">
        <v>91</v>
      </c>
      <c r="L49" s="9" t="s">
        <v>69</v>
      </c>
      <c r="M49" s="9" t="s">
        <v>69</v>
      </c>
      <c r="N49" s="25" t="s">
        <v>72</v>
      </c>
      <c r="O49" s="9" t="s">
        <v>69</v>
      </c>
      <c r="P49" s="9" t="s">
        <v>69</v>
      </c>
      <c r="Q49" s="9" t="s">
        <v>69</v>
      </c>
      <c r="R49" s="9" t="s">
        <v>91</v>
      </c>
      <c r="S49" s="9" t="s">
        <v>69</v>
      </c>
      <c r="T49" s="9" t="s">
        <v>69</v>
      </c>
      <c r="U49" s="9" t="s">
        <v>69</v>
      </c>
      <c r="V49" s="9" t="s">
        <v>69</v>
      </c>
      <c r="W49" s="25" t="s">
        <v>72</v>
      </c>
      <c r="X49" s="9" t="s">
        <v>69</v>
      </c>
      <c r="Y49" s="9" t="s">
        <v>91</v>
      </c>
      <c r="Z49" s="9" t="s">
        <v>69</v>
      </c>
      <c r="AA49" s="9" t="s">
        <v>69</v>
      </c>
      <c r="AB49" s="9" t="s">
        <v>69</v>
      </c>
      <c r="AC49" s="9" t="s">
        <v>69</v>
      </c>
      <c r="AD49" s="25" t="s">
        <v>72</v>
      </c>
      <c r="AE49" s="9" t="s">
        <v>69</v>
      </c>
      <c r="AF49" s="9" t="s">
        <v>91</v>
      </c>
      <c r="AG49" s="9" t="s">
        <v>69</v>
      </c>
      <c r="AH49" s="9" t="s">
        <v>69</v>
      </c>
      <c r="AI49" s="9" t="s">
        <v>69</v>
      </c>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row>
    <row r="50" spans="1:193" ht="18">
      <c r="A50" s="34">
        <v>49</v>
      </c>
      <c r="B50" s="16" t="s">
        <v>49</v>
      </c>
      <c r="C50" s="7">
        <v>3.5</v>
      </c>
      <c r="D50" s="7">
        <f t="shared" si="1"/>
        <v>0</v>
      </c>
      <c r="E50" s="127">
        <v>3.5</v>
      </c>
      <c r="F50" s="9" t="s">
        <v>69</v>
      </c>
      <c r="G50" s="9" t="s">
        <v>69</v>
      </c>
      <c r="H50" s="25" t="s">
        <v>72</v>
      </c>
      <c r="I50" s="9" t="s">
        <v>69</v>
      </c>
      <c r="J50" s="9" t="s">
        <v>69</v>
      </c>
      <c r="K50" s="9" t="s">
        <v>91</v>
      </c>
      <c r="L50" s="71" t="s">
        <v>69</v>
      </c>
      <c r="M50" s="9" t="s">
        <v>69</v>
      </c>
      <c r="N50" s="64" t="s">
        <v>94</v>
      </c>
      <c r="O50" s="9" t="s">
        <v>69</v>
      </c>
      <c r="P50" s="9" t="s">
        <v>69</v>
      </c>
      <c r="Q50" s="9" t="s">
        <v>69</v>
      </c>
      <c r="R50" s="9" t="s">
        <v>91</v>
      </c>
      <c r="S50" s="25" t="s">
        <v>72</v>
      </c>
      <c r="T50" s="9" t="s">
        <v>69</v>
      </c>
      <c r="U50" s="9" t="s">
        <v>69</v>
      </c>
      <c r="V50" s="62" t="s">
        <v>92</v>
      </c>
      <c r="W50" s="62" t="s">
        <v>92</v>
      </c>
      <c r="X50" s="9" t="s">
        <v>69</v>
      </c>
      <c r="Y50" s="9" t="s">
        <v>91</v>
      </c>
      <c r="Z50" s="9" t="s">
        <v>69</v>
      </c>
      <c r="AA50" s="9" t="s">
        <v>69</v>
      </c>
      <c r="AB50" s="9" t="s">
        <v>69</v>
      </c>
      <c r="AC50" s="25" t="s">
        <v>72</v>
      </c>
      <c r="AD50" s="9" t="s">
        <v>69</v>
      </c>
      <c r="AE50" s="9" t="s">
        <v>69</v>
      </c>
      <c r="AF50" s="9" t="s">
        <v>91</v>
      </c>
      <c r="AG50" s="9" t="s">
        <v>69</v>
      </c>
      <c r="AH50" s="9" t="s">
        <v>69</v>
      </c>
      <c r="AI50" s="9" t="s">
        <v>69</v>
      </c>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row>
    <row r="51" spans="1:193" ht="18">
      <c r="A51" s="34">
        <v>50</v>
      </c>
      <c r="B51" s="16" t="s">
        <v>50</v>
      </c>
      <c r="C51" s="7">
        <v>1</v>
      </c>
      <c r="D51" s="7">
        <f t="shared" si="1"/>
        <v>1</v>
      </c>
      <c r="E51" s="127">
        <v>2</v>
      </c>
      <c r="F51" s="9" t="s">
        <v>69</v>
      </c>
      <c r="G51" s="9" t="s">
        <v>69</v>
      </c>
      <c r="H51" s="9" t="s">
        <v>69</v>
      </c>
      <c r="I51" s="62" t="s">
        <v>92</v>
      </c>
      <c r="J51" s="65" t="s">
        <v>69</v>
      </c>
      <c r="K51" s="9" t="s">
        <v>91</v>
      </c>
      <c r="L51" s="9" t="s">
        <v>69</v>
      </c>
      <c r="M51" s="9" t="s">
        <v>69</v>
      </c>
      <c r="N51" s="9" t="s">
        <v>69</v>
      </c>
      <c r="O51" s="9" t="s">
        <v>69</v>
      </c>
      <c r="P51" s="9" t="s">
        <v>69</v>
      </c>
      <c r="Q51" s="25" t="s">
        <v>72</v>
      </c>
      <c r="R51" s="9" t="s">
        <v>91</v>
      </c>
      <c r="S51" s="9" t="s">
        <v>69</v>
      </c>
      <c r="T51" s="9" t="s">
        <v>69</v>
      </c>
      <c r="U51" s="9" t="s">
        <v>69</v>
      </c>
      <c r="V51" s="62" t="s">
        <v>92</v>
      </c>
      <c r="W51" s="9" t="s">
        <v>69</v>
      </c>
      <c r="X51" s="9" t="s">
        <v>69</v>
      </c>
      <c r="Y51" s="9" t="s">
        <v>91</v>
      </c>
      <c r="Z51" s="9" t="s">
        <v>69</v>
      </c>
      <c r="AA51" s="9" t="s">
        <v>69</v>
      </c>
      <c r="AB51" s="9" t="s">
        <v>69</v>
      </c>
      <c r="AC51" s="9" t="s">
        <v>69</v>
      </c>
      <c r="AD51" s="9" t="s">
        <v>69</v>
      </c>
      <c r="AE51" s="25" t="s">
        <v>72</v>
      </c>
      <c r="AF51" s="9" t="s">
        <v>91</v>
      </c>
      <c r="AG51" s="9" t="s">
        <v>69</v>
      </c>
      <c r="AH51" s="9" t="s">
        <v>69</v>
      </c>
      <c r="AI51" s="9" t="s">
        <v>69</v>
      </c>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row>
    <row r="52" spans="1:193" ht="18">
      <c r="A52" s="34">
        <v>51</v>
      </c>
      <c r="B52" s="70" t="s">
        <v>104</v>
      </c>
      <c r="C52" s="7">
        <v>0</v>
      </c>
      <c r="D52" s="7">
        <f t="shared" si="1"/>
        <v>13</v>
      </c>
      <c r="E52" s="127">
        <v>13</v>
      </c>
      <c r="F52" s="25" t="s">
        <v>72</v>
      </c>
      <c r="G52" s="25" t="s">
        <v>72</v>
      </c>
      <c r="H52" s="25" t="s">
        <v>72</v>
      </c>
      <c r="I52" s="25" t="s">
        <v>72</v>
      </c>
      <c r="J52" s="25" t="s">
        <v>72</v>
      </c>
      <c r="K52" s="9" t="s">
        <v>91</v>
      </c>
      <c r="L52" s="25" t="s">
        <v>72</v>
      </c>
      <c r="M52" s="25" t="s">
        <v>72</v>
      </c>
      <c r="N52" s="25" t="s">
        <v>72</v>
      </c>
      <c r="O52" s="25" t="s">
        <v>72</v>
      </c>
      <c r="P52" s="25" t="s">
        <v>72</v>
      </c>
      <c r="Q52" s="25" t="s">
        <v>72</v>
      </c>
      <c r="R52" s="9" t="s">
        <v>91</v>
      </c>
      <c r="S52" s="9" t="s">
        <v>69</v>
      </c>
      <c r="T52" s="9" t="s">
        <v>69</v>
      </c>
      <c r="U52" s="9" t="s">
        <v>69</v>
      </c>
      <c r="V52" s="9" t="s">
        <v>69</v>
      </c>
      <c r="W52" s="9" t="s">
        <v>69</v>
      </c>
      <c r="X52" s="64" t="s">
        <v>94</v>
      </c>
      <c r="Y52" s="9" t="s">
        <v>91</v>
      </c>
      <c r="Z52" s="9" t="s">
        <v>69</v>
      </c>
      <c r="AA52" s="9" t="s">
        <v>69</v>
      </c>
      <c r="AB52" s="9" t="s">
        <v>69</v>
      </c>
      <c r="AC52" s="9" t="s">
        <v>69</v>
      </c>
      <c r="AD52" s="62" t="s">
        <v>92</v>
      </c>
      <c r="AE52" s="9" t="s">
        <v>69</v>
      </c>
      <c r="AF52" s="9" t="s">
        <v>91</v>
      </c>
      <c r="AG52" s="9" t="s">
        <v>69</v>
      </c>
      <c r="AH52" s="9" t="s">
        <v>69</v>
      </c>
      <c r="AI52" s="9" t="s">
        <v>69</v>
      </c>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row>
    <row r="53" spans="1:193" ht="18">
      <c r="A53" s="34">
        <v>52</v>
      </c>
      <c r="B53" s="16" t="s">
        <v>51</v>
      </c>
      <c r="C53" s="7">
        <v>2</v>
      </c>
      <c r="D53" s="7">
        <f t="shared" si="1"/>
        <v>0</v>
      </c>
      <c r="E53" s="127">
        <v>2</v>
      </c>
      <c r="F53" s="9" t="s">
        <v>69</v>
      </c>
      <c r="G53" s="9" t="s">
        <v>69</v>
      </c>
      <c r="H53" s="9" t="s">
        <v>69</v>
      </c>
      <c r="I53" s="9" t="s">
        <v>69</v>
      </c>
      <c r="J53" s="9" t="s">
        <v>69</v>
      </c>
      <c r="K53" s="9" t="s">
        <v>91</v>
      </c>
      <c r="L53" s="9" t="s">
        <v>69</v>
      </c>
      <c r="M53" s="9" t="s">
        <v>69</v>
      </c>
      <c r="N53" s="9" t="s">
        <v>69</v>
      </c>
      <c r="O53" s="9" t="s">
        <v>69</v>
      </c>
      <c r="P53" s="9" t="s">
        <v>69</v>
      </c>
      <c r="Q53" s="9" t="s">
        <v>69</v>
      </c>
      <c r="R53" s="9" t="s">
        <v>91</v>
      </c>
      <c r="S53" s="25" t="s">
        <v>72</v>
      </c>
      <c r="T53" s="9" t="s">
        <v>69</v>
      </c>
      <c r="U53" s="9" t="s">
        <v>69</v>
      </c>
      <c r="V53" s="62" t="s">
        <v>92</v>
      </c>
      <c r="W53" s="9" t="s">
        <v>69</v>
      </c>
      <c r="X53" s="9" t="s">
        <v>69</v>
      </c>
      <c r="Y53" s="9" t="s">
        <v>91</v>
      </c>
      <c r="Z53" s="9" t="s">
        <v>69</v>
      </c>
      <c r="AA53" s="9" t="s">
        <v>69</v>
      </c>
      <c r="AB53" s="9" t="s">
        <v>69</v>
      </c>
      <c r="AC53" s="62" t="s">
        <v>74</v>
      </c>
      <c r="AD53" s="9" t="s">
        <v>69</v>
      </c>
      <c r="AE53" s="25" t="s">
        <v>72</v>
      </c>
      <c r="AF53" s="9" t="s">
        <v>91</v>
      </c>
      <c r="AG53" s="9" t="s">
        <v>69</v>
      </c>
      <c r="AH53" s="9" t="s">
        <v>69</v>
      </c>
      <c r="AI53" s="9" t="s">
        <v>69</v>
      </c>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row>
    <row r="54" spans="1:193" ht="18">
      <c r="A54" s="34">
        <v>53</v>
      </c>
      <c r="B54" s="16" t="s">
        <v>52</v>
      </c>
      <c r="C54" s="7">
        <v>1</v>
      </c>
      <c r="D54" s="7">
        <f t="shared" si="1"/>
        <v>0</v>
      </c>
      <c r="E54" s="127">
        <v>1</v>
      </c>
      <c r="F54" s="9" t="s">
        <v>69</v>
      </c>
      <c r="G54" s="9" t="s">
        <v>69</v>
      </c>
      <c r="H54" s="9" t="s">
        <v>69</v>
      </c>
      <c r="I54" s="9" t="s">
        <v>69</v>
      </c>
      <c r="J54" s="9" t="s">
        <v>69</v>
      </c>
      <c r="K54" s="9" t="s">
        <v>91</v>
      </c>
      <c r="L54" s="9" t="s">
        <v>69</v>
      </c>
      <c r="M54" s="9" t="s">
        <v>69</v>
      </c>
      <c r="N54" s="9" t="s">
        <v>69</v>
      </c>
      <c r="O54" s="9" t="s">
        <v>69</v>
      </c>
      <c r="P54" s="9" t="s">
        <v>69</v>
      </c>
      <c r="Q54" s="9" t="s">
        <v>69</v>
      </c>
      <c r="R54" s="9" t="s">
        <v>91</v>
      </c>
      <c r="S54" s="9" t="s">
        <v>69</v>
      </c>
      <c r="T54" s="9" t="s">
        <v>69</v>
      </c>
      <c r="U54" s="9" t="s">
        <v>69</v>
      </c>
      <c r="V54" s="9" t="s">
        <v>69</v>
      </c>
      <c r="W54" s="9" t="s">
        <v>69</v>
      </c>
      <c r="X54" s="9" t="s">
        <v>69</v>
      </c>
      <c r="Y54" s="9" t="s">
        <v>91</v>
      </c>
      <c r="Z54" s="25" t="s">
        <v>72</v>
      </c>
      <c r="AA54" s="9" t="s">
        <v>69</v>
      </c>
      <c r="AB54" s="9" t="s">
        <v>69</v>
      </c>
      <c r="AC54" s="9" t="s">
        <v>69</v>
      </c>
      <c r="AD54" s="9" t="s">
        <v>69</v>
      </c>
      <c r="AE54" s="9" t="s">
        <v>69</v>
      </c>
      <c r="AF54" s="9" t="s">
        <v>91</v>
      </c>
      <c r="AG54" s="9" t="s">
        <v>69</v>
      </c>
      <c r="AH54" s="9" t="s">
        <v>69</v>
      </c>
      <c r="AI54" s="9" t="s">
        <v>69</v>
      </c>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row>
    <row r="55" spans="1:193" ht="18">
      <c r="A55" s="34">
        <v>54</v>
      </c>
      <c r="B55" s="16" t="s">
        <v>53</v>
      </c>
      <c r="C55" s="7">
        <v>3.5</v>
      </c>
      <c r="D55" s="7">
        <f t="shared" si="1"/>
        <v>0</v>
      </c>
      <c r="E55" s="127">
        <v>3.5</v>
      </c>
      <c r="F55" s="9" t="s">
        <v>69</v>
      </c>
      <c r="G55" s="9" t="s">
        <v>69</v>
      </c>
      <c r="H55" s="25" t="s">
        <v>72</v>
      </c>
      <c r="I55" s="9" t="s">
        <v>69</v>
      </c>
      <c r="J55" s="9" t="s">
        <v>69</v>
      </c>
      <c r="K55" s="9" t="s">
        <v>91</v>
      </c>
      <c r="L55" s="9" t="s">
        <v>69</v>
      </c>
      <c r="M55" s="65" t="s">
        <v>69</v>
      </c>
      <c r="N55" s="25" t="s">
        <v>72</v>
      </c>
      <c r="O55" s="9" t="s">
        <v>69</v>
      </c>
      <c r="P55" s="9" t="s">
        <v>69</v>
      </c>
      <c r="Q55" s="63" t="s">
        <v>72</v>
      </c>
      <c r="R55" s="9" t="s">
        <v>91</v>
      </c>
      <c r="S55" s="9" t="s">
        <v>69</v>
      </c>
      <c r="T55" s="9" t="s">
        <v>69</v>
      </c>
      <c r="U55" s="9" t="s">
        <v>69</v>
      </c>
      <c r="V55" s="9" t="s">
        <v>69</v>
      </c>
      <c r="W55" s="9" t="s">
        <v>69</v>
      </c>
      <c r="X55" s="9" t="s">
        <v>69</v>
      </c>
      <c r="Y55" s="9" t="s">
        <v>91</v>
      </c>
      <c r="Z55" s="9" t="s">
        <v>69</v>
      </c>
      <c r="AA55" s="9" t="s">
        <v>69</v>
      </c>
      <c r="AB55" s="9" t="s">
        <v>69</v>
      </c>
      <c r="AC55" s="9" t="s">
        <v>69</v>
      </c>
      <c r="AD55" s="64" t="s">
        <v>94</v>
      </c>
      <c r="AE55" s="62" t="s">
        <v>92</v>
      </c>
      <c r="AF55" s="9" t="s">
        <v>91</v>
      </c>
      <c r="AG55" s="9" t="s">
        <v>69</v>
      </c>
      <c r="AH55" s="9" t="s">
        <v>69</v>
      </c>
      <c r="AI55" s="9" t="s">
        <v>69</v>
      </c>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row>
    <row r="56" spans="1:193" ht="18">
      <c r="A56" s="34">
        <v>55</v>
      </c>
      <c r="B56" s="17" t="s">
        <v>54</v>
      </c>
      <c r="C56" s="7">
        <v>1</v>
      </c>
      <c r="D56" s="7">
        <f t="shared" si="1"/>
        <v>0</v>
      </c>
      <c r="E56" s="127">
        <v>1</v>
      </c>
      <c r="F56" s="9" t="s">
        <v>69</v>
      </c>
      <c r="G56" s="9" t="s">
        <v>69</v>
      </c>
      <c r="H56" s="9" t="s">
        <v>69</v>
      </c>
      <c r="I56" s="9" t="s">
        <v>69</v>
      </c>
      <c r="J56" s="9" t="s">
        <v>69</v>
      </c>
      <c r="K56" s="9" t="s">
        <v>91</v>
      </c>
      <c r="L56" s="9" t="s">
        <v>69</v>
      </c>
      <c r="M56" s="62" t="s">
        <v>92</v>
      </c>
      <c r="N56" s="25" t="s">
        <v>72</v>
      </c>
      <c r="O56" s="9" t="s">
        <v>69</v>
      </c>
      <c r="P56" s="9" t="s">
        <v>69</v>
      </c>
      <c r="Q56" s="9" t="s">
        <v>69</v>
      </c>
      <c r="R56" s="9" t="s">
        <v>91</v>
      </c>
      <c r="S56" s="9" t="s">
        <v>69</v>
      </c>
      <c r="T56" s="9" t="s">
        <v>69</v>
      </c>
      <c r="U56" s="9" t="s">
        <v>69</v>
      </c>
      <c r="V56" s="9" t="s">
        <v>69</v>
      </c>
      <c r="W56" s="9" t="s">
        <v>69</v>
      </c>
      <c r="X56" s="9" t="s">
        <v>69</v>
      </c>
      <c r="Y56" s="9" t="s">
        <v>91</v>
      </c>
      <c r="Z56" s="9" t="s">
        <v>69</v>
      </c>
      <c r="AA56" s="9" t="s">
        <v>69</v>
      </c>
      <c r="AB56" s="9" t="s">
        <v>69</v>
      </c>
      <c r="AC56" s="62" t="s">
        <v>74</v>
      </c>
      <c r="AD56" s="9" t="s">
        <v>69</v>
      </c>
      <c r="AE56" s="9" t="s">
        <v>69</v>
      </c>
      <c r="AF56" s="9" t="s">
        <v>91</v>
      </c>
      <c r="AG56" s="9" t="s">
        <v>69</v>
      </c>
      <c r="AH56" s="9" t="s">
        <v>69</v>
      </c>
      <c r="AI56" s="9" t="s">
        <v>69</v>
      </c>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row>
    <row r="57" spans="1:193" ht="18">
      <c r="A57" s="34">
        <v>56</v>
      </c>
      <c r="B57" s="16" t="s">
        <v>55</v>
      </c>
      <c r="C57" s="7">
        <v>0.5</v>
      </c>
      <c r="D57" s="7">
        <f t="shared" si="1"/>
        <v>0</v>
      </c>
      <c r="E57" s="127">
        <v>0.5</v>
      </c>
      <c r="F57" s="9" t="s">
        <v>69</v>
      </c>
      <c r="G57" s="9" t="s">
        <v>69</v>
      </c>
      <c r="H57" s="9" t="s">
        <v>69</v>
      </c>
      <c r="I57" s="9" t="s">
        <v>69</v>
      </c>
      <c r="J57" s="9" t="s">
        <v>69</v>
      </c>
      <c r="K57" s="9" t="s">
        <v>91</v>
      </c>
      <c r="L57" s="9" t="s">
        <v>69</v>
      </c>
      <c r="M57" s="9" t="s">
        <v>69</v>
      </c>
      <c r="N57" s="9" t="s">
        <v>69</v>
      </c>
      <c r="O57" s="9" t="s">
        <v>69</v>
      </c>
      <c r="P57" s="9" t="s">
        <v>69</v>
      </c>
      <c r="Q57" s="61" t="s">
        <v>94</v>
      </c>
      <c r="R57" s="9" t="s">
        <v>91</v>
      </c>
      <c r="S57" s="9" t="s">
        <v>69</v>
      </c>
      <c r="T57" s="9" t="s">
        <v>69</v>
      </c>
      <c r="U57" s="9" t="s">
        <v>69</v>
      </c>
      <c r="V57" s="9" t="s">
        <v>69</v>
      </c>
      <c r="W57" s="9" t="s">
        <v>69</v>
      </c>
      <c r="X57" s="62" t="s">
        <v>92</v>
      </c>
      <c r="Y57" s="9" t="s">
        <v>91</v>
      </c>
      <c r="Z57" s="9" t="s">
        <v>69</v>
      </c>
      <c r="AA57" s="9" t="s">
        <v>69</v>
      </c>
      <c r="AB57" s="9" t="s">
        <v>69</v>
      </c>
      <c r="AC57" s="9" t="s">
        <v>69</v>
      </c>
      <c r="AD57" s="9" t="s">
        <v>69</v>
      </c>
      <c r="AE57" s="62" t="s">
        <v>92</v>
      </c>
      <c r="AF57" s="9" t="s">
        <v>91</v>
      </c>
      <c r="AG57" s="9" t="s">
        <v>69</v>
      </c>
      <c r="AH57" s="9" t="s">
        <v>69</v>
      </c>
      <c r="AI57" s="9" t="s">
        <v>69</v>
      </c>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row>
    <row r="58" spans="1:193" ht="18">
      <c r="A58" s="34">
        <v>57</v>
      </c>
      <c r="B58" s="17" t="s">
        <v>56</v>
      </c>
      <c r="C58" s="7">
        <v>1</v>
      </c>
      <c r="D58" s="7">
        <f t="shared" si="1"/>
        <v>0</v>
      </c>
      <c r="E58" s="127">
        <v>1</v>
      </c>
      <c r="F58" s="9" t="s">
        <v>69</v>
      </c>
      <c r="G58" s="9" t="s">
        <v>69</v>
      </c>
      <c r="H58" s="9" t="s">
        <v>69</v>
      </c>
      <c r="I58" s="9" t="s">
        <v>69</v>
      </c>
      <c r="J58" s="9" t="s">
        <v>69</v>
      </c>
      <c r="K58" s="9" t="s">
        <v>91</v>
      </c>
      <c r="L58" s="9" t="s">
        <v>69</v>
      </c>
      <c r="M58" s="9" t="s">
        <v>69</v>
      </c>
      <c r="N58" s="9" t="s">
        <v>69</v>
      </c>
      <c r="O58" s="9" t="s">
        <v>69</v>
      </c>
      <c r="P58" s="9" t="s">
        <v>69</v>
      </c>
      <c r="Q58" s="9" t="s">
        <v>69</v>
      </c>
      <c r="R58" s="9" t="s">
        <v>91</v>
      </c>
      <c r="S58" s="9" t="s">
        <v>69</v>
      </c>
      <c r="T58" s="9" t="s">
        <v>69</v>
      </c>
      <c r="U58" s="9" t="s">
        <v>69</v>
      </c>
      <c r="V58" s="9" t="s">
        <v>69</v>
      </c>
      <c r="W58" s="9" t="s">
        <v>69</v>
      </c>
      <c r="X58" s="9" t="s">
        <v>69</v>
      </c>
      <c r="Y58" s="9" t="s">
        <v>91</v>
      </c>
      <c r="Z58" s="9" t="s">
        <v>69</v>
      </c>
      <c r="AA58" s="9" t="s">
        <v>69</v>
      </c>
      <c r="AB58" s="9" t="s">
        <v>69</v>
      </c>
      <c r="AC58" s="62" t="s">
        <v>74</v>
      </c>
      <c r="AD58" s="9" t="s">
        <v>69</v>
      </c>
      <c r="AE58" s="9" t="s">
        <v>69</v>
      </c>
      <c r="AF58" s="9" t="s">
        <v>91</v>
      </c>
      <c r="AG58" s="9" t="s">
        <v>69</v>
      </c>
      <c r="AH58" s="61" t="s">
        <v>94</v>
      </c>
      <c r="AI58" s="61" t="s">
        <v>94</v>
      </c>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row>
    <row r="59" spans="1:193" ht="18">
      <c r="A59" s="34">
        <v>58</v>
      </c>
      <c r="B59" s="16" t="s">
        <v>105</v>
      </c>
      <c r="C59" s="7">
        <v>0</v>
      </c>
      <c r="D59" s="7">
        <f t="shared" si="1"/>
        <v>23</v>
      </c>
      <c r="E59" s="127">
        <v>23</v>
      </c>
      <c r="F59" s="63" t="s">
        <v>72</v>
      </c>
      <c r="G59" s="63" t="s">
        <v>72</v>
      </c>
      <c r="H59" s="63" t="s">
        <v>72</v>
      </c>
      <c r="I59" s="63" t="s">
        <v>72</v>
      </c>
      <c r="J59" s="63" t="s">
        <v>72</v>
      </c>
      <c r="K59" s="9" t="s">
        <v>91</v>
      </c>
      <c r="L59" s="63" t="s">
        <v>72</v>
      </c>
      <c r="M59" s="63" t="s">
        <v>72</v>
      </c>
      <c r="N59" s="63" t="s">
        <v>72</v>
      </c>
      <c r="O59" s="63" t="s">
        <v>72</v>
      </c>
      <c r="P59" s="63" t="s">
        <v>72</v>
      </c>
      <c r="Q59" s="63" t="s">
        <v>72</v>
      </c>
      <c r="R59" s="9" t="s">
        <v>91</v>
      </c>
      <c r="S59" s="63" t="s">
        <v>72</v>
      </c>
      <c r="T59" s="63" t="s">
        <v>72</v>
      </c>
      <c r="U59" s="63" t="s">
        <v>72</v>
      </c>
      <c r="V59" s="63" t="s">
        <v>72</v>
      </c>
      <c r="W59" s="63" t="s">
        <v>72</v>
      </c>
      <c r="X59" s="63" t="s">
        <v>72</v>
      </c>
      <c r="Y59" s="9" t="s">
        <v>91</v>
      </c>
      <c r="Z59" s="63" t="s">
        <v>72</v>
      </c>
      <c r="AA59" s="9" t="s">
        <v>69</v>
      </c>
      <c r="AB59" s="9" t="s">
        <v>69</v>
      </c>
      <c r="AC59" s="9" t="s">
        <v>69</v>
      </c>
      <c r="AD59" s="9" t="s">
        <v>69</v>
      </c>
      <c r="AE59" s="9" t="s">
        <v>69</v>
      </c>
      <c r="AF59" s="9" t="s">
        <v>91</v>
      </c>
      <c r="AG59" s="9" t="s">
        <v>69</v>
      </c>
      <c r="AH59" s="25" t="s">
        <v>72</v>
      </c>
      <c r="AI59" s="25" t="s">
        <v>72</v>
      </c>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row>
    <row r="60" spans="1:193" ht="18">
      <c r="A60" s="34">
        <v>59</v>
      </c>
      <c r="B60" s="16" t="s">
        <v>57</v>
      </c>
      <c r="C60" s="7">
        <v>1</v>
      </c>
      <c r="D60" s="7">
        <f t="shared" si="1"/>
        <v>0</v>
      </c>
      <c r="E60" s="127">
        <v>1</v>
      </c>
      <c r="F60" s="9" t="s">
        <v>69</v>
      </c>
      <c r="G60" s="9" t="s">
        <v>69</v>
      </c>
      <c r="H60" s="9" t="s">
        <v>69</v>
      </c>
      <c r="I60" s="62" t="s">
        <v>92</v>
      </c>
      <c r="J60" s="9" t="s">
        <v>69</v>
      </c>
      <c r="K60" s="9" t="s">
        <v>91</v>
      </c>
      <c r="L60" s="9" t="s">
        <v>69</v>
      </c>
      <c r="M60" s="9" t="s">
        <v>69</v>
      </c>
      <c r="N60" s="9" t="s">
        <v>69</v>
      </c>
      <c r="O60" s="9" t="s">
        <v>69</v>
      </c>
      <c r="P60" s="9" t="s">
        <v>69</v>
      </c>
      <c r="Q60" s="9" t="s">
        <v>69</v>
      </c>
      <c r="R60" s="9" t="s">
        <v>91</v>
      </c>
      <c r="S60" s="9" t="s">
        <v>69</v>
      </c>
      <c r="T60" s="9" t="s">
        <v>69</v>
      </c>
      <c r="U60" s="9" t="s">
        <v>69</v>
      </c>
      <c r="V60" s="9" t="s">
        <v>69</v>
      </c>
      <c r="W60" s="9" t="s">
        <v>69</v>
      </c>
      <c r="X60" s="9" t="s">
        <v>69</v>
      </c>
      <c r="Y60" s="9" t="s">
        <v>91</v>
      </c>
      <c r="Z60" s="9" t="s">
        <v>69</v>
      </c>
      <c r="AA60" s="9" t="s">
        <v>69</v>
      </c>
      <c r="AB60" s="9" t="s">
        <v>69</v>
      </c>
      <c r="AC60" s="9" t="s">
        <v>69</v>
      </c>
      <c r="AD60" s="9" t="s">
        <v>69</v>
      </c>
      <c r="AE60" s="9" t="s">
        <v>69</v>
      </c>
      <c r="AF60" s="9" t="s">
        <v>91</v>
      </c>
      <c r="AG60" s="9" t="s">
        <v>69</v>
      </c>
      <c r="AH60" s="25" t="s">
        <v>72</v>
      </c>
      <c r="AI60" s="9" t="s">
        <v>69</v>
      </c>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row>
    <row r="61" spans="1:193" ht="18">
      <c r="A61" s="34">
        <v>60</v>
      </c>
      <c r="B61" s="16" t="s">
        <v>80</v>
      </c>
      <c r="C61" s="7">
        <v>0.5</v>
      </c>
      <c r="D61" s="7">
        <f t="shared" si="1"/>
        <v>0</v>
      </c>
      <c r="E61" s="127">
        <v>0.5</v>
      </c>
      <c r="F61" s="9" t="s">
        <v>69</v>
      </c>
      <c r="G61" s="9" t="s">
        <v>69</v>
      </c>
      <c r="H61" s="9" t="s">
        <v>69</v>
      </c>
      <c r="I61" s="9" t="s">
        <v>69</v>
      </c>
      <c r="J61" s="9" t="s">
        <v>69</v>
      </c>
      <c r="K61" s="9" t="s">
        <v>91</v>
      </c>
      <c r="L61" s="9" t="s">
        <v>69</v>
      </c>
      <c r="M61" s="9" t="s">
        <v>69</v>
      </c>
      <c r="N61" s="9" t="s">
        <v>69</v>
      </c>
      <c r="O61" s="9" t="s">
        <v>69</v>
      </c>
      <c r="P61" s="9" t="s">
        <v>69</v>
      </c>
      <c r="Q61" s="62" t="s">
        <v>92</v>
      </c>
      <c r="R61" s="9" t="s">
        <v>91</v>
      </c>
      <c r="S61" s="62" t="s">
        <v>92</v>
      </c>
      <c r="T61" s="9" t="s">
        <v>69</v>
      </c>
      <c r="U61" s="9" t="s">
        <v>69</v>
      </c>
      <c r="V61" s="9" t="s">
        <v>69</v>
      </c>
      <c r="W61" s="9" t="s">
        <v>69</v>
      </c>
      <c r="X61" s="9" t="s">
        <v>69</v>
      </c>
      <c r="Y61" s="9" t="s">
        <v>91</v>
      </c>
      <c r="Z61" s="64" t="s">
        <v>94</v>
      </c>
      <c r="AA61" s="9" t="s">
        <v>69</v>
      </c>
      <c r="AB61" s="9" t="s">
        <v>69</v>
      </c>
      <c r="AC61" s="9" t="s">
        <v>69</v>
      </c>
      <c r="AD61" s="9" t="s">
        <v>69</v>
      </c>
      <c r="AE61" s="9" t="s">
        <v>69</v>
      </c>
      <c r="AF61" s="9" t="s">
        <v>91</v>
      </c>
      <c r="AG61" s="9" t="s">
        <v>69</v>
      </c>
      <c r="AH61" s="9" t="s">
        <v>69</v>
      </c>
      <c r="AI61" s="9" t="s">
        <v>69</v>
      </c>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row>
    <row r="62" spans="1:193" ht="18">
      <c r="A62" s="34">
        <v>61</v>
      </c>
      <c r="B62" s="16" t="s">
        <v>58</v>
      </c>
      <c r="C62" s="7">
        <v>1.5</v>
      </c>
      <c r="D62" s="7">
        <f t="shared" si="1"/>
        <v>0</v>
      </c>
      <c r="E62" s="127">
        <v>1.5</v>
      </c>
      <c r="F62" s="9" t="s">
        <v>69</v>
      </c>
      <c r="G62" s="9" t="s">
        <v>69</v>
      </c>
      <c r="H62" s="9" t="s">
        <v>69</v>
      </c>
      <c r="I62" s="62" t="s">
        <v>92</v>
      </c>
      <c r="J62" s="64" t="s">
        <v>94</v>
      </c>
      <c r="K62" s="9" t="s">
        <v>91</v>
      </c>
      <c r="L62" s="9" t="s">
        <v>69</v>
      </c>
      <c r="M62" s="9" t="s">
        <v>69</v>
      </c>
      <c r="N62" s="9" t="s">
        <v>69</v>
      </c>
      <c r="O62" s="9" t="s">
        <v>69</v>
      </c>
      <c r="P62" s="9" t="s">
        <v>69</v>
      </c>
      <c r="Q62" s="62" t="s">
        <v>92</v>
      </c>
      <c r="R62" s="9" t="s">
        <v>91</v>
      </c>
      <c r="S62" s="9" t="s">
        <v>69</v>
      </c>
      <c r="T62" s="9" t="s">
        <v>69</v>
      </c>
      <c r="U62" s="9" t="s">
        <v>69</v>
      </c>
      <c r="V62" s="25" t="s">
        <v>72</v>
      </c>
      <c r="W62" s="9" t="s">
        <v>69</v>
      </c>
      <c r="X62" s="9" t="s">
        <v>69</v>
      </c>
      <c r="Y62" s="9" t="s">
        <v>91</v>
      </c>
      <c r="Z62" s="9" t="s">
        <v>69</v>
      </c>
      <c r="AA62" s="9" t="s">
        <v>69</v>
      </c>
      <c r="AB62" s="9" t="s">
        <v>69</v>
      </c>
      <c r="AC62" s="9" t="s">
        <v>69</v>
      </c>
      <c r="AD62" s="9" t="s">
        <v>69</v>
      </c>
      <c r="AE62" s="9" t="s">
        <v>69</v>
      </c>
      <c r="AF62" s="9" t="s">
        <v>91</v>
      </c>
      <c r="AG62" s="9" t="s">
        <v>69</v>
      </c>
      <c r="AH62" s="9" t="s">
        <v>69</v>
      </c>
      <c r="AI62" s="9" t="s">
        <v>69</v>
      </c>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row>
    <row r="63" spans="1:193" ht="18">
      <c r="A63" s="34">
        <v>62</v>
      </c>
      <c r="B63" s="17" t="s">
        <v>60</v>
      </c>
      <c r="C63" s="7">
        <v>1</v>
      </c>
      <c r="D63" s="7">
        <f t="shared" si="1"/>
        <v>1</v>
      </c>
      <c r="E63" s="127">
        <v>2</v>
      </c>
      <c r="F63" s="9" t="s">
        <v>69</v>
      </c>
      <c r="G63" s="9" t="s">
        <v>69</v>
      </c>
      <c r="H63" s="9" t="s">
        <v>69</v>
      </c>
      <c r="I63" s="62" t="s">
        <v>92</v>
      </c>
      <c r="J63" s="9" t="s">
        <v>69</v>
      </c>
      <c r="K63" s="9" t="s">
        <v>91</v>
      </c>
      <c r="L63" s="9" t="s">
        <v>69</v>
      </c>
      <c r="M63" s="9" t="s">
        <v>69</v>
      </c>
      <c r="N63" s="9" t="s">
        <v>69</v>
      </c>
      <c r="O63" s="9" t="s">
        <v>69</v>
      </c>
      <c r="P63" s="9" t="s">
        <v>69</v>
      </c>
      <c r="Q63" s="9" t="s">
        <v>69</v>
      </c>
      <c r="R63" s="9" t="s">
        <v>91</v>
      </c>
      <c r="S63" s="9" t="s">
        <v>69</v>
      </c>
      <c r="T63" s="9" t="s">
        <v>69</v>
      </c>
      <c r="U63" s="9" t="s">
        <v>69</v>
      </c>
      <c r="V63" s="9" t="s">
        <v>69</v>
      </c>
      <c r="W63" s="25" t="s">
        <v>72</v>
      </c>
      <c r="X63" s="9" t="s">
        <v>69</v>
      </c>
      <c r="Y63" s="9" t="s">
        <v>91</v>
      </c>
      <c r="Z63" s="9" t="s">
        <v>69</v>
      </c>
      <c r="AA63" s="9" t="s">
        <v>69</v>
      </c>
      <c r="AB63" s="9" t="s">
        <v>69</v>
      </c>
      <c r="AC63" s="62" t="s">
        <v>74</v>
      </c>
      <c r="AD63" s="9" t="s">
        <v>69</v>
      </c>
      <c r="AE63" s="9" t="s">
        <v>69</v>
      </c>
      <c r="AF63" s="9" t="s">
        <v>91</v>
      </c>
      <c r="AG63" s="25" t="s">
        <v>72</v>
      </c>
      <c r="AH63" s="9" t="s">
        <v>69</v>
      </c>
      <c r="AI63" s="9" t="s">
        <v>69</v>
      </c>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row>
    <row r="64" spans="1:193" ht="18">
      <c r="A64" s="34">
        <v>63</v>
      </c>
      <c r="B64" s="70" t="s">
        <v>106</v>
      </c>
      <c r="C64" s="7">
        <v>0</v>
      </c>
      <c r="D64" s="7">
        <f t="shared" si="1"/>
        <v>21.5</v>
      </c>
      <c r="E64" s="127">
        <v>21.5</v>
      </c>
      <c r="F64" s="63" t="s">
        <v>72</v>
      </c>
      <c r="G64" s="63" t="s">
        <v>72</v>
      </c>
      <c r="H64" s="63" t="s">
        <v>72</v>
      </c>
      <c r="I64" s="63" t="s">
        <v>72</v>
      </c>
      <c r="J64" s="63" t="s">
        <v>72</v>
      </c>
      <c r="K64" s="9" t="s">
        <v>91</v>
      </c>
      <c r="L64" s="63" t="s">
        <v>72</v>
      </c>
      <c r="M64" s="63" t="s">
        <v>72</v>
      </c>
      <c r="N64" s="63" t="s">
        <v>72</v>
      </c>
      <c r="O64" s="63" t="s">
        <v>72</v>
      </c>
      <c r="P64" s="63" t="s">
        <v>72</v>
      </c>
      <c r="Q64" s="63" t="s">
        <v>72</v>
      </c>
      <c r="R64" s="9" t="s">
        <v>91</v>
      </c>
      <c r="S64" s="63" t="s">
        <v>72</v>
      </c>
      <c r="T64" s="63" t="s">
        <v>72</v>
      </c>
      <c r="U64" s="63" t="s">
        <v>72</v>
      </c>
      <c r="V64" s="63" t="s">
        <v>72</v>
      </c>
      <c r="W64" s="63" t="s">
        <v>72</v>
      </c>
      <c r="X64" s="63" t="s">
        <v>72</v>
      </c>
      <c r="Y64" s="9" t="s">
        <v>91</v>
      </c>
      <c r="Z64" s="63" t="s">
        <v>72</v>
      </c>
      <c r="AA64" s="9" t="s">
        <v>69</v>
      </c>
      <c r="AB64" s="9" t="s">
        <v>69</v>
      </c>
      <c r="AC64" s="9" t="s">
        <v>69</v>
      </c>
      <c r="AD64" s="9" t="s">
        <v>69</v>
      </c>
      <c r="AE64" s="9" t="s">
        <v>69</v>
      </c>
      <c r="AF64" s="9" t="s">
        <v>91</v>
      </c>
      <c r="AG64" s="9" t="s">
        <v>69</v>
      </c>
      <c r="AH64" s="62" t="s">
        <v>92</v>
      </c>
      <c r="AI64" s="64" t="s">
        <v>94</v>
      </c>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row>
    <row r="65" spans="1:193" ht="18">
      <c r="A65" s="34">
        <v>64</v>
      </c>
      <c r="B65" s="16" t="s">
        <v>61</v>
      </c>
      <c r="C65" s="7">
        <v>0</v>
      </c>
      <c r="D65" s="7">
        <f t="shared" si="1"/>
        <v>0</v>
      </c>
      <c r="E65" s="127">
        <v>0</v>
      </c>
      <c r="F65" s="9" t="s">
        <v>69</v>
      </c>
      <c r="G65" s="9" t="s">
        <v>69</v>
      </c>
      <c r="H65" s="9" t="s">
        <v>69</v>
      </c>
      <c r="I65" s="9" t="s">
        <v>69</v>
      </c>
      <c r="J65" s="62" t="s">
        <v>92</v>
      </c>
      <c r="K65" s="9" t="s">
        <v>91</v>
      </c>
      <c r="L65" s="9" t="s">
        <v>69</v>
      </c>
      <c r="M65" s="9" t="s">
        <v>69</v>
      </c>
      <c r="N65" s="9" t="s">
        <v>69</v>
      </c>
      <c r="O65" s="9" t="s">
        <v>69</v>
      </c>
      <c r="P65" s="9" t="s">
        <v>69</v>
      </c>
      <c r="Q65" s="9" t="s">
        <v>69</v>
      </c>
      <c r="R65" s="9" t="s">
        <v>91</v>
      </c>
      <c r="S65" s="9" t="s">
        <v>69</v>
      </c>
      <c r="T65" s="9" t="s">
        <v>69</v>
      </c>
      <c r="U65" s="9" t="s">
        <v>69</v>
      </c>
      <c r="V65" s="9" t="s">
        <v>69</v>
      </c>
      <c r="W65" s="9" t="s">
        <v>69</v>
      </c>
      <c r="X65" s="9" t="s">
        <v>69</v>
      </c>
      <c r="Y65" s="9" t="s">
        <v>91</v>
      </c>
      <c r="Z65" s="9" t="s">
        <v>69</v>
      </c>
      <c r="AA65" s="9" t="s">
        <v>69</v>
      </c>
      <c r="AB65" s="9" t="s">
        <v>69</v>
      </c>
      <c r="AC65" s="9" t="s">
        <v>69</v>
      </c>
      <c r="AD65" s="9" t="s">
        <v>69</v>
      </c>
      <c r="AE65" s="62" t="s">
        <v>92</v>
      </c>
      <c r="AF65" s="9" t="s">
        <v>91</v>
      </c>
      <c r="AG65" s="9" t="s">
        <v>69</v>
      </c>
      <c r="AH65" s="9" t="s">
        <v>69</v>
      </c>
      <c r="AI65" s="9" t="s">
        <v>69</v>
      </c>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row>
    <row r="66" spans="1:193" ht="18">
      <c r="A66" s="34">
        <v>65</v>
      </c>
      <c r="B66" s="16" t="s">
        <v>62</v>
      </c>
      <c r="C66" s="7">
        <v>5</v>
      </c>
      <c r="D66" s="7">
        <f t="shared" ref="D66:D97" si="2">E66-C66</f>
        <v>0</v>
      </c>
      <c r="E66" s="127">
        <v>5</v>
      </c>
      <c r="F66" s="9" t="s">
        <v>69</v>
      </c>
      <c r="G66" s="9" t="s">
        <v>69</v>
      </c>
      <c r="H66" s="25" t="s">
        <v>72</v>
      </c>
      <c r="I66" s="9" t="s">
        <v>69</v>
      </c>
      <c r="J66" s="9" t="s">
        <v>69</v>
      </c>
      <c r="K66" s="9" t="s">
        <v>91</v>
      </c>
      <c r="L66" s="9" t="s">
        <v>69</v>
      </c>
      <c r="M66" s="9" t="s">
        <v>69</v>
      </c>
      <c r="N66" s="9" t="s">
        <v>69</v>
      </c>
      <c r="O66" s="9" t="s">
        <v>69</v>
      </c>
      <c r="P66" s="62" t="s">
        <v>92</v>
      </c>
      <c r="Q66" s="9" t="s">
        <v>69</v>
      </c>
      <c r="R66" s="9" t="s">
        <v>91</v>
      </c>
      <c r="S66" s="62" t="s">
        <v>92</v>
      </c>
      <c r="T66" s="9" t="s">
        <v>69</v>
      </c>
      <c r="U66" s="9" t="s">
        <v>69</v>
      </c>
      <c r="V66" s="25" t="s">
        <v>72</v>
      </c>
      <c r="W66" s="25" t="s">
        <v>72</v>
      </c>
      <c r="X66" s="25" t="s">
        <v>72</v>
      </c>
      <c r="Y66" s="9" t="s">
        <v>91</v>
      </c>
      <c r="Z66" s="25" t="s">
        <v>72</v>
      </c>
      <c r="AA66" s="9" t="s">
        <v>69</v>
      </c>
      <c r="AB66" s="9" t="s">
        <v>69</v>
      </c>
      <c r="AC66" s="9" t="s">
        <v>69</v>
      </c>
      <c r="AD66" s="9" t="s">
        <v>69</v>
      </c>
      <c r="AE66" s="9" t="s">
        <v>69</v>
      </c>
      <c r="AF66" s="9" t="s">
        <v>91</v>
      </c>
      <c r="AG66" s="9" t="s">
        <v>69</v>
      </c>
      <c r="AH66" s="9" t="s">
        <v>69</v>
      </c>
      <c r="AI66" s="9" t="s">
        <v>69</v>
      </c>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row>
    <row r="67" spans="1:193">
      <c r="A67" s="6"/>
      <c r="B67" s="5"/>
      <c r="C67" s="7"/>
      <c r="D67" s="7"/>
      <c r="E67" s="127"/>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row>
    <row r="68" spans="1:193">
      <c r="A68" s="6"/>
      <c r="B68" s="5"/>
      <c r="C68" s="7"/>
      <c r="D68" s="7"/>
      <c r="E68" s="127"/>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row>
    <row r="69" spans="1:193">
      <c r="A69" s="6"/>
      <c r="B69" s="5"/>
      <c r="C69" s="7"/>
      <c r="D69" s="7"/>
      <c r="E69" s="127"/>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row>
    <row r="70" spans="1:193">
      <c r="A70" s="6"/>
      <c r="B70" s="5"/>
      <c r="C70" s="7"/>
      <c r="D70" s="7"/>
      <c r="E70" s="127"/>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row>
    <row r="71" spans="1:193">
      <c r="A71" s="10"/>
      <c r="B71" s="41"/>
      <c r="C71" s="10"/>
      <c r="D71" s="10"/>
      <c r="E71" s="128"/>
      <c r="F71" s="32"/>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row>
    <row r="72" spans="1:193">
      <c r="A72" s="10"/>
      <c r="B72" s="41"/>
      <c r="C72" s="10"/>
      <c r="D72" s="10"/>
      <c r="E72" s="128"/>
      <c r="F72" s="32"/>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row>
    <row r="73" spans="1:193">
      <c r="A73" s="10"/>
      <c r="B73" s="41"/>
      <c r="C73" s="10"/>
      <c r="D73" s="10"/>
      <c r="E73" s="128"/>
      <c r="F73" s="32"/>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row>
    <row r="74" spans="1:193">
      <c r="A74" s="10"/>
      <c r="B74" s="41"/>
      <c r="C74" s="10"/>
      <c r="D74" s="10"/>
      <c r="E74" s="128"/>
      <c r="F74" s="32"/>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row>
    <row r="75" spans="1:193">
      <c r="A75" s="10"/>
      <c r="B75" s="41"/>
      <c r="C75" s="10"/>
      <c r="D75" s="10"/>
      <c r="E75" s="128"/>
      <c r="F75" s="32"/>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row>
    <row r="76" spans="1:193">
      <c r="A76" s="10"/>
      <c r="B76" s="41"/>
      <c r="C76" s="10"/>
      <c r="D76" s="10"/>
      <c r="E76" s="128"/>
      <c r="F76" s="32"/>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row>
    <row r="77" spans="1:193">
      <c r="A77" s="10"/>
      <c r="B77" s="41"/>
      <c r="C77" s="10"/>
      <c r="D77" s="10"/>
      <c r="E77" s="128"/>
      <c r="F77" s="32"/>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row>
    <row r="78" spans="1:193">
      <c r="A78" s="10"/>
      <c r="B78" s="41"/>
      <c r="C78" s="10"/>
      <c r="D78" s="10"/>
      <c r="E78" s="128"/>
      <c r="F78" s="32"/>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row>
    <row r="79" spans="1:193">
      <c r="A79" s="10"/>
      <c r="B79" s="41"/>
      <c r="C79" s="10"/>
      <c r="D79" s="10"/>
      <c r="E79" s="128"/>
      <c r="F79" s="32"/>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row>
    <row r="80" spans="1:193">
      <c r="A80" s="10"/>
      <c r="B80" s="41"/>
      <c r="C80" s="10"/>
      <c r="D80" s="10"/>
      <c r="E80" s="128"/>
      <c r="F80" s="32"/>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row>
    <row r="81" spans="1:193">
      <c r="A81" s="10"/>
      <c r="B81" s="41"/>
      <c r="C81" s="10"/>
      <c r="D81" s="10"/>
      <c r="E81" s="128"/>
      <c r="F81" s="32"/>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row>
    <row r="82" spans="1:193">
      <c r="A82" s="10"/>
      <c r="B82" s="41"/>
      <c r="C82" s="10"/>
      <c r="D82" s="10"/>
      <c r="E82" s="128"/>
      <c r="F82" s="32"/>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row>
    <row r="83" spans="1:193">
      <c r="A83" s="10"/>
      <c r="B83" s="41"/>
      <c r="C83" s="10"/>
      <c r="D83" s="10"/>
      <c r="E83" s="128"/>
      <c r="F83" s="32"/>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row>
    <row r="84" spans="1:193">
      <c r="A84" s="10"/>
      <c r="B84" s="41"/>
      <c r="C84" s="10"/>
      <c r="D84" s="10"/>
      <c r="E84" s="128"/>
      <c r="F84" s="32"/>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row>
    <row r="85" spans="1:193">
      <c r="A85" s="10"/>
      <c r="B85" s="41"/>
      <c r="C85" s="10"/>
      <c r="D85" s="10"/>
      <c r="E85" s="128"/>
      <c r="F85" s="32"/>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row>
    <row r="86" spans="1:193">
      <c r="A86" s="10"/>
      <c r="B86" s="41"/>
      <c r="C86" s="10"/>
      <c r="D86" s="10"/>
      <c r="E86" s="128"/>
      <c r="F86" s="32"/>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row>
    <row r="87" spans="1:193">
      <c r="A87" s="10"/>
      <c r="B87" s="41"/>
      <c r="C87" s="10"/>
      <c r="D87" s="10"/>
      <c r="E87" s="128"/>
      <c r="F87" s="32"/>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row>
    <row r="88" spans="1:193">
      <c r="A88" s="10"/>
      <c r="B88" s="41"/>
      <c r="C88" s="10"/>
      <c r="D88" s="10"/>
      <c r="E88" s="128"/>
      <c r="F88" s="32"/>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row>
    <row r="89" spans="1:193">
      <c r="A89" s="10"/>
      <c r="B89" s="41"/>
      <c r="C89" s="10"/>
      <c r="D89" s="10"/>
      <c r="E89" s="128"/>
      <c r="F89" s="32"/>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row>
    <row r="90" spans="1:193">
      <c r="A90" s="10"/>
      <c r="B90" s="41"/>
      <c r="C90" s="10"/>
      <c r="D90" s="10"/>
      <c r="E90" s="128"/>
      <c r="F90" s="32"/>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row>
    <row r="91" spans="1:193">
      <c r="A91" s="10"/>
      <c r="B91" s="41"/>
      <c r="C91" s="10"/>
      <c r="D91" s="10"/>
      <c r="E91" s="128"/>
      <c r="F91" s="32"/>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row>
    <row r="92" spans="1:193">
      <c r="A92" s="10"/>
      <c r="B92" s="41"/>
      <c r="C92" s="10"/>
      <c r="D92" s="10"/>
      <c r="E92" s="128"/>
      <c r="F92" s="32"/>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row>
    <row r="93" spans="1:193">
      <c r="A93" s="10"/>
      <c r="B93" s="41"/>
      <c r="C93" s="10"/>
      <c r="D93" s="10"/>
      <c r="E93" s="128"/>
      <c r="F93" s="32"/>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row>
    <row r="94" spans="1:193">
      <c r="A94" s="10"/>
      <c r="B94" s="41"/>
      <c r="C94" s="10"/>
      <c r="D94" s="10"/>
      <c r="E94" s="128"/>
      <c r="F94" s="32"/>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row>
    <row r="95" spans="1:193">
      <c r="A95" s="10"/>
      <c r="B95" s="41"/>
      <c r="C95" s="10"/>
      <c r="D95" s="10"/>
      <c r="E95" s="128"/>
      <c r="F95" s="32"/>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row>
    <row r="96" spans="1:193">
      <c r="A96" s="10"/>
      <c r="B96" s="41"/>
      <c r="C96" s="10"/>
      <c r="D96" s="10"/>
      <c r="E96" s="128"/>
      <c r="F96" s="32"/>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row>
    <row r="97" spans="1:193">
      <c r="A97" s="10"/>
      <c r="B97" s="41"/>
      <c r="C97" s="10"/>
      <c r="D97" s="10"/>
      <c r="E97" s="128"/>
      <c r="F97" s="32"/>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row>
    <row r="98" spans="1:193">
      <c r="A98" s="10"/>
      <c r="B98" s="41"/>
      <c r="C98" s="10"/>
      <c r="D98" s="10"/>
      <c r="E98" s="128"/>
      <c r="F98" s="32"/>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row>
    <row r="99" spans="1:193">
      <c r="A99" s="10"/>
      <c r="B99" s="41"/>
      <c r="C99" s="10"/>
      <c r="D99" s="10"/>
      <c r="E99" s="128"/>
      <c r="F99" s="32"/>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row>
    <row r="100" spans="1:193">
      <c r="A100" s="10"/>
      <c r="B100" s="41"/>
      <c r="C100" s="10"/>
      <c r="D100" s="10"/>
      <c r="E100" s="128"/>
      <c r="F100" s="32"/>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row>
    <row r="101" spans="1:193">
      <c r="A101" s="10"/>
      <c r="B101" s="41"/>
      <c r="C101" s="10"/>
      <c r="D101" s="10"/>
      <c r="E101" s="128"/>
      <c r="F101" s="32"/>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row>
    <row r="102" spans="1:193">
      <c r="A102" s="10"/>
      <c r="B102" s="41"/>
      <c r="C102" s="10"/>
      <c r="D102" s="10"/>
      <c r="E102" s="128"/>
      <c r="F102" s="32"/>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row>
    <row r="103" spans="1:193">
      <c r="A103" s="10"/>
      <c r="B103" s="41"/>
      <c r="C103" s="10"/>
      <c r="D103" s="10"/>
      <c r="E103" s="128"/>
      <c r="F103" s="32"/>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row>
    <row r="104" spans="1:193">
      <c r="A104" s="10"/>
      <c r="B104" s="41"/>
      <c r="C104" s="10"/>
      <c r="D104" s="10"/>
      <c r="E104" s="128"/>
      <c r="F104" s="32"/>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row>
    <row r="105" spans="1:193">
      <c r="A105" s="10"/>
      <c r="B105" s="41"/>
      <c r="C105" s="10"/>
      <c r="D105" s="10"/>
      <c r="E105" s="128"/>
      <c r="F105" s="32"/>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row>
    <row r="106" spans="1:193">
      <c r="A106" s="10"/>
      <c r="B106" s="41"/>
      <c r="C106" s="10"/>
      <c r="D106" s="10"/>
      <c r="E106" s="128"/>
      <c r="F106" s="32"/>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row>
    <row r="107" spans="1:193">
      <c r="A107" s="10"/>
      <c r="B107" s="41"/>
      <c r="C107" s="10"/>
      <c r="D107" s="10"/>
      <c r="E107" s="128"/>
      <c r="F107" s="32"/>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row>
    <row r="108" spans="1:193">
      <c r="A108" s="10"/>
      <c r="B108" s="41"/>
      <c r="C108" s="10"/>
      <c r="D108" s="10"/>
      <c r="E108" s="128"/>
      <c r="F108" s="32"/>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row>
    <row r="109" spans="1:193">
      <c r="A109" s="10"/>
      <c r="B109" s="41"/>
      <c r="C109" s="10"/>
      <c r="D109" s="10"/>
      <c r="E109" s="128"/>
      <c r="F109" s="32"/>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row>
    <row r="110" spans="1:193">
      <c r="A110" s="10"/>
      <c r="B110" s="41"/>
      <c r="C110" s="10"/>
      <c r="D110" s="10"/>
      <c r="E110" s="128"/>
      <c r="F110" s="32"/>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row>
    <row r="111" spans="1:193">
      <c r="A111" s="10"/>
      <c r="B111" s="41"/>
      <c r="C111" s="10"/>
      <c r="D111" s="10"/>
      <c r="E111" s="128"/>
      <c r="F111" s="32"/>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row>
    <row r="112" spans="1:193">
      <c r="A112" s="10"/>
      <c r="B112" s="41"/>
      <c r="C112" s="10"/>
      <c r="D112" s="10"/>
      <c r="E112" s="128"/>
      <c r="F112" s="32"/>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row>
    <row r="113" spans="1:40">
      <c r="A113" s="10"/>
      <c r="B113" s="41"/>
      <c r="C113" s="10"/>
      <c r="D113" s="10"/>
      <c r="E113" s="128"/>
      <c r="F113" s="32"/>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row>
    <row r="114" spans="1:40">
      <c r="A114" s="10"/>
      <c r="B114" s="41"/>
      <c r="C114" s="10"/>
      <c r="D114" s="10"/>
      <c r="E114" s="128"/>
      <c r="F114" s="32"/>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row>
    <row r="115" spans="1:40">
      <c r="A115" s="10"/>
      <c r="B115" s="41"/>
      <c r="C115" s="10"/>
      <c r="D115" s="10"/>
      <c r="E115" s="128"/>
      <c r="F115" s="32"/>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row>
    <row r="116" spans="1:40">
      <c r="A116" s="10"/>
      <c r="B116" s="41"/>
      <c r="C116" s="10"/>
      <c r="D116" s="10"/>
      <c r="E116" s="128"/>
      <c r="F116" s="32"/>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row>
    <row r="117" spans="1:40">
      <c r="A117" s="10"/>
      <c r="B117" s="41"/>
      <c r="C117" s="10"/>
      <c r="D117" s="10"/>
      <c r="E117" s="128"/>
      <c r="F117" s="32"/>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row>
    <row r="118" spans="1:40">
      <c r="A118" s="10"/>
      <c r="B118" s="41"/>
      <c r="C118" s="10"/>
      <c r="D118" s="10"/>
      <c r="E118" s="128"/>
      <c r="F118" s="32"/>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row>
    <row r="119" spans="1:40">
      <c r="A119" s="10"/>
      <c r="B119" s="41"/>
      <c r="C119" s="10"/>
      <c r="D119" s="10"/>
      <c r="E119" s="128"/>
      <c r="F119" s="32"/>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row>
    <row r="120" spans="1:40">
      <c r="A120" s="10"/>
      <c r="B120" s="41"/>
      <c r="C120" s="10"/>
      <c r="D120" s="10"/>
      <c r="E120" s="128"/>
      <c r="F120" s="32"/>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row>
    <row r="121" spans="1:40">
      <c r="A121" s="10"/>
      <c r="B121" s="41"/>
      <c r="C121" s="10"/>
      <c r="D121" s="10"/>
      <c r="E121" s="128"/>
      <c r="F121" s="32"/>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row>
    <row r="122" spans="1:40">
      <c r="A122" s="10"/>
      <c r="B122" s="41"/>
      <c r="C122" s="10"/>
      <c r="D122" s="10"/>
      <c r="E122" s="128"/>
      <c r="F122" s="32"/>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row>
    <row r="123" spans="1:40">
      <c r="A123" s="10"/>
      <c r="B123" s="41"/>
      <c r="C123" s="10"/>
      <c r="D123" s="10"/>
      <c r="E123" s="128"/>
      <c r="F123" s="32"/>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row>
    <row r="124" spans="1:40">
      <c r="A124" s="10"/>
      <c r="B124" s="41"/>
      <c r="C124" s="10"/>
      <c r="D124" s="10"/>
      <c r="E124" s="128"/>
      <c r="F124" s="32"/>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row>
    <row r="125" spans="1:40">
      <c r="A125" s="10"/>
      <c r="B125" s="41"/>
      <c r="C125" s="10"/>
      <c r="D125" s="10"/>
      <c r="E125" s="128"/>
      <c r="F125" s="32"/>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row>
    <row r="126" spans="1:40">
      <c r="A126" s="10"/>
      <c r="B126" s="41"/>
      <c r="C126" s="10"/>
      <c r="D126" s="10"/>
      <c r="E126" s="128"/>
      <c r="F126" s="32"/>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row>
    <row r="127" spans="1:40">
      <c r="A127" s="10"/>
      <c r="B127" s="41"/>
      <c r="C127" s="10"/>
      <c r="D127" s="10"/>
      <c r="E127" s="128"/>
      <c r="F127" s="32"/>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row>
    <row r="128" spans="1:40">
      <c r="A128" s="10"/>
      <c r="B128" s="41"/>
      <c r="C128" s="10"/>
      <c r="D128" s="10"/>
      <c r="E128" s="128"/>
      <c r="F128" s="32"/>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row>
    <row r="129" spans="1:40">
      <c r="A129" s="10"/>
      <c r="B129" s="41"/>
      <c r="C129" s="10"/>
      <c r="D129" s="10"/>
      <c r="E129" s="128"/>
      <c r="F129" s="32"/>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row>
    <row r="130" spans="1:40">
      <c r="A130" s="10"/>
      <c r="B130" s="41"/>
      <c r="C130" s="10"/>
      <c r="D130" s="10"/>
      <c r="E130" s="128"/>
      <c r="F130" s="32"/>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row>
    <row r="131" spans="1:40">
      <c r="A131" s="10"/>
      <c r="B131" s="41"/>
      <c r="C131" s="10"/>
      <c r="D131" s="10"/>
      <c r="E131" s="128"/>
      <c r="F131" s="32"/>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row>
    <row r="132" spans="1:40">
      <c r="A132" s="10"/>
      <c r="B132" s="41"/>
      <c r="C132" s="10"/>
      <c r="D132" s="10"/>
      <c r="E132" s="128"/>
      <c r="F132" s="32"/>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row>
    <row r="133" spans="1:40">
      <c r="A133" s="10"/>
      <c r="B133" s="41"/>
      <c r="C133" s="10"/>
      <c r="D133" s="10"/>
      <c r="E133" s="128"/>
      <c r="F133" s="32"/>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row>
    <row r="134" spans="1:40">
      <c r="A134" s="10"/>
      <c r="B134" s="41"/>
      <c r="C134" s="10"/>
      <c r="D134" s="10"/>
      <c r="E134" s="128"/>
      <c r="F134" s="32"/>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row>
    <row r="135" spans="1:40">
      <c r="A135" s="10"/>
      <c r="B135" s="41"/>
      <c r="C135" s="10"/>
      <c r="D135" s="10"/>
      <c r="E135" s="128"/>
      <c r="F135" s="32"/>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row>
    <row r="136" spans="1:40">
      <c r="A136" s="10"/>
      <c r="B136" s="41"/>
      <c r="C136" s="10"/>
      <c r="D136" s="10"/>
      <c r="E136" s="128"/>
      <c r="F136" s="32"/>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row>
    <row r="137" spans="1:40">
      <c r="A137" s="10"/>
      <c r="B137" s="41"/>
      <c r="C137" s="10"/>
      <c r="D137" s="10"/>
      <c r="E137" s="128"/>
      <c r="F137" s="32"/>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row>
    <row r="138" spans="1:40">
      <c r="A138" s="10"/>
      <c r="B138" s="41"/>
      <c r="C138" s="10"/>
      <c r="D138" s="10"/>
      <c r="E138" s="128"/>
      <c r="F138" s="32"/>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row>
    <row r="139" spans="1:40">
      <c r="A139" s="10"/>
      <c r="B139" s="41"/>
      <c r="C139" s="10"/>
      <c r="D139" s="10"/>
      <c r="E139" s="128"/>
      <c r="F139" s="32"/>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row>
    <row r="140" spans="1:40">
      <c r="A140" s="10"/>
      <c r="B140" s="41"/>
      <c r="C140" s="10"/>
      <c r="D140" s="10"/>
      <c r="E140" s="128"/>
      <c r="F140" s="32"/>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row>
    <row r="141" spans="1:40">
      <c r="A141" s="10"/>
      <c r="B141" s="41"/>
      <c r="C141" s="10"/>
      <c r="D141" s="10"/>
      <c r="E141" s="128"/>
      <c r="F141" s="32"/>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row>
    <row r="142" spans="1:40">
      <c r="A142" s="10"/>
      <c r="B142" s="41"/>
      <c r="C142" s="10"/>
      <c r="D142" s="10"/>
      <c r="E142" s="128"/>
      <c r="F142" s="32"/>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row>
    <row r="143" spans="1:40">
      <c r="A143" s="10"/>
      <c r="B143" s="41"/>
      <c r="C143" s="10"/>
      <c r="D143" s="10"/>
      <c r="E143" s="128"/>
      <c r="F143" s="32"/>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row>
    <row r="144" spans="1:40">
      <c r="A144" s="10"/>
      <c r="B144" s="41"/>
      <c r="C144" s="10"/>
      <c r="D144" s="10"/>
      <c r="E144" s="128"/>
      <c r="F144" s="32"/>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row>
    <row r="145" spans="1:128">
      <c r="A145" s="10"/>
      <c r="B145" s="41"/>
      <c r="C145" s="10"/>
      <c r="D145" s="10"/>
      <c r="E145" s="128"/>
      <c r="F145" s="32"/>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row>
    <row r="146" spans="1:128">
      <c r="A146" s="10"/>
      <c r="B146" s="41"/>
      <c r="C146" s="10"/>
      <c r="D146" s="10"/>
      <c r="E146" s="128"/>
      <c r="F146" s="32"/>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row>
    <row r="147" spans="1:128">
      <c r="A147" s="10"/>
      <c r="B147" s="41"/>
      <c r="C147" s="10"/>
      <c r="D147" s="10"/>
      <c r="E147" s="128"/>
      <c r="F147" s="32"/>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row>
    <row r="148" spans="1:128">
      <c r="A148" s="10"/>
      <c r="B148" s="41"/>
      <c r="C148" s="10"/>
      <c r="D148" s="10"/>
      <c r="E148" s="128"/>
      <c r="F148" s="32"/>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row>
    <row r="149" spans="1:128">
      <c r="A149" s="10"/>
      <c r="B149" s="41"/>
      <c r="C149" s="10"/>
      <c r="D149" s="10"/>
      <c r="E149" s="128"/>
      <c r="F149" s="32"/>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row>
    <row r="150" spans="1:128">
      <c r="A150" s="10"/>
      <c r="B150" s="41"/>
      <c r="C150" s="10"/>
      <c r="D150" s="10"/>
      <c r="E150" s="128"/>
      <c r="F150" s="32"/>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row>
    <row r="151" spans="1:128">
      <c r="A151" s="10"/>
      <c r="B151" s="41"/>
      <c r="C151" s="10"/>
      <c r="D151" s="10"/>
      <c r="E151" s="128"/>
      <c r="F151" s="32"/>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row>
    <row r="152" spans="1:128">
      <c r="A152" s="10"/>
      <c r="B152" s="41"/>
      <c r="C152" s="10"/>
      <c r="D152" s="10"/>
      <c r="E152" s="128"/>
      <c r="F152" s="32"/>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row>
    <row r="153" spans="1:128">
      <c r="A153" s="10"/>
      <c r="B153" s="41"/>
      <c r="C153" s="10"/>
      <c r="D153" s="10"/>
      <c r="E153" s="128"/>
      <c r="F153" s="32"/>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row>
    <row r="154" spans="1:128">
      <c r="A154" s="10"/>
      <c r="B154" s="41"/>
      <c r="C154" s="10"/>
      <c r="D154" s="10"/>
      <c r="E154" s="128"/>
      <c r="F154" s="32"/>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row>
    <row r="155" spans="1:128">
      <c r="A155" s="10"/>
      <c r="B155" s="41"/>
      <c r="C155" s="10"/>
      <c r="D155" s="10"/>
      <c r="E155" s="128"/>
      <c r="F155" s="32"/>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row>
    <row r="156" spans="1:128">
      <c r="A156" s="10"/>
      <c r="B156" s="41"/>
      <c r="C156" s="10"/>
      <c r="D156" s="10"/>
      <c r="E156" s="128"/>
      <c r="F156" s="32"/>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row>
    <row r="157" spans="1:128">
      <c r="A157" s="10"/>
      <c r="B157" s="41"/>
      <c r="C157" s="10"/>
      <c r="D157" s="10"/>
      <c r="E157" s="128"/>
      <c r="F157" s="32"/>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row>
    <row r="158" spans="1:128">
      <c r="A158" s="10"/>
      <c r="B158" s="41"/>
      <c r="C158" s="10"/>
      <c r="D158" s="10"/>
      <c r="E158" s="128"/>
      <c r="F158" s="32"/>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row>
    <row r="159" spans="1:128">
      <c r="A159" s="10"/>
      <c r="B159" s="41"/>
      <c r="C159" s="10"/>
      <c r="D159" s="10"/>
      <c r="E159" s="128"/>
      <c r="F159" s="32"/>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row>
    <row r="160" spans="1:128">
      <c r="A160" s="10"/>
      <c r="B160" s="41"/>
      <c r="C160" s="10"/>
      <c r="D160" s="10"/>
      <c r="E160" s="128"/>
      <c r="F160" s="32"/>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row>
    <row r="161" spans="1:128">
      <c r="A161" s="10"/>
      <c r="B161" s="41"/>
      <c r="C161" s="10"/>
      <c r="D161" s="10"/>
      <c r="E161" s="128"/>
      <c r="F161" s="32"/>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row>
    <row r="162" spans="1:128">
      <c r="A162" s="10"/>
      <c r="B162" s="41"/>
      <c r="C162" s="10"/>
      <c r="D162" s="10"/>
      <c r="E162" s="128"/>
      <c r="F162" s="32"/>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row>
    <row r="163" spans="1:128">
      <c r="A163" s="10"/>
      <c r="B163" s="41"/>
      <c r="C163" s="10"/>
      <c r="D163" s="10"/>
      <c r="E163" s="128"/>
      <c r="F163" s="32"/>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row>
    <row r="164" spans="1:128">
      <c r="A164" s="10"/>
      <c r="B164" s="41"/>
      <c r="C164" s="10"/>
      <c r="D164" s="10"/>
      <c r="E164" s="128"/>
      <c r="F164" s="32"/>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row>
    <row r="165" spans="1:128">
      <c r="A165" s="10"/>
      <c r="B165" s="41"/>
      <c r="C165" s="10"/>
      <c r="D165" s="10"/>
      <c r="E165" s="128"/>
      <c r="F165" s="32"/>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row>
    <row r="166" spans="1:128">
      <c r="A166" s="10"/>
      <c r="B166" s="41"/>
      <c r="C166" s="10"/>
      <c r="D166" s="10"/>
      <c r="E166" s="128"/>
      <c r="F166" s="32"/>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row>
    <row r="167" spans="1:128">
      <c r="A167" s="10"/>
      <c r="B167" s="41"/>
      <c r="C167" s="10"/>
      <c r="D167" s="10"/>
      <c r="E167" s="128"/>
      <c r="F167" s="32"/>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row>
    <row r="168" spans="1:128">
      <c r="A168" s="10"/>
      <c r="B168" s="41"/>
      <c r="C168" s="10"/>
      <c r="D168" s="10"/>
      <c r="E168" s="128"/>
      <c r="F168" s="32"/>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row>
    <row r="169" spans="1:128">
      <c r="A169" s="10"/>
      <c r="B169" s="41"/>
      <c r="C169" s="10"/>
      <c r="D169" s="10"/>
      <c r="E169" s="128"/>
      <c r="F169" s="32"/>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row>
    <row r="170" spans="1:128">
      <c r="A170" s="10"/>
      <c r="B170" s="41"/>
      <c r="C170" s="10"/>
      <c r="D170" s="10"/>
      <c r="E170" s="128"/>
      <c r="F170" s="32"/>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row>
    <row r="171" spans="1:128">
      <c r="A171" s="10"/>
      <c r="B171" s="41"/>
      <c r="C171" s="10"/>
      <c r="D171" s="10"/>
      <c r="E171" s="128"/>
      <c r="F171" s="32"/>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row>
    <row r="172" spans="1:128">
      <c r="A172" s="10"/>
      <c r="B172" s="41"/>
      <c r="C172" s="10"/>
      <c r="D172" s="10"/>
      <c r="E172" s="128"/>
      <c r="F172" s="32"/>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row>
    <row r="173" spans="1:128">
      <c r="A173" s="10"/>
      <c r="B173" s="41"/>
      <c r="C173" s="10"/>
      <c r="D173" s="10"/>
      <c r="E173" s="128"/>
      <c r="F173" s="32"/>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row>
    <row r="174" spans="1:128">
      <c r="A174" s="10"/>
      <c r="B174" s="41"/>
      <c r="C174" s="10"/>
      <c r="D174" s="10"/>
      <c r="E174" s="128"/>
      <c r="F174" s="32"/>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row>
    <row r="175" spans="1:128">
      <c r="A175" s="10"/>
      <c r="B175" s="41"/>
      <c r="C175" s="10"/>
      <c r="D175" s="10"/>
      <c r="E175" s="128"/>
      <c r="F175" s="32"/>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row>
    <row r="176" spans="1:128">
      <c r="A176" s="10"/>
      <c r="B176" s="41"/>
      <c r="C176" s="10"/>
      <c r="D176" s="10"/>
      <c r="E176" s="128"/>
      <c r="F176" s="32"/>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row>
    <row r="177" spans="1:128">
      <c r="A177" s="10"/>
      <c r="B177" s="41"/>
      <c r="C177" s="10"/>
      <c r="D177" s="10"/>
      <c r="E177" s="128"/>
      <c r="F177" s="32"/>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row>
    <row r="178" spans="1:128">
      <c r="A178" s="10"/>
      <c r="B178" s="41"/>
      <c r="C178" s="10"/>
      <c r="D178" s="10"/>
      <c r="E178" s="128"/>
      <c r="F178" s="32"/>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row>
    <row r="179" spans="1:128">
      <c r="A179" s="10"/>
      <c r="B179" s="41"/>
      <c r="C179" s="10"/>
      <c r="D179" s="10"/>
      <c r="E179" s="128"/>
      <c r="F179" s="32"/>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row>
    <row r="180" spans="1:128">
      <c r="A180" s="10"/>
      <c r="B180" s="41"/>
      <c r="C180" s="10"/>
      <c r="D180" s="10"/>
      <c r="E180" s="128"/>
      <c r="F180" s="32"/>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row>
    <row r="181" spans="1:128">
      <c r="A181" s="10"/>
      <c r="B181" s="41"/>
      <c r="C181" s="10"/>
      <c r="D181" s="10"/>
      <c r="E181" s="128"/>
      <c r="F181" s="32"/>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row>
    <row r="182" spans="1:128">
      <c r="A182" s="10"/>
      <c r="B182" s="41"/>
      <c r="C182" s="10"/>
      <c r="D182" s="10"/>
      <c r="E182" s="128"/>
      <c r="F182" s="32"/>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row>
    <row r="183" spans="1:128">
      <c r="A183" s="10"/>
      <c r="B183" s="41"/>
      <c r="C183" s="10"/>
      <c r="D183" s="10"/>
      <c r="E183" s="128"/>
      <c r="F183" s="32"/>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row>
    <row r="184" spans="1:128">
      <c r="A184" s="10"/>
      <c r="B184" s="41"/>
      <c r="C184" s="10"/>
      <c r="D184" s="10"/>
      <c r="E184" s="128"/>
      <c r="F184" s="32"/>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row>
    <row r="185" spans="1:128">
      <c r="A185" s="10"/>
      <c r="B185" s="41"/>
      <c r="C185" s="10"/>
      <c r="D185" s="10"/>
      <c r="E185" s="128"/>
      <c r="F185" s="32"/>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row>
    <row r="186" spans="1:128">
      <c r="A186" s="10"/>
      <c r="B186" s="41"/>
      <c r="C186" s="10"/>
      <c r="D186" s="10"/>
      <c r="E186" s="128"/>
      <c r="F186" s="32"/>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row>
    <row r="187" spans="1:128">
      <c r="A187" s="10"/>
      <c r="B187" s="41"/>
      <c r="C187" s="10"/>
      <c r="D187" s="10"/>
      <c r="E187" s="128"/>
      <c r="F187" s="32"/>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row>
    <row r="188" spans="1:128">
      <c r="A188" s="10"/>
      <c r="B188" s="41"/>
      <c r="C188" s="10"/>
      <c r="D188" s="10"/>
      <c r="E188" s="128"/>
      <c r="F188" s="32"/>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row>
    <row r="189" spans="1:128">
      <c r="A189" s="10"/>
      <c r="B189" s="41"/>
      <c r="C189" s="10"/>
      <c r="D189" s="10"/>
      <c r="E189" s="128"/>
      <c r="F189" s="32"/>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row>
    <row r="190" spans="1:128">
      <c r="A190" s="10"/>
      <c r="B190" s="41"/>
      <c r="C190" s="10"/>
      <c r="D190" s="10"/>
      <c r="E190" s="128"/>
      <c r="F190" s="32"/>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row>
    <row r="191" spans="1:128">
      <c r="A191" s="10"/>
      <c r="B191" s="41"/>
      <c r="C191" s="10"/>
      <c r="D191" s="10"/>
      <c r="E191" s="128"/>
      <c r="F191" s="32"/>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row>
    <row r="192" spans="1:128">
      <c r="A192" s="10"/>
      <c r="B192" s="41"/>
      <c r="C192" s="10"/>
      <c r="D192" s="10"/>
      <c r="E192" s="128"/>
      <c r="F192" s="32"/>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row>
    <row r="193" spans="1:128">
      <c r="A193" s="10"/>
      <c r="B193" s="41"/>
      <c r="C193" s="10"/>
      <c r="D193" s="10"/>
      <c r="E193" s="128"/>
      <c r="F193" s="32"/>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row>
    <row r="194" spans="1:128">
      <c r="A194" s="10"/>
      <c r="B194" s="41"/>
      <c r="C194" s="10"/>
      <c r="D194" s="10"/>
      <c r="E194" s="128"/>
      <c r="F194" s="32"/>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row>
    <row r="195" spans="1:128">
      <c r="B195" s="56"/>
    </row>
    <row r="196" spans="1:128">
      <c r="B196" s="56"/>
    </row>
    <row r="197" spans="1:128">
      <c r="B197" s="56"/>
    </row>
    <row r="198" spans="1:128">
      <c r="B198" s="56"/>
    </row>
    <row r="199" spans="1:128">
      <c r="B199" s="56"/>
    </row>
    <row r="200" spans="1:128">
      <c r="B200" s="56"/>
    </row>
    <row r="201" spans="1:128">
      <c r="B201" s="56"/>
    </row>
    <row r="202" spans="1:128">
      <c r="B202" s="56"/>
    </row>
    <row r="203" spans="1:128">
      <c r="B203" s="56"/>
    </row>
    <row r="204" spans="1:128">
      <c r="B204" s="56"/>
    </row>
    <row r="205" spans="1:128">
      <c r="B205" s="56"/>
    </row>
    <row r="206" spans="1:128">
      <c r="B206" s="56"/>
    </row>
    <row r="207" spans="1:128">
      <c r="B207" s="56"/>
    </row>
    <row r="208" spans="1:128">
      <c r="B208" s="56"/>
    </row>
    <row r="209" spans="2:2">
      <c r="B209" s="56"/>
    </row>
    <row r="210" spans="2:2">
      <c r="B210" s="56"/>
    </row>
    <row r="211" spans="2:2">
      <c r="B211" s="56"/>
    </row>
    <row r="212" spans="2:2">
      <c r="B212" s="56"/>
    </row>
    <row r="213" spans="2:2">
      <c r="B213" s="56"/>
    </row>
    <row r="214" spans="2:2">
      <c r="B214" s="56"/>
    </row>
    <row r="215" spans="2:2">
      <c r="B215" s="56"/>
    </row>
    <row r="216" spans="2:2">
      <c r="B216" s="56"/>
    </row>
    <row r="217" spans="2:2">
      <c r="B217" s="56"/>
    </row>
    <row r="218" spans="2:2">
      <c r="B218" s="56"/>
    </row>
    <row r="219" spans="2:2">
      <c r="B219" s="56"/>
    </row>
    <row r="220" spans="2:2">
      <c r="B220" s="56"/>
    </row>
    <row r="221" spans="2:2">
      <c r="B221" s="56"/>
    </row>
    <row r="222" spans="2:2">
      <c r="B222" s="56"/>
    </row>
    <row r="223" spans="2:2">
      <c r="B223" s="56"/>
    </row>
    <row r="224" spans="2:2">
      <c r="B224" s="56"/>
    </row>
    <row r="225" spans="2:2">
      <c r="B225" s="56"/>
    </row>
    <row r="226" spans="2:2">
      <c r="B226" s="56"/>
    </row>
    <row r="227" spans="2:2">
      <c r="B227" s="56"/>
    </row>
    <row r="228" spans="2:2">
      <c r="B228" s="56"/>
    </row>
    <row r="229" spans="2:2">
      <c r="B229" s="56"/>
    </row>
    <row r="230" spans="2:2">
      <c r="B230" s="56"/>
    </row>
    <row r="231" spans="2:2">
      <c r="B231" s="56"/>
    </row>
    <row r="232" spans="2:2">
      <c r="B232" s="56"/>
    </row>
    <row r="233" spans="2:2">
      <c r="B233" s="56"/>
    </row>
    <row r="234" spans="2:2">
      <c r="B234" s="56"/>
    </row>
    <row r="235" spans="2:2">
      <c r="B235" s="56"/>
    </row>
    <row r="236" spans="2:2">
      <c r="B236" s="56"/>
    </row>
    <row r="237" spans="2:2">
      <c r="B237" s="56"/>
    </row>
    <row r="238" spans="2:2">
      <c r="B238" s="56"/>
    </row>
    <row r="239" spans="2:2">
      <c r="B239" s="56"/>
    </row>
    <row r="240" spans="2:2">
      <c r="B240" s="56"/>
    </row>
    <row r="241" spans="2:2">
      <c r="B241" s="56"/>
    </row>
    <row r="242" spans="2:2">
      <c r="B242" s="56"/>
    </row>
    <row r="243" spans="2:2">
      <c r="B243" s="56"/>
    </row>
    <row r="244" spans="2:2">
      <c r="B244" s="56"/>
    </row>
    <row r="245" spans="2:2">
      <c r="B245" s="56"/>
    </row>
    <row r="246" spans="2:2">
      <c r="B246" s="56"/>
    </row>
    <row r="247" spans="2:2">
      <c r="B247" s="56"/>
    </row>
    <row r="248" spans="2:2">
      <c r="B248" s="56"/>
    </row>
    <row r="249" spans="2:2">
      <c r="B249" s="56"/>
    </row>
    <row r="250" spans="2:2">
      <c r="B250" s="56"/>
    </row>
    <row r="251" spans="2:2">
      <c r="B251" s="56"/>
    </row>
    <row r="252" spans="2:2">
      <c r="B252" s="56"/>
    </row>
    <row r="253" spans="2:2">
      <c r="B253" s="56"/>
    </row>
    <row r="254" spans="2:2">
      <c r="B254" s="56"/>
    </row>
    <row r="255" spans="2:2">
      <c r="B255" s="56"/>
    </row>
    <row r="256" spans="2:2">
      <c r="B256" s="56"/>
    </row>
    <row r="257" spans="2:2">
      <c r="B257" s="56"/>
    </row>
    <row r="258" spans="2:2">
      <c r="B258" s="56"/>
    </row>
    <row r="259" spans="2:2">
      <c r="B259" s="56"/>
    </row>
    <row r="260" spans="2:2">
      <c r="B260" s="56"/>
    </row>
    <row r="261" spans="2:2">
      <c r="B261" s="56"/>
    </row>
    <row r="262" spans="2:2">
      <c r="B262" s="56"/>
    </row>
    <row r="263" spans="2:2">
      <c r="B263" s="56"/>
    </row>
    <row r="264" spans="2:2">
      <c r="B264" s="56"/>
    </row>
    <row r="265" spans="2:2">
      <c r="B265" s="56"/>
    </row>
    <row r="266" spans="2:2">
      <c r="B266" s="56"/>
    </row>
    <row r="267" spans="2:2">
      <c r="B267" s="56"/>
    </row>
    <row r="268" spans="2:2">
      <c r="B268" s="56"/>
    </row>
    <row r="269" spans="2:2">
      <c r="B269" s="56"/>
    </row>
    <row r="270" spans="2:2">
      <c r="B270" s="56"/>
    </row>
    <row r="271" spans="2:2">
      <c r="B271" s="56"/>
    </row>
    <row r="272" spans="2:2">
      <c r="B272" s="56"/>
    </row>
    <row r="273" spans="2:2">
      <c r="B273" s="56"/>
    </row>
    <row r="274" spans="2:2">
      <c r="B274" s="56"/>
    </row>
    <row r="275" spans="2:2">
      <c r="B275" s="56"/>
    </row>
    <row r="276" spans="2:2">
      <c r="B276" s="56"/>
    </row>
    <row r="277" spans="2:2">
      <c r="B277" s="56"/>
    </row>
    <row r="278" spans="2:2">
      <c r="B278" s="56"/>
    </row>
    <row r="279" spans="2:2">
      <c r="B279" s="56"/>
    </row>
    <row r="280" spans="2:2">
      <c r="B280" s="56"/>
    </row>
    <row r="281" spans="2:2">
      <c r="B281" s="56"/>
    </row>
    <row r="282" spans="2:2">
      <c r="B282" s="56"/>
    </row>
    <row r="283" spans="2:2">
      <c r="B283" s="56"/>
    </row>
    <row r="284" spans="2:2">
      <c r="B284" s="56"/>
    </row>
    <row r="285" spans="2:2">
      <c r="B285" s="56"/>
    </row>
    <row r="286" spans="2:2">
      <c r="B286" s="56"/>
    </row>
    <row r="287" spans="2:2">
      <c r="B287" s="56"/>
    </row>
    <row r="288" spans="2:2">
      <c r="B288" s="56"/>
    </row>
    <row r="289" spans="2:2">
      <c r="B289" s="56"/>
    </row>
    <row r="290" spans="2:2">
      <c r="B290" s="56"/>
    </row>
    <row r="291" spans="2:2">
      <c r="B291" s="56"/>
    </row>
    <row r="292" spans="2:2">
      <c r="B292" s="56"/>
    </row>
    <row r="293" spans="2:2">
      <c r="B293" s="56"/>
    </row>
    <row r="294" spans="2:2">
      <c r="B294" s="56"/>
    </row>
    <row r="295" spans="2:2">
      <c r="B295" s="56"/>
    </row>
    <row r="296" spans="2:2">
      <c r="B296" s="56"/>
    </row>
    <row r="297" spans="2:2">
      <c r="B297" s="56"/>
    </row>
    <row r="298" spans="2:2">
      <c r="B298" s="56"/>
    </row>
    <row r="299" spans="2:2">
      <c r="B299" s="56"/>
    </row>
    <row r="300" spans="2:2">
      <c r="B300" s="56"/>
    </row>
    <row r="301" spans="2:2">
      <c r="B301" s="56"/>
    </row>
    <row r="302" spans="2:2">
      <c r="B302" s="56"/>
    </row>
    <row r="303" spans="2:2">
      <c r="B303" s="56"/>
    </row>
    <row r="304" spans="2:2">
      <c r="B304" s="56"/>
    </row>
    <row r="305" spans="2:2">
      <c r="B305" s="56"/>
    </row>
    <row r="306" spans="2:2">
      <c r="B306" s="56"/>
    </row>
    <row r="307" spans="2:2">
      <c r="B307" s="56"/>
    </row>
    <row r="308" spans="2:2">
      <c r="B308" s="56"/>
    </row>
    <row r="309" spans="2:2">
      <c r="B309" s="56"/>
    </row>
    <row r="310" spans="2:2">
      <c r="B310" s="56"/>
    </row>
    <row r="311" spans="2:2">
      <c r="B311" s="56"/>
    </row>
    <row r="312" spans="2:2">
      <c r="B312" s="56"/>
    </row>
    <row r="313" spans="2:2">
      <c r="B313" s="56"/>
    </row>
    <row r="314" spans="2:2">
      <c r="B314" s="56"/>
    </row>
    <row r="315" spans="2:2">
      <c r="B315" s="56"/>
    </row>
    <row r="316" spans="2:2">
      <c r="B316" s="56"/>
    </row>
    <row r="317" spans="2:2">
      <c r="B317" s="56"/>
    </row>
    <row r="318" spans="2:2">
      <c r="B318" s="56"/>
    </row>
    <row r="319" spans="2:2">
      <c r="B319" s="56"/>
    </row>
    <row r="320" spans="2:2">
      <c r="B320" s="56"/>
    </row>
    <row r="321" spans="2:2">
      <c r="B321" s="56"/>
    </row>
    <row r="322" spans="2:2">
      <c r="B322" s="56"/>
    </row>
    <row r="323" spans="2:2">
      <c r="B323" s="56"/>
    </row>
    <row r="324" spans="2:2">
      <c r="B324" s="56"/>
    </row>
    <row r="325" spans="2:2">
      <c r="B325" s="56"/>
    </row>
    <row r="326" spans="2:2">
      <c r="B326" s="56"/>
    </row>
    <row r="327" spans="2:2">
      <c r="B327" s="56"/>
    </row>
    <row r="328" spans="2:2">
      <c r="B328" s="56"/>
    </row>
    <row r="329" spans="2:2">
      <c r="B329" s="56"/>
    </row>
    <row r="330" spans="2:2">
      <c r="B330" s="56"/>
    </row>
    <row r="331" spans="2:2">
      <c r="B331" s="56"/>
    </row>
    <row r="332" spans="2:2">
      <c r="B332" s="56"/>
    </row>
    <row r="333" spans="2:2">
      <c r="B333" s="56"/>
    </row>
    <row r="334" spans="2:2">
      <c r="B334" s="56"/>
    </row>
    <row r="335" spans="2:2">
      <c r="B335" s="56"/>
    </row>
    <row r="336" spans="2:2">
      <c r="B336" s="56"/>
    </row>
  </sheetData>
  <autoFilter ref="A1:AI66" xr:uid="{0FDC62FA-FC8A-4C28-830A-61E63BCF43C2}"/>
  <sortState xmlns:xlrd2="http://schemas.microsoft.com/office/spreadsheetml/2017/richdata2" ref="A2:AI66">
    <sortCondition ref="B2:B66"/>
  </sortState>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5C95-3181-48A8-9160-851FAD09779E}">
  <dimension ref="A1:GK75"/>
  <sheetViews>
    <sheetView topLeftCell="B1" workbookViewId="0">
      <pane xSplit="1" topLeftCell="H1" activePane="topRight" state="frozen"/>
      <selection pane="topRight" activeCell="T5" sqref="T5"/>
    </sheetView>
  </sheetViews>
  <sheetFormatPr defaultRowHeight="14.25"/>
  <cols>
    <col min="1" max="1" width="6.86328125" customWidth="1"/>
    <col min="2" max="2" width="34.1328125" bestFit="1" customWidth="1"/>
    <col min="3" max="3" width="9.265625" customWidth="1"/>
    <col min="25" max="25" width="6.86328125" bestFit="1" customWidth="1"/>
  </cols>
  <sheetData>
    <row r="1" spans="1:193" ht="18">
      <c r="A1" s="29" t="s">
        <v>64</v>
      </c>
      <c r="B1" s="29" t="s">
        <v>65</v>
      </c>
      <c r="C1" s="29" t="s">
        <v>68</v>
      </c>
      <c r="D1" s="29" t="s">
        <v>107</v>
      </c>
      <c r="E1" s="29" t="s">
        <v>4</v>
      </c>
      <c r="F1" s="29">
        <v>1</v>
      </c>
      <c r="G1" s="29">
        <v>2</v>
      </c>
      <c r="H1" s="29">
        <v>3</v>
      </c>
      <c r="I1" s="29">
        <v>4</v>
      </c>
      <c r="J1" s="29">
        <v>5</v>
      </c>
      <c r="K1" s="29">
        <v>6</v>
      </c>
      <c r="L1" s="29">
        <v>7</v>
      </c>
      <c r="M1" s="122">
        <v>8</v>
      </c>
      <c r="N1" s="29">
        <v>9</v>
      </c>
      <c r="O1" s="29">
        <v>10</v>
      </c>
      <c r="P1" s="29">
        <v>11</v>
      </c>
      <c r="Q1" s="29">
        <v>12</v>
      </c>
      <c r="R1" s="29">
        <v>13</v>
      </c>
      <c r="S1" s="29">
        <v>14</v>
      </c>
      <c r="T1" s="29">
        <v>15</v>
      </c>
      <c r="U1" s="29">
        <v>16</v>
      </c>
      <c r="V1" s="29">
        <v>17</v>
      </c>
      <c r="W1" s="29">
        <v>18</v>
      </c>
      <c r="X1" s="29">
        <v>19</v>
      </c>
      <c r="Y1" s="29">
        <v>20</v>
      </c>
      <c r="Z1" s="29">
        <v>21</v>
      </c>
      <c r="AA1" s="29">
        <v>22</v>
      </c>
      <c r="AB1" s="29">
        <v>23</v>
      </c>
      <c r="AC1" s="29">
        <v>24</v>
      </c>
      <c r="AD1" s="29">
        <v>25</v>
      </c>
      <c r="AE1" s="29">
        <v>26</v>
      </c>
      <c r="AF1" s="29">
        <v>27</v>
      </c>
      <c r="AG1" s="29">
        <v>28</v>
      </c>
      <c r="AH1" s="29">
        <v>29</v>
      </c>
      <c r="AI1" s="151">
        <v>30</v>
      </c>
      <c r="AJ1" s="150">
        <v>31</v>
      </c>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row>
    <row r="2" spans="1:193" ht="18">
      <c r="A2" s="5">
        <v>1</v>
      </c>
      <c r="B2" s="16" t="s">
        <v>5</v>
      </c>
      <c r="C2" s="120">
        <v>7</v>
      </c>
      <c r="D2" s="120">
        <v>1</v>
      </c>
      <c r="E2" s="120">
        <v>6</v>
      </c>
      <c r="F2" s="130" t="s">
        <v>92</v>
      </c>
      <c r="G2" s="120" t="s">
        <v>69</v>
      </c>
      <c r="H2" s="120" t="s">
        <v>69</v>
      </c>
      <c r="I2" s="120" t="s">
        <v>108</v>
      </c>
      <c r="J2" s="121" t="s">
        <v>72</v>
      </c>
      <c r="K2" s="120" t="s">
        <v>69</v>
      </c>
      <c r="L2" s="120" t="s">
        <v>69</v>
      </c>
      <c r="M2" s="121" t="s">
        <v>72</v>
      </c>
      <c r="N2" s="120" t="s">
        <v>69</v>
      </c>
      <c r="O2" s="120" t="s">
        <v>69</v>
      </c>
      <c r="P2" s="120" t="s">
        <v>108</v>
      </c>
      <c r="Q2" s="120" t="s">
        <v>69</v>
      </c>
      <c r="R2" s="120" t="s">
        <v>69</v>
      </c>
      <c r="S2" s="121" t="s">
        <v>72</v>
      </c>
      <c r="T2" s="120" t="s">
        <v>69</v>
      </c>
      <c r="U2" s="121" t="s">
        <v>72</v>
      </c>
      <c r="V2" s="120" t="s">
        <v>69</v>
      </c>
      <c r="W2" s="120" t="s">
        <v>108</v>
      </c>
      <c r="X2" s="120" t="s">
        <v>69</v>
      </c>
      <c r="Y2" s="120" t="s">
        <v>69</v>
      </c>
      <c r="Z2" s="130" t="s">
        <v>92</v>
      </c>
      <c r="AA2" s="121" t="s">
        <v>72</v>
      </c>
      <c r="AB2" s="120" t="s">
        <v>69</v>
      </c>
      <c r="AC2" s="120" t="s">
        <v>69</v>
      </c>
      <c r="AD2" s="120" t="s">
        <v>108</v>
      </c>
      <c r="AE2" s="121" t="s">
        <v>72</v>
      </c>
      <c r="AF2" s="120" t="s">
        <v>69</v>
      </c>
      <c r="AG2" s="120" t="s">
        <v>69</v>
      </c>
      <c r="AH2" s="120" t="s">
        <v>69</v>
      </c>
      <c r="AI2" s="120" t="s">
        <v>69</v>
      </c>
      <c r="AJ2" s="121" t="s">
        <v>72</v>
      </c>
      <c r="AK2" s="119"/>
      <c r="AL2" s="119"/>
      <c r="AM2" s="119"/>
      <c r="AN2" s="119"/>
      <c r="AO2" s="119"/>
      <c r="AP2" s="119"/>
      <c r="AQ2" s="119"/>
      <c r="AR2" s="119"/>
      <c r="AS2" s="119"/>
      <c r="AT2" s="119"/>
      <c r="AU2" s="119"/>
      <c r="AV2" s="119"/>
      <c r="AW2" s="119"/>
      <c r="AX2" s="119"/>
    </row>
    <row r="3" spans="1:193" ht="18">
      <c r="A3" s="5">
        <v>2</v>
      </c>
      <c r="B3" s="16" t="s">
        <v>6</v>
      </c>
      <c r="C3" s="120">
        <v>2</v>
      </c>
      <c r="D3" s="120">
        <v>2</v>
      </c>
      <c r="E3" s="120">
        <f>C3-D3</f>
        <v>0</v>
      </c>
      <c r="F3" s="123" t="s">
        <v>71</v>
      </c>
      <c r="G3" s="120" t="s">
        <v>69</v>
      </c>
      <c r="H3" s="120" t="s">
        <v>69</v>
      </c>
      <c r="I3" s="120" t="s">
        <v>108</v>
      </c>
      <c r="J3" s="120" t="s">
        <v>69</v>
      </c>
      <c r="K3" s="120" t="s">
        <v>69</v>
      </c>
      <c r="L3" s="120" t="s">
        <v>69</v>
      </c>
      <c r="M3" s="120" t="s">
        <v>69</v>
      </c>
      <c r="N3" s="120" t="s">
        <v>69</v>
      </c>
      <c r="O3" s="120" t="s">
        <v>69</v>
      </c>
      <c r="P3" s="120" t="s">
        <v>108</v>
      </c>
      <c r="Q3" s="120" t="s">
        <v>69</v>
      </c>
      <c r="R3" s="120" t="s">
        <v>69</v>
      </c>
      <c r="S3" s="120" t="s">
        <v>69</v>
      </c>
      <c r="T3" s="120" t="s">
        <v>69</v>
      </c>
      <c r="U3" s="120" t="s">
        <v>69</v>
      </c>
      <c r="V3" s="121" t="s">
        <v>72</v>
      </c>
      <c r="W3" s="120" t="s">
        <v>108</v>
      </c>
      <c r="X3" s="120" t="s">
        <v>69</v>
      </c>
      <c r="Y3" s="120" t="s">
        <v>69</v>
      </c>
      <c r="Z3" s="121" t="s">
        <v>72</v>
      </c>
      <c r="AA3" s="120" t="s">
        <v>69</v>
      </c>
      <c r="AB3" s="120" t="s">
        <v>69</v>
      </c>
      <c r="AC3" s="120" t="s">
        <v>69</v>
      </c>
      <c r="AD3" s="120" t="s">
        <v>108</v>
      </c>
      <c r="AE3" s="120" t="s">
        <v>69</v>
      </c>
      <c r="AF3" s="120" t="s">
        <v>69</v>
      </c>
      <c r="AG3" s="120" t="s">
        <v>69</v>
      </c>
      <c r="AH3" s="120" t="s">
        <v>69</v>
      </c>
      <c r="AI3" s="120" t="s">
        <v>69</v>
      </c>
      <c r="AJ3" s="120" t="s">
        <v>69</v>
      </c>
      <c r="AK3" s="119"/>
      <c r="AL3" s="119"/>
      <c r="AM3" s="119"/>
      <c r="AN3" s="119"/>
      <c r="AO3" s="119"/>
      <c r="AP3" s="119"/>
      <c r="AQ3" s="119"/>
      <c r="AR3" s="119"/>
      <c r="AS3" s="119"/>
      <c r="AT3" s="119"/>
      <c r="AU3" s="119"/>
      <c r="AV3" s="119"/>
      <c r="AW3" s="119"/>
      <c r="AX3" s="119"/>
    </row>
    <row r="4" spans="1:193" ht="18">
      <c r="A4" s="5">
        <v>3</v>
      </c>
      <c r="B4" s="16" t="s">
        <v>7</v>
      </c>
      <c r="C4" s="120">
        <v>3</v>
      </c>
      <c r="D4" s="120">
        <v>3</v>
      </c>
      <c r="E4" s="120">
        <f t="shared" ref="E4:E5" si="0">C4-D4</f>
        <v>0</v>
      </c>
      <c r="F4" s="120" t="s">
        <v>69</v>
      </c>
      <c r="G4" s="120" t="s">
        <v>69</v>
      </c>
      <c r="H4" s="121" t="s">
        <v>72</v>
      </c>
      <c r="I4" s="120" t="s">
        <v>108</v>
      </c>
      <c r="J4" s="120" t="s">
        <v>69</v>
      </c>
      <c r="K4" s="120" t="s">
        <v>69</v>
      </c>
      <c r="L4" s="120" t="s">
        <v>69</v>
      </c>
      <c r="M4" s="120" t="s">
        <v>69</v>
      </c>
      <c r="N4" s="120" t="s">
        <v>69</v>
      </c>
      <c r="O4" s="120" t="s">
        <v>69</v>
      </c>
      <c r="P4" s="120" t="s">
        <v>108</v>
      </c>
      <c r="Q4" s="120" t="s">
        <v>69</v>
      </c>
      <c r="R4" s="120" t="s">
        <v>69</v>
      </c>
      <c r="S4" s="120" t="s">
        <v>69</v>
      </c>
      <c r="T4" s="120" t="s">
        <v>69</v>
      </c>
      <c r="U4" s="120" t="s">
        <v>69</v>
      </c>
      <c r="V4" s="120" t="s">
        <v>69</v>
      </c>
      <c r="W4" s="120" t="s">
        <v>108</v>
      </c>
      <c r="X4" s="121" t="s">
        <v>72</v>
      </c>
      <c r="Y4" s="120" t="s">
        <v>69</v>
      </c>
      <c r="Z4" s="120" t="s">
        <v>69</v>
      </c>
      <c r="AA4" s="121" t="s">
        <v>72</v>
      </c>
      <c r="AB4" s="120" t="s">
        <v>69</v>
      </c>
      <c r="AC4" s="120" t="s">
        <v>69</v>
      </c>
      <c r="AD4" s="120" t="s">
        <v>108</v>
      </c>
      <c r="AE4" s="120" t="s">
        <v>69</v>
      </c>
      <c r="AF4" s="130" t="s">
        <v>92</v>
      </c>
      <c r="AG4" s="120" t="s">
        <v>69</v>
      </c>
      <c r="AH4" s="120" t="s">
        <v>69</v>
      </c>
      <c r="AI4" s="120" t="s">
        <v>69</v>
      </c>
      <c r="AJ4" s="120" t="s">
        <v>69</v>
      </c>
      <c r="AK4" s="119"/>
      <c r="AL4" s="119"/>
      <c r="AM4" s="119"/>
      <c r="AN4" s="119"/>
      <c r="AO4" s="119"/>
      <c r="AP4" s="119"/>
      <c r="AQ4" s="119"/>
      <c r="AR4" s="119"/>
      <c r="AS4" s="119"/>
      <c r="AT4" s="119"/>
      <c r="AU4" s="119"/>
      <c r="AV4" s="119"/>
      <c r="AW4" s="119"/>
      <c r="AX4" s="119"/>
    </row>
    <row r="5" spans="1:193" ht="18">
      <c r="A5" s="5">
        <v>4</v>
      </c>
      <c r="B5" s="16" t="s">
        <v>8</v>
      </c>
      <c r="C5" s="120">
        <v>9</v>
      </c>
      <c r="D5" s="120">
        <v>9</v>
      </c>
      <c r="E5" s="120">
        <f t="shared" si="0"/>
        <v>0</v>
      </c>
      <c r="F5" s="120" t="s">
        <v>69</v>
      </c>
      <c r="G5" s="130" t="s">
        <v>92</v>
      </c>
      <c r="H5" s="120" t="s">
        <v>69</v>
      </c>
      <c r="I5" s="120" t="s">
        <v>108</v>
      </c>
      <c r="J5" s="120" t="s">
        <v>69</v>
      </c>
      <c r="K5" s="120" t="s">
        <v>69</v>
      </c>
      <c r="L5" s="130" t="s">
        <v>92</v>
      </c>
      <c r="M5" s="120" t="s">
        <v>69</v>
      </c>
      <c r="N5" s="120" t="s">
        <v>69</v>
      </c>
      <c r="O5" s="120" t="s">
        <v>69</v>
      </c>
      <c r="P5" s="120" t="s">
        <v>108</v>
      </c>
      <c r="Q5" s="120" t="s">
        <v>69</v>
      </c>
      <c r="R5" s="120" t="s">
        <v>69</v>
      </c>
      <c r="S5" s="120" t="s">
        <v>69</v>
      </c>
      <c r="T5" s="120" t="s">
        <v>69</v>
      </c>
      <c r="U5" s="120" t="s">
        <v>69</v>
      </c>
      <c r="V5" s="120" t="s">
        <v>69</v>
      </c>
      <c r="W5" s="120" t="s">
        <v>108</v>
      </c>
      <c r="X5" s="121" t="s">
        <v>72</v>
      </c>
      <c r="Y5" s="121" t="s">
        <v>72</v>
      </c>
      <c r="Z5" s="121" t="s">
        <v>72</v>
      </c>
      <c r="AA5" s="121" t="s">
        <v>72</v>
      </c>
      <c r="AB5" s="121" t="s">
        <v>72</v>
      </c>
      <c r="AC5" s="121" t="s">
        <v>72</v>
      </c>
      <c r="AD5" s="120" t="s">
        <v>108</v>
      </c>
      <c r="AE5" s="121" t="s">
        <v>72</v>
      </c>
      <c r="AF5" s="121" t="s">
        <v>72</v>
      </c>
      <c r="AG5" s="121" t="s">
        <v>72</v>
      </c>
      <c r="AH5" s="120" t="s">
        <v>69</v>
      </c>
      <c r="AI5" s="120" t="s">
        <v>69</v>
      </c>
      <c r="AJ5" s="120" t="s">
        <v>69</v>
      </c>
      <c r="AK5" s="119"/>
      <c r="AL5" s="119"/>
      <c r="AM5" s="119"/>
      <c r="AN5" s="119"/>
      <c r="AO5" s="119"/>
      <c r="AP5" s="119"/>
      <c r="AQ5" s="119"/>
      <c r="AR5" s="119"/>
      <c r="AS5" s="119"/>
      <c r="AT5" s="119"/>
      <c r="AU5" s="119"/>
      <c r="AV5" s="119"/>
      <c r="AW5" s="119"/>
      <c r="AX5" s="119"/>
    </row>
    <row r="6" spans="1:193" ht="18">
      <c r="A6" s="5">
        <v>5</v>
      </c>
      <c r="B6" s="133" t="s">
        <v>109</v>
      </c>
      <c r="C6" s="120"/>
      <c r="D6" s="120"/>
      <c r="E6" s="120"/>
      <c r="F6" s="121" t="s">
        <v>72</v>
      </c>
      <c r="G6" s="121" t="s">
        <v>72</v>
      </c>
      <c r="H6" s="121" t="s">
        <v>72</v>
      </c>
      <c r="I6" s="120" t="s">
        <v>108</v>
      </c>
      <c r="J6" s="121" t="s">
        <v>72</v>
      </c>
      <c r="K6" s="121" t="s">
        <v>72</v>
      </c>
      <c r="L6" s="121" t="s">
        <v>72</v>
      </c>
      <c r="M6" s="121" t="s">
        <v>72</v>
      </c>
      <c r="N6" s="121" t="s">
        <v>72</v>
      </c>
      <c r="O6" s="121" t="s">
        <v>72</v>
      </c>
      <c r="P6" s="120" t="s">
        <v>108</v>
      </c>
      <c r="Q6" s="121" t="s">
        <v>72</v>
      </c>
      <c r="R6" s="121" t="s">
        <v>72</v>
      </c>
      <c r="S6" s="121" t="s">
        <v>72</v>
      </c>
      <c r="T6" s="121" t="s">
        <v>72</v>
      </c>
      <c r="U6" s="121" t="s">
        <v>72</v>
      </c>
      <c r="V6" s="121" t="s">
        <v>72</v>
      </c>
      <c r="W6" s="120" t="s">
        <v>108</v>
      </c>
      <c r="X6" s="121" t="s">
        <v>72</v>
      </c>
      <c r="Y6" s="121" t="s">
        <v>72</v>
      </c>
      <c r="Z6" s="121" t="s">
        <v>72</v>
      </c>
      <c r="AA6" s="121" t="s">
        <v>72</v>
      </c>
      <c r="AB6" s="121" t="s">
        <v>72</v>
      </c>
      <c r="AC6" s="121" t="s">
        <v>72</v>
      </c>
      <c r="AD6" s="120" t="s">
        <v>108</v>
      </c>
      <c r="AE6" s="121" t="s">
        <v>72</v>
      </c>
      <c r="AF6" s="121" t="s">
        <v>76</v>
      </c>
      <c r="AG6" s="121" t="s">
        <v>76</v>
      </c>
      <c r="AH6" s="121" t="s">
        <v>76</v>
      </c>
      <c r="AI6" s="121" t="s">
        <v>76</v>
      </c>
      <c r="AJ6" s="121" t="s">
        <v>76</v>
      </c>
      <c r="AK6" s="119"/>
      <c r="AL6" s="119"/>
      <c r="AM6" s="119"/>
      <c r="AN6" s="119"/>
      <c r="AO6" s="119"/>
      <c r="AP6" s="119"/>
      <c r="AQ6" s="119"/>
      <c r="AR6" s="119"/>
      <c r="AS6" s="119"/>
      <c r="AT6" s="119"/>
      <c r="AU6" s="119"/>
      <c r="AV6" s="119"/>
      <c r="AW6" s="119"/>
      <c r="AX6" s="119"/>
    </row>
    <row r="7" spans="1:193" ht="18">
      <c r="A7" s="5">
        <v>6</v>
      </c>
      <c r="B7" s="16" t="s">
        <v>10</v>
      </c>
      <c r="C7" s="120">
        <v>6</v>
      </c>
      <c r="D7" s="120">
        <v>1.5</v>
      </c>
      <c r="E7" s="120">
        <f t="shared" ref="E7:E8" si="1">C7-D7</f>
        <v>4.5</v>
      </c>
      <c r="F7" s="120" t="s">
        <v>69</v>
      </c>
      <c r="G7" s="120" t="s">
        <v>69</v>
      </c>
      <c r="H7" s="120" t="s">
        <v>69</v>
      </c>
      <c r="I7" s="120" t="s">
        <v>108</v>
      </c>
      <c r="J7" s="120" t="s">
        <v>69</v>
      </c>
      <c r="K7" s="121" t="s">
        <v>72</v>
      </c>
      <c r="L7" s="120" t="s">
        <v>69</v>
      </c>
      <c r="M7" s="120" t="s">
        <v>69</v>
      </c>
      <c r="N7" s="120" t="s">
        <v>69</v>
      </c>
      <c r="O7" s="120" t="s">
        <v>69</v>
      </c>
      <c r="P7" s="120" t="s">
        <v>108</v>
      </c>
      <c r="Q7" s="120" t="s">
        <v>69</v>
      </c>
      <c r="R7" s="120" t="s">
        <v>69</v>
      </c>
      <c r="S7" s="120" t="s">
        <v>69</v>
      </c>
      <c r="T7" s="671" t="s">
        <v>110</v>
      </c>
      <c r="U7" s="130" t="s">
        <v>92</v>
      </c>
      <c r="V7" s="120" t="s">
        <v>69</v>
      </c>
      <c r="W7" s="120" t="s">
        <v>108</v>
      </c>
      <c r="X7" s="147" t="s">
        <v>92</v>
      </c>
      <c r="Y7" s="120" t="s">
        <v>69</v>
      </c>
      <c r="Z7" s="120" t="s">
        <v>69</v>
      </c>
      <c r="AA7" s="120" t="s">
        <v>69</v>
      </c>
      <c r="AB7" s="120" t="s">
        <v>69</v>
      </c>
      <c r="AC7" s="121" t="s">
        <v>72</v>
      </c>
      <c r="AD7" s="120" t="s">
        <v>108</v>
      </c>
      <c r="AE7" s="120" t="s">
        <v>69</v>
      </c>
      <c r="AF7" s="120" t="s">
        <v>69</v>
      </c>
      <c r="AG7" s="121" t="s">
        <v>72</v>
      </c>
      <c r="AH7" s="121" t="s">
        <v>72</v>
      </c>
      <c r="AI7" s="121" t="s">
        <v>72</v>
      </c>
      <c r="AJ7" s="121" t="s">
        <v>72</v>
      </c>
      <c r="AK7" s="119"/>
      <c r="AL7" s="119"/>
      <c r="AM7" s="119"/>
      <c r="AN7" s="119"/>
      <c r="AO7" s="119"/>
      <c r="AP7" s="119"/>
      <c r="AQ7" s="119"/>
      <c r="AR7" s="119"/>
      <c r="AS7" s="119"/>
      <c r="AT7" s="119"/>
      <c r="AU7" s="119"/>
      <c r="AV7" s="119"/>
      <c r="AW7" s="119"/>
      <c r="AX7" s="119"/>
    </row>
    <row r="8" spans="1:193" ht="18">
      <c r="A8" s="5">
        <v>7</v>
      </c>
      <c r="B8" s="16" t="s">
        <v>11</v>
      </c>
      <c r="C8" s="120">
        <v>6</v>
      </c>
      <c r="D8" s="120">
        <v>6</v>
      </c>
      <c r="E8" s="120">
        <f t="shared" si="1"/>
        <v>0</v>
      </c>
      <c r="F8" s="121" t="s">
        <v>72</v>
      </c>
      <c r="G8" s="120" t="s">
        <v>69</v>
      </c>
      <c r="H8" s="120" t="s">
        <v>69</v>
      </c>
      <c r="I8" s="120" t="s">
        <v>108</v>
      </c>
      <c r="J8" s="120" t="s">
        <v>69</v>
      </c>
      <c r="K8" s="130" t="s">
        <v>92</v>
      </c>
      <c r="L8" s="120" t="s">
        <v>69</v>
      </c>
      <c r="M8" s="130" t="s">
        <v>74</v>
      </c>
      <c r="N8" s="120" t="s">
        <v>69</v>
      </c>
      <c r="O8" s="120" t="s">
        <v>69</v>
      </c>
      <c r="P8" s="120" t="s">
        <v>108</v>
      </c>
      <c r="Q8" s="121" t="s">
        <v>72</v>
      </c>
      <c r="R8" s="121" t="s">
        <v>72</v>
      </c>
      <c r="S8" s="120" t="s">
        <v>69</v>
      </c>
      <c r="T8" s="120" t="s">
        <v>69</v>
      </c>
      <c r="U8" s="120" t="s">
        <v>69</v>
      </c>
      <c r="V8" s="120" t="s">
        <v>69</v>
      </c>
      <c r="W8" s="120" t="s">
        <v>108</v>
      </c>
      <c r="X8" s="120" t="s">
        <v>69</v>
      </c>
      <c r="Y8" s="120" t="s">
        <v>69</v>
      </c>
      <c r="Z8" s="120" t="s">
        <v>69</v>
      </c>
      <c r="AA8" s="120" t="s">
        <v>69</v>
      </c>
      <c r="AB8" s="120" t="s">
        <v>69</v>
      </c>
      <c r="AC8" s="120" t="s">
        <v>69</v>
      </c>
      <c r="AD8" s="120" t="s">
        <v>108</v>
      </c>
      <c r="AE8" s="121" t="s">
        <v>72</v>
      </c>
      <c r="AF8" s="120" t="s">
        <v>69</v>
      </c>
      <c r="AG8" s="121" t="s">
        <v>72</v>
      </c>
      <c r="AH8" s="121" t="s">
        <v>72</v>
      </c>
      <c r="AI8" s="140" t="s">
        <v>69</v>
      </c>
      <c r="AJ8" s="160" t="s">
        <v>111</v>
      </c>
      <c r="AK8" s="119"/>
      <c r="AL8" s="119"/>
      <c r="AM8" s="119"/>
      <c r="AN8" s="119"/>
      <c r="AO8" s="119"/>
      <c r="AP8" s="119"/>
      <c r="AQ8" s="119"/>
      <c r="AR8" s="119"/>
      <c r="AS8" s="119"/>
      <c r="AT8" s="119"/>
      <c r="AU8" s="119"/>
      <c r="AV8" s="119"/>
      <c r="AW8" s="119"/>
      <c r="AX8" s="119"/>
    </row>
    <row r="9" spans="1:193" ht="18">
      <c r="A9" s="5">
        <v>8</v>
      </c>
      <c r="B9" s="16" t="s">
        <v>12</v>
      </c>
      <c r="C9" s="120"/>
      <c r="D9" s="120"/>
      <c r="E9" s="120"/>
      <c r="F9" s="120" t="s">
        <v>69</v>
      </c>
      <c r="G9" s="121" t="s">
        <v>72</v>
      </c>
      <c r="H9" s="121" t="s">
        <v>72</v>
      </c>
      <c r="I9" s="120" t="s">
        <v>108</v>
      </c>
      <c r="J9" s="120" t="s">
        <v>69</v>
      </c>
      <c r="K9" s="120" t="s">
        <v>69</v>
      </c>
      <c r="L9" s="120" t="s">
        <v>69</v>
      </c>
      <c r="M9" s="121" t="s">
        <v>72</v>
      </c>
      <c r="N9" s="121" t="s">
        <v>72</v>
      </c>
      <c r="O9" s="121" t="s">
        <v>72</v>
      </c>
      <c r="P9" s="120" t="s">
        <v>108</v>
      </c>
      <c r="Q9" s="121" t="s">
        <v>72</v>
      </c>
      <c r="R9" s="121" t="s">
        <v>72</v>
      </c>
      <c r="S9" s="121" t="s">
        <v>72</v>
      </c>
      <c r="T9" s="121" t="s">
        <v>72</v>
      </c>
      <c r="U9" s="121" t="s">
        <v>72</v>
      </c>
      <c r="V9" s="121" t="s">
        <v>72</v>
      </c>
      <c r="W9" s="120" t="s">
        <v>108</v>
      </c>
      <c r="X9" s="120" t="s">
        <v>69</v>
      </c>
      <c r="Y9" s="120" t="s">
        <v>69</v>
      </c>
      <c r="Z9" s="120" t="s">
        <v>69</v>
      </c>
      <c r="AA9" s="120" t="s">
        <v>69</v>
      </c>
      <c r="AB9" s="120" t="s">
        <v>69</v>
      </c>
      <c r="AC9" s="120" t="s">
        <v>69</v>
      </c>
      <c r="AD9" s="120" t="s">
        <v>108</v>
      </c>
      <c r="AE9" s="120" t="s">
        <v>69</v>
      </c>
      <c r="AF9" s="121" t="s">
        <v>72</v>
      </c>
      <c r="AG9" s="121" t="s">
        <v>72</v>
      </c>
      <c r="AH9" s="121" t="s">
        <v>72</v>
      </c>
      <c r="AI9" s="121" t="s">
        <v>72</v>
      </c>
      <c r="AJ9" s="121" t="s">
        <v>72</v>
      </c>
      <c r="AK9" s="119"/>
      <c r="AL9" s="119"/>
      <c r="AM9" s="119"/>
      <c r="AN9" s="119"/>
      <c r="AO9" s="119"/>
      <c r="AP9" s="119"/>
      <c r="AQ9" s="119"/>
      <c r="AR9" s="119"/>
      <c r="AS9" s="119"/>
      <c r="AT9" s="119"/>
      <c r="AU9" s="119"/>
      <c r="AV9" s="119"/>
      <c r="AW9" s="119"/>
      <c r="AX9" s="119"/>
    </row>
    <row r="10" spans="1:193" ht="18">
      <c r="A10" s="5">
        <v>9</v>
      </c>
      <c r="B10" s="16" t="s">
        <v>95</v>
      </c>
      <c r="C10" s="120">
        <v>0</v>
      </c>
      <c r="D10" s="120">
        <v>0</v>
      </c>
      <c r="E10" s="120">
        <v>0</v>
      </c>
      <c r="F10" s="120" t="s">
        <v>69</v>
      </c>
      <c r="G10" s="120" t="s">
        <v>69</v>
      </c>
      <c r="H10" s="120" t="s">
        <v>69</v>
      </c>
      <c r="I10" s="120" t="s">
        <v>108</v>
      </c>
      <c r="J10" s="120" t="s">
        <v>69</v>
      </c>
      <c r="K10" s="120" t="s">
        <v>69</v>
      </c>
      <c r="L10" s="120" t="s">
        <v>69</v>
      </c>
      <c r="M10" s="120" t="s">
        <v>69</v>
      </c>
      <c r="N10" s="120" t="s">
        <v>69</v>
      </c>
      <c r="O10" s="120" t="s">
        <v>69</v>
      </c>
      <c r="P10" s="120" t="s">
        <v>108</v>
      </c>
      <c r="Q10" s="120" t="s">
        <v>69</v>
      </c>
      <c r="R10" s="130" t="s">
        <v>92</v>
      </c>
      <c r="S10" s="120" t="s">
        <v>69</v>
      </c>
      <c r="T10" s="120" t="s">
        <v>69</v>
      </c>
      <c r="U10" s="120" t="s">
        <v>69</v>
      </c>
      <c r="V10" s="120" t="s">
        <v>69</v>
      </c>
      <c r="W10" s="120" t="s">
        <v>108</v>
      </c>
      <c r="X10" s="120" t="s">
        <v>69</v>
      </c>
      <c r="Y10" s="120" t="s">
        <v>69</v>
      </c>
      <c r="Z10" s="120" t="s">
        <v>69</v>
      </c>
      <c r="AA10" s="120" t="s">
        <v>69</v>
      </c>
      <c r="AB10" s="120" t="s">
        <v>69</v>
      </c>
      <c r="AC10" s="120" t="s">
        <v>69</v>
      </c>
      <c r="AD10" s="120" t="s">
        <v>108</v>
      </c>
      <c r="AE10" s="120" t="s">
        <v>69</v>
      </c>
      <c r="AF10" s="120" t="s">
        <v>69</v>
      </c>
      <c r="AG10" s="120" t="s">
        <v>69</v>
      </c>
      <c r="AH10" s="120" t="s">
        <v>69</v>
      </c>
      <c r="AI10" s="120" t="s">
        <v>69</v>
      </c>
      <c r="AJ10" s="120" t="s">
        <v>69</v>
      </c>
      <c r="AK10" s="119"/>
      <c r="AL10" s="119"/>
      <c r="AM10" s="119"/>
      <c r="AN10" s="119"/>
      <c r="AO10" s="119"/>
      <c r="AP10" s="119"/>
      <c r="AQ10" s="119"/>
      <c r="AR10" s="119"/>
      <c r="AS10" s="119"/>
      <c r="AT10" s="119"/>
      <c r="AU10" s="119"/>
      <c r="AV10" s="119"/>
      <c r="AW10" s="119"/>
      <c r="AX10" s="119"/>
    </row>
    <row r="11" spans="1:193" ht="18">
      <c r="A11" s="5">
        <v>10</v>
      </c>
      <c r="B11" s="16" t="s">
        <v>13</v>
      </c>
      <c r="C11" s="120">
        <v>0.5</v>
      </c>
      <c r="D11" s="120">
        <v>0.5</v>
      </c>
      <c r="E11" s="120">
        <f t="shared" ref="E11:E24" si="2">C11-D11</f>
        <v>0</v>
      </c>
      <c r="F11" s="120" t="s">
        <v>69</v>
      </c>
      <c r="G11" s="120" t="s">
        <v>69</v>
      </c>
      <c r="H11" s="120" t="s">
        <v>69</v>
      </c>
      <c r="I11" s="120" t="s">
        <v>108</v>
      </c>
      <c r="J11" s="120" t="s">
        <v>69</v>
      </c>
      <c r="K11" s="120" t="s">
        <v>69</v>
      </c>
      <c r="L11" s="120" t="s">
        <v>69</v>
      </c>
      <c r="M11" s="120" t="s">
        <v>69</v>
      </c>
      <c r="N11" s="120" t="s">
        <v>69</v>
      </c>
      <c r="O11" s="120" t="s">
        <v>69</v>
      </c>
      <c r="P11" s="120" t="s">
        <v>108</v>
      </c>
      <c r="Q11" s="120" t="s">
        <v>69</v>
      </c>
      <c r="R11" s="120" t="s">
        <v>69</v>
      </c>
      <c r="S11" s="120" t="s">
        <v>69</v>
      </c>
      <c r="T11" s="120" t="s">
        <v>69</v>
      </c>
      <c r="U11" s="120" t="s">
        <v>69</v>
      </c>
      <c r="V11" s="132" t="s">
        <v>112</v>
      </c>
      <c r="W11" s="120" t="s">
        <v>108</v>
      </c>
      <c r="X11" s="120" t="s">
        <v>69</v>
      </c>
      <c r="Y11" s="120" t="s">
        <v>69</v>
      </c>
      <c r="Z11" s="120" t="s">
        <v>69</v>
      </c>
      <c r="AA11" s="147" t="s">
        <v>92</v>
      </c>
      <c r="AB11" s="120" t="s">
        <v>69</v>
      </c>
      <c r="AC11" s="120" t="s">
        <v>69</v>
      </c>
      <c r="AD11" s="120" t="s">
        <v>108</v>
      </c>
      <c r="AE11" s="120" t="s">
        <v>69</v>
      </c>
      <c r="AF11" s="120" t="s">
        <v>69</v>
      </c>
      <c r="AG11" s="120" t="s">
        <v>69</v>
      </c>
      <c r="AH11" s="120" t="s">
        <v>69</v>
      </c>
      <c r="AI11" s="120" t="s">
        <v>69</v>
      </c>
      <c r="AJ11" s="120" t="s">
        <v>69</v>
      </c>
      <c r="AK11" s="119"/>
      <c r="AL11" s="119"/>
      <c r="AM11" s="119"/>
      <c r="AN11" s="119"/>
      <c r="AO11" s="119"/>
      <c r="AP11" s="119"/>
      <c r="AQ11" s="119"/>
      <c r="AR11" s="119"/>
      <c r="AS11" s="119"/>
      <c r="AT11" s="119"/>
      <c r="AU11" s="119"/>
      <c r="AV11" s="119"/>
      <c r="AW11" s="119"/>
      <c r="AX11" s="119"/>
    </row>
    <row r="12" spans="1:193" ht="18">
      <c r="A12" s="5">
        <v>11</v>
      </c>
      <c r="B12" s="16" t="s">
        <v>14</v>
      </c>
      <c r="C12" s="120">
        <v>0</v>
      </c>
      <c r="D12" s="120">
        <v>0</v>
      </c>
      <c r="E12" s="120">
        <f t="shared" si="2"/>
        <v>0</v>
      </c>
      <c r="F12" s="120" t="s">
        <v>69</v>
      </c>
      <c r="G12" s="120" t="s">
        <v>69</v>
      </c>
      <c r="H12" s="120" t="s">
        <v>69</v>
      </c>
      <c r="I12" s="120" t="s">
        <v>108</v>
      </c>
      <c r="J12" s="120" t="s">
        <v>69</v>
      </c>
      <c r="K12" s="120" t="s">
        <v>69</v>
      </c>
      <c r="L12" s="120" t="s">
        <v>69</v>
      </c>
      <c r="M12" s="120" t="s">
        <v>69</v>
      </c>
      <c r="N12" s="120" t="s">
        <v>69</v>
      </c>
      <c r="O12" s="120" t="s">
        <v>69</v>
      </c>
      <c r="P12" s="120" t="s">
        <v>108</v>
      </c>
      <c r="Q12" s="120" t="s">
        <v>69</v>
      </c>
      <c r="R12" s="120" t="s">
        <v>69</v>
      </c>
      <c r="S12" s="120" t="s">
        <v>69</v>
      </c>
      <c r="T12" s="120" t="s">
        <v>69</v>
      </c>
      <c r="U12" s="120" t="s">
        <v>69</v>
      </c>
      <c r="V12" s="120" t="s">
        <v>69</v>
      </c>
      <c r="W12" s="120" t="s">
        <v>108</v>
      </c>
      <c r="X12" s="120" t="s">
        <v>69</v>
      </c>
      <c r="Y12" s="120" t="s">
        <v>69</v>
      </c>
      <c r="Z12" s="120" t="s">
        <v>69</v>
      </c>
      <c r="AA12" s="120" t="s">
        <v>69</v>
      </c>
      <c r="AB12" s="120" t="s">
        <v>69</v>
      </c>
      <c r="AC12" s="120" t="s">
        <v>69</v>
      </c>
      <c r="AD12" s="120" t="s">
        <v>108</v>
      </c>
      <c r="AE12" s="120" t="s">
        <v>69</v>
      </c>
      <c r="AF12" s="120" t="s">
        <v>69</v>
      </c>
      <c r="AG12" s="120" t="s">
        <v>69</v>
      </c>
      <c r="AH12" s="120" t="s">
        <v>69</v>
      </c>
      <c r="AI12" s="120" t="s">
        <v>69</v>
      </c>
      <c r="AJ12" s="120" t="s">
        <v>69</v>
      </c>
      <c r="AK12" s="119"/>
      <c r="AL12" s="119"/>
      <c r="AM12" s="119"/>
      <c r="AN12" s="119"/>
      <c r="AO12" s="119"/>
      <c r="AP12" s="119"/>
      <c r="AQ12" s="119"/>
      <c r="AR12" s="119"/>
      <c r="AS12" s="119"/>
      <c r="AT12" s="119"/>
      <c r="AU12" s="119"/>
      <c r="AV12" s="119"/>
      <c r="AW12" s="119"/>
      <c r="AX12" s="119"/>
    </row>
    <row r="13" spans="1:193" ht="18">
      <c r="A13" s="5">
        <v>12</v>
      </c>
      <c r="B13" s="17" t="s">
        <v>15</v>
      </c>
      <c r="C13" s="120">
        <v>3</v>
      </c>
      <c r="D13" s="120">
        <v>1.5</v>
      </c>
      <c r="E13" s="120">
        <f t="shared" si="2"/>
        <v>1.5</v>
      </c>
      <c r="F13" s="120" t="s">
        <v>69</v>
      </c>
      <c r="G13" s="120" t="s">
        <v>69</v>
      </c>
      <c r="H13" s="120" t="s">
        <v>69</v>
      </c>
      <c r="I13" s="120" t="s">
        <v>108</v>
      </c>
      <c r="J13" s="120" t="s">
        <v>69</v>
      </c>
      <c r="K13" s="120" t="s">
        <v>69</v>
      </c>
      <c r="L13" s="120" t="s">
        <v>69</v>
      </c>
      <c r="M13" s="120" t="s">
        <v>69</v>
      </c>
      <c r="N13" s="120" t="s">
        <v>69</v>
      </c>
      <c r="O13" s="120" t="s">
        <v>69</v>
      </c>
      <c r="P13" s="120" t="s">
        <v>108</v>
      </c>
      <c r="Q13" s="120" t="s">
        <v>69</v>
      </c>
      <c r="R13" s="120" t="s">
        <v>69</v>
      </c>
      <c r="S13" s="120" t="s">
        <v>69</v>
      </c>
      <c r="T13" s="120" t="s">
        <v>69</v>
      </c>
      <c r="U13" s="131" t="s">
        <v>72</v>
      </c>
      <c r="V13" s="131" t="s">
        <v>72</v>
      </c>
      <c r="W13" s="120" t="s">
        <v>108</v>
      </c>
      <c r="X13" s="121" t="s">
        <v>72</v>
      </c>
      <c r="Y13" s="120" t="s">
        <v>69</v>
      </c>
      <c r="Z13" s="120" t="s">
        <v>69</v>
      </c>
      <c r="AA13" s="120" t="s">
        <v>69</v>
      </c>
      <c r="AB13" s="147" t="s">
        <v>92</v>
      </c>
      <c r="AC13" s="120" t="s">
        <v>69</v>
      </c>
      <c r="AD13" s="120" t="s">
        <v>108</v>
      </c>
      <c r="AE13" s="120" t="s">
        <v>69</v>
      </c>
      <c r="AF13" s="120" t="s">
        <v>69</v>
      </c>
      <c r="AG13" s="120" t="s">
        <v>69</v>
      </c>
      <c r="AH13" s="120" t="s">
        <v>69</v>
      </c>
      <c r="AI13" s="120" t="s">
        <v>69</v>
      </c>
      <c r="AJ13" s="120" t="s">
        <v>69</v>
      </c>
      <c r="AK13" s="119"/>
      <c r="AL13" s="119"/>
      <c r="AM13" s="119"/>
      <c r="AN13" s="119"/>
      <c r="AO13" s="119"/>
      <c r="AP13" s="119"/>
      <c r="AQ13" s="119"/>
      <c r="AR13" s="119"/>
      <c r="AS13" s="119"/>
      <c r="AT13" s="119"/>
      <c r="AU13" s="119"/>
      <c r="AV13" s="119"/>
      <c r="AW13" s="119"/>
      <c r="AX13" s="119"/>
    </row>
    <row r="14" spans="1:193" ht="18">
      <c r="A14" s="5">
        <v>13</v>
      </c>
      <c r="B14" s="16" t="s">
        <v>16</v>
      </c>
      <c r="C14" s="120">
        <v>2</v>
      </c>
      <c r="D14" s="120">
        <v>2</v>
      </c>
      <c r="E14" s="120">
        <f t="shared" si="2"/>
        <v>0</v>
      </c>
      <c r="F14" s="121" t="s">
        <v>72</v>
      </c>
      <c r="G14" s="120" t="s">
        <v>69</v>
      </c>
      <c r="H14" s="120" t="s">
        <v>69</v>
      </c>
      <c r="I14" s="120" t="s">
        <v>108</v>
      </c>
      <c r="J14" s="120" t="s">
        <v>69</v>
      </c>
      <c r="K14" s="120" t="s">
        <v>69</v>
      </c>
      <c r="L14" s="120" t="s">
        <v>69</v>
      </c>
      <c r="M14" s="120" t="s">
        <v>69</v>
      </c>
      <c r="N14" s="120" t="s">
        <v>69</v>
      </c>
      <c r="O14" s="120" t="s">
        <v>69</v>
      </c>
      <c r="P14" s="120" t="s">
        <v>108</v>
      </c>
      <c r="Q14" s="130" t="s">
        <v>92</v>
      </c>
      <c r="R14" s="120" t="s">
        <v>69</v>
      </c>
      <c r="S14" s="120" t="s">
        <v>69</v>
      </c>
      <c r="T14" s="120" t="s">
        <v>69</v>
      </c>
      <c r="U14" s="120" t="s">
        <v>69</v>
      </c>
      <c r="V14" s="120" t="s">
        <v>69</v>
      </c>
      <c r="W14" s="120" t="s">
        <v>108</v>
      </c>
      <c r="X14" s="120" t="s">
        <v>69</v>
      </c>
      <c r="Y14" s="120" t="s">
        <v>69</v>
      </c>
      <c r="Z14" s="120" t="s">
        <v>69</v>
      </c>
      <c r="AA14" s="120" t="s">
        <v>69</v>
      </c>
      <c r="AB14" s="132" t="s">
        <v>113</v>
      </c>
      <c r="AC14" s="132" t="s">
        <v>94</v>
      </c>
      <c r="AD14" s="120" t="s">
        <v>108</v>
      </c>
      <c r="AE14" s="120" t="s">
        <v>69</v>
      </c>
      <c r="AF14" s="120" t="s">
        <v>69</v>
      </c>
      <c r="AG14" s="120" t="s">
        <v>69</v>
      </c>
      <c r="AH14" s="120" t="s">
        <v>69</v>
      </c>
      <c r="AI14" s="120" t="s">
        <v>69</v>
      </c>
      <c r="AJ14" s="120" t="s">
        <v>69</v>
      </c>
      <c r="AK14" s="119"/>
      <c r="AL14" s="119"/>
      <c r="AM14" s="119"/>
      <c r="AN14" s="119"/>
      <c r="AO14" s="119"/>
      <c r="AP14" s="119"/>
      <c r="AQ14" s="119"/>
      <c r="AR14" s="119"/>
      <c r="AS14" s="119"/>
      <c r="AT14" s="119"/>
      <c r="AU14" s="119"/>
      <c r="AV14" s="119"/>
      <c r="AW14" s="119"/>
      <c r="AX14" s="119"/>
    </row>
    <row r="15" spans="1:193" ht="18">
      <c r="A15" s="5">
        <v>14</v>
      </c>
      <c r="B15" s="16" t="s">
        <v>17</v>
      </c>
      <c r="C15" s="120">
        <v>3</v>
      </c>
      <c r="D15" s="120">
        <v>3</v>
      </c>
      <c r="E15" s="120">
        <f t="shared" si="2"/>
        <v>0</v>
      </c>
      <c r="F15" s="120" t="s">
        <v>69</v>
      </c>
      <c r="G15" s="120" t="s">
        <v>69</v>
      </c>
      <c r="H15" s="130" t="s">
        <v>74</v>
      </c>
      <c r="I15" s="120" t="s">
        <v>108</v>
      </c>
      <c r="J15" s="120" t="s">
        <v>69</v>
      </c>
      <c r="K15" s="120" t="s">
        <v>69</v>
      </c>
      <c r="L15" s="120" t="s">
        <v>69</v>
      </c>
      <c r="M15" s="120" t="s">
        <v>69</v>
      </c>
      <c r="N15" s="120" t="s">
        <v>69</v>
      </c>
      <c r="O15" s="120" t="s">
        <v>69</v>
      </c>
      <c r="P15" s="120" t="s">
        <v>108</v>
      </c>
      <c r="Q15" s="120" t="s">
        <v>69</v>
      </c>
      <c r="R15" s="120" t="s">
        <v>69</v>
      </c>
      <c r="S15" s="120" t="s">
        <v>69</v>
      </c>
      <c r="T15" s="120" t="s">
        <v>69</v>
      </c>
      <c r="U15" s="120" t="s">
        <v>69</v>
      </c>
      <c r="V15" s="120" t="s">
        <v>69</v>
      </c>
      <c r="W15" s="120" t="s">
        <v>108</v>
      </c>
      <c r="X15" s="120" t="s">
        <v>69</v>
      </c>
      <c r="Y15" s="120" t="s">
        <v>69</v>
      </c>
      <c r="Z15" s="120" t="s">
        <v>69</v>
      </c>
      <c r="AA15" s="120" t="s">
        <v>69</v>
      </c>
      <c r="AB15" s="120" t="s">
        <v>69</v>
      </c>
      <c r="AC15" s="120" t="s">
        <v>69</v>
      </c>
      <c r="AD15" s="120" t="s">
        <v>108</v>
      </c>
      <c r="AE15" s="121" t="s">
        <v>72</v>
      </c>
      <c r="AF15" s="121" t="s">
        <v>72</v>
      </c>
      <c r="AG15" s="121" t="s">
        <v>72</v>
      </c>
      <c r="AH15" s="120" t="s">
        <v>69</v>
      </c>
      <c r="AI15" s="120" t="s">
        <v>69</v>
      </c>
      <c r="AJ15" s="120" t="s">
        <v>69</v>
      </c>
      <c r="AK15" s="119"/>
      <c r="AL15" s="119"/>
      <c r="AM15" s="119"/>
      <c r="AN15" s="119"/>
      <c r="AO15" s="119"/>
      <c r="AP15" s="119"/>
      <c r="AQ15" s="119"/>
      <c r="AR15" s="119"/>
      <c r="AS15" s="119"/>
      <c r="AT15" s="119"/>
      <c r="AU15" s="119"/>
      <c r="AV15" s="119"/>
      <c r="AW15" s="119"/>
      <c r="AX15" s="119"/>
    </row>
    <row r="16" spans="1:193" ht="18">
      <c r="A16" s="5">
        <v>15</v>
      </c>
      <c r="B16" s="17" t="s">
        <v>75</v>
      </c>
      <c r="C16" s="120">
        <v>1</v>
      </c>
      <c r="D16" s="120">
        <v>1</v>
      </c>
      <c r="E16" s="120">
        <f t="shared" si="2"/>
        <v>0</v>
      </c>
      <c r="F16" s="120" t="s">
        <v>69</v>
      </c>
      <c r="G16" s="120" t="s">
        <v>69</v>
      </c>
      <c r="H16" s="120" t="s">
        <v>69</v>
      </c>
      <c r="I16" s="120" t="s">
        <v>108</v>
      </c>
      <c r="J16" s="120" t="s">
        <v>69</v>
      </c>
      <c r="K16" s="132" t="s">
        <v>94</v>
      </c>
      <c r="L16" s="120" t="s">
        <v>69</v>
      </c>
      <c r="M16" s="120" t="s">
        <v>69</v>
      </c>
      <c r="N16" s="132" t="s">
        <v>94</v>
      </c>
      <c r="O16" s="120" t="s">
        <v>69</v>
      </c>
      <c r="P16" s="120" t="s">
        <v>108</v>
      </c>
      <c r="Q16" s="120" t="s">
        <v>69</v>
      </c>
      <c r="R16" s="120" t="s">
        <v>69</v>
      </c>
      <c r="S16" s="120" t="s">
        <v>69</v>
      </c>
      <c r="T16" s="120" t="s">
        <v>69</v>
      </c>
      <c r="U16" s="120" t="s">
        <v>69</v>
      </c>
      <c r="V16" s="120" t="s">
        <v>69</v>
      </c>
      <c r="W16" s="120" t="s">
        <v>108</v>
      </c>
      <c r="X16" s="120" t="s">
        <v>69</v>
      </c>
      <c r="Y16" s="120" t="s">
        <v>69</v>
      </c>
      <c r="Z16" s="120" t="s">
        <v>69</v>
      </c>
      <c r="AA16" s="120" t="s">
        <v>69</v>
      </c>
      <c r="AB16" s="120" t="s">
        <v>69</v>
      </c>
      <c r="AC16" s="120" t="s">
        <v>69</v>
      </c>
      <c r="AD16" s="120" t="s">
        <v>108</v>
      </c>
      <c r="AE16" s="120" t="s">
        <v>69</v>
      </c>
      <c r="AF16" s="120" t="s">
        <v>69</v>
      </c>
      <c r="AG16" s="120" t="s">
        <v>69</v>
      </c>
      <c r="AH16" s="120" t="s">
        <v>69</v>
      </c>
      <c r="AI16" s="120" t="s">
        <v>69</v>
      </c>
      <c r="AJ16" s="120" t="s">
        <v>69</v>
      </c>
      <c r="AK16" s="119"/>
      <c r="AL16" s="119"/>
      <c r="AM16" s="119"/>
      <c r="AN16" s="119"/>
      <c r="AO16" s="119"/>
      <c r="AP16" s="119"/>
      <c r="AQ16" s="119"/>
      <c r="AR16" s="119"/>
      <c r="AS16" s="119"/>
      <c r="AT16" s="119"/>
      <c r="AU16" s="119"/>
      <c r="AV16" s="119"/>
      <c r="AW16" s="119"/>
      <c r="AX16" s="119"/>
    </row>
    <row r="17" spans="1:50" ht="18">
      <c r="A17" s="5">
        <v>16</v>
      </c>
      <c r="B17" s="16" t="s">
        <v>19</v>
      </c>
      <c r="C17" s="120">
        <v>3.5</v>
      </c>
      <c r="D17" s="120">
        <v>1</v>
      </c>
      <c r="E17" s="120">
        <f t="shared" si="2"/>
        <v>2.5</v>
      </c>
      <c r="F17" s="120" t="s">
        <v>69</v>
      </c>
      <c r="G17" s="120" t="s">
        <v>69</v>
      </c>
      <c r="H17" s="120" t="s">
        <v>69</v>
      </c>
      <c r="I17" s="120" t="s">
        <v>108</v>
      </c>
      <c r="J17" s="121" t="s">
        <v>72</v>
      </c>
      <c r="K17" s="121" t="s">
        <v>72</v>
      </c>
      <c r="L17" s="120" t="s">
        <v>69</v>
      </c>
      <c r="M17" s="120" t="s">
        <v>69</v>
      </c>
      <c r="N17" s="120" t="s">
        <v>69</v>
      </c>
      <c r="O17" s="120" t="s">
        <v>69</v>
      </c>
      <c r="P17" s="120" t="s">
        <v>108</v>
      </c>
      <c r="Q17" s="120" t="s">
        <v>69</v>
      </c>
      <c r="R17" s="130" t="s">
        <v>92</v>
      </c>
      <c r="S17" s="131" t="s">
        <v>72</v>
      </c>
      <c r="T17" s="120" t="s">
        <v>69</v>
      </c>
      <c r="U17" s="120" t="s">
        <v>69</v>
      </c>
      <c r="V17" s="120" t="s">
        <v>69</v>
      </c>
      <c r="W17" s="120" t="s">
        <v>108</v>
      </c>
      <c r="X17" s="120" t="s">
        <v>69</v>
      </c>
      <c r="Y17" s="120" t="s">
        <v>69</v>
      </c>
      <c r="Z17" s="120" t="s">
        <v>69</v>
      </c>
      <c r="AA17" s="120" t="s">
        <v>69</v>
      </c>
      <c r="AB17" s="120" t="s">
        <v>69</v>
      </c>
      <c r="AC17" s="120" t="s">
        <v>69</v>
      </c>
      <c r="AD17" s="120" t="s">
        <v>108</v>
      </c>
      <c r="AE17" s="132" t="s">
        <v>94</v>
      </c>
      <c r="AF17" s="120" t="s">
        <v>69</v>
      </c>
      <c r="AG17" s="120" t="s">
        <v>69</v>
      </c>
      <c r="AH17" s="120" t="s">
        <v>69</v>
      </c>
      <c r="AI17" s="120" t="s">
        <v>69</v>
      </c>
      <c r="AJ17" s="120" t="s">
        <v>69</v>
      </c>
      <c r="AK17" s="119"/>
      <c r="AL17" s="119"/>
      <c r="AM17" s="119"/>
      <c r="AN17" s="119"/>
      <c r="AO17" s="119"/>
      <c r="AP17" s="119"/>
      <c r="AQ17" s="119"/>
      <c r="AR17" s="119"/>
      <c r="AS17" s="119"/>
      <c r="AT17" s="119"/>
      <c r="AU17" s="119"/>
      <c r="AV17" s="119"/>
      <c r="AW17" s="119"/>
      <c r="AX17" s="119"/>
    </row>
    <row r="18" spans="1:50" ht="18">
      <c r="A18" s="5">
        <v>17</v>
      </c>
      <c r="B18" s="16" t="s">
        <v>20</v>
      </c>
      <c r="C18" s="120">
        <v>4</v>
      </c>
      <c r="D18" s="120">
        <v>4</v>
      </c>
      <c r="E18" s="120">
        <f t="shared" si="2"/>
        <v>0</v>
      </c>
      <c r="F18" s="123" t="s">
        <v>71</v>
      </c>
      <c r="G18" s="120" t="s">
        <v>69</v>
      </c>
      <c r="H18" s="120" t="s">
        <v>69</v>
      </c>
      <c r="I18" s="120" t="s">
        <v>108</v>
      </c>
      <c r="J18" s="121" t="s">
        <v>72</v>
      </c>
      <c r="K18" s="120" t="s">
        <v>69</v>
      </c>
      <c r="L18" s="132" t="s">
        <v>73</v>
      </c>
      <c r="M18" s="120" t="s">
        <v>69</v>
      </c>
      <c r="N18" s="120" t="s">
        <v>69</v>
      </c>
      <c r="O18" s="120" t="s">
        <v>69</v>
      </c>
      <c r="P18" s="120" t="s">
        <v>108</v>
      </c>
      <c r="Q18" s="130" t="s">
        <v>92</v>
      </c>
      <c r="R18" s="121" t="s">
        <v>72</v>
      </c>
      <c r="S18" s="120" t="s">
        <v>69</v>
      </c>
      <c r="T18" s="120" t="s">
        <v>69</v>
      </c>
      <c r="U18" s="120" t="s">
        <v>69</v>
      </c>
      <c r="V18" s="120" t="s">
        <v>69</v>
      </c>
      <c r="W18" s="120" t="s">
        <v>108</v>
      </c>
      <c r="X18" s="120" t="s">
        <v>69</v>
      </c>
      <c r="Y18" s="120" t="s">
        <v>69</v>
      </c>
      <c r="Z18" s="120" t="s">
        <v>69</v>
      </c>
      <c r="AA18" s="120" t="s">
        <v>69</v>
      </c>
      <c r="AB18" s="120" t="s">
        <v>69</v>
      </c>
      <c r="AC18" s="120" t="s">
        <v>69</v>
      </c>
      <c r="AD18" s="120" t="s">
        <v>108</v>
      </c>
      <c r="AE18" s="132" t="s">
        <v>94</v>
      </c>
      <c r="AF18" s="120" t="s">
        <v>69</v>
      </c>
      <c r="AG18" s="120" t="s">
        <v>69</v>
      </c>
      <c r="AH18" s="120" t="s">
        <v>69</v>
      </c>
      <c r="AI18" s="120" t="s">
        <v>69</v>
      </c>
      <c r="AJ18" s="121" t="s">
        <v>72</v>
      </c>
      <c r="AK18" s="119"/>
      <c r="AL18" s="119"/>
      <c r="AM18" s="119"/>
      <c r="AN18" s="119"/>
      <c r="AO18" s="119"/>
      <c r="AP18" s="119"/>
      <c r="AQ18" s="119"/>
      <c r="AR18" s="119"/>
      <c r="AS18" s="119"/>
      <c r="AT18" s="119"/>
      <c r="AU18" s="119"/>
      <c r="AV18" s="119"/>
      <c r="AW18" s="119"/>
      <c r="AX18" s="119"/>
    </row>
    <row r="19" spans="1:50" ht="18">
      <c r="A19" s="5">
        <v>18</v>
      </c>
      <c r="B19" s="16" t="s">
        <v>21</v>
      </c>
      <c r="C19" s="120">
        <v>1</v>
      </c>
      <c r="D19" s="120">
        <v>1</v>
      </c>
      <c r="E19" s="120">
        <f t="shared" si="2"/>
        <v>0</v>
      </c>
      <c r="F19" s="120" t="s">
        <v>69</v>
      </c>
      <c r="G19" s="120" t="s">
        <v>69</v>
      </c>
      <c r="H19" s="120" t="s">
        <v>69</v>
      </c>
      <c r="I19" s="120" t="s">
        <v>108</v>
      </c>
      <c r="J19" s="120" t="s">
        <v>69</v>
      </c>
      <c r="K19" s="120" t="s">
        <v>69</v>
      </c>
      <c r="L19" s="120" t="s">
        <v>69</v>
      </c>
      <c r="M19" s="120" t="s">
        <v>69</v>
      </c>
      <c r="N19" s="120" t="s">
        <v>69</v>
      </c>
      <c r="O19" s="120" t="s">
        <v>69</v>
      </c>
      <c r="P19" s="120" t="s">
        <v>108</v>
      </c>
      <c r="Q19" s="120" t="s">
        <v>69</v>
      </c>
      <c r="R19" s="120" t="s">
        <v>69</v>
      </c>
      <c r="S19" s="120" t="s">
        <v>69</v>
      </c>
      <c r="T19" s="121" t="s">
        <v>72</v>
      </c>
      <c r="U19" s="120" t="s">
        <v>69</v>
      </c>
      <c r="V19" s="120" t="s">
        <v>69</v>
      </c>
      <c r="W19" s="120" t="s">
        <v>108</v>
      </c>
      <c r="X19" s="120" t="s">
        <v>69</v>
      </c>
      <c r="Y19" s="120" t="s">
        <v>69</v>
      </c>
      <c r="Z19" s="120" t="s">
        <v>69</v>
      </c>
      <c r="AA19" s="120" t="s">
        <v>69</v>
      </c>
      <c r="AB19" s="120" t="s">
        <v>69</v>
      </c>
      <c r="AC19" s="120" t="s">
        <v>69</v>
      </c>
      <c r="AD19" s="120" t="s">
        <v>108</v>
      </c>
      <c r="AE19" s="120" t="s">
        <v>69</v>
      </c>
      <c r="AF19" s="134" t="s">
        <v>69</v>
      </c>
      <c r="AG19" s="147" t="s">
        <v>92</v>
      </c>
      <c r="AH19" s="120" t="s">
        <v>69</v>
      </c>
      <c r="AI19" s="120" t="s">
        <v>69</v>
      </c>
      <c r="AJ19" s="120" t="s">
        <v>69</v>
      </c>
      <c r="AK19" s="119"/>
      <c r="AL19" s="119"/>
      <c r="AM19" s="119"/>
      <c r="AN19" s="119"/>
      <c r="AO19" s="119"/>
      <c r="AP19" s="119"/>
      <c r="AQ19" s="119"/>
      <c r="AR19" s="119"/>
      <c r="AS19" s="119"/>
      <c r="AT19" s="119"/>
      <c r="AU19" s="119"/>
      <c r="AV19" s="119"/>
      <c r="AW19" s="119"/>
      <c r="AX19" s="119"/>
    </row>
    <row r="20" spans="1:50" ht="18">
      <c r="A20" s="5">
        <v>19</v>
      </c>
      <c r="B20" s="16" t="s">
        <v>97</v>
      </c>
      <c r="C20" s="120">
        <v>5</v>
      </c>
      <c r="D20" s="120">
        <v>1</v>
      </c>
      <c r="E20" s="120">
        <f t="shared" si="2"/>
        <v>4</v>
      </c>
      <c r="F20" s="123" t="s">
        <v>71</v>
      </c>
      <c r="G20" s="120" t="s">
        <v>69</v>
      </c>
      <c r="H20" s="121" t="s">
        <v>72</v>
      </c>
      <c r="I20" s="120" t="s">
        <v>108</v>
      </c>
      <c r="J20" s="120" t="s">
        <v>69</v>
      </c>
      <c r="K20" s="120" t="s">
        <v>69</v>
      </c>
      <c r="L20" s="120" t="s">
        <v>69</v>
      </c>
      <c r="M20" s="120" t="s">
        <v>69</v>
      </c>
      <c r="N20" s="121" t="s">
        <v>72</v>
      </c>
      <c r="O20" s="121" t="s">
        <v>72</v>
      </c>
      <c r="P20" s="120" t="s">
        <v>108</v>
      </c>
      <c r="Q20" s="120" t="s">
        <v>69</v>
      </c>
      <c r="R20" s="120" t="s">
        <v>69</v>
      </c>
      <c r="S20" s="120" t="s">
        <v>69</v>
      </c>
      <c r="T20" s="120" t="s">
        <v>69</v>
      </c>
      <c r="U20" s="120" t="s">
        <v>69</v>
      </c>
      <c r="V20" s="121" t="s">
        <v>72</v>
      </c>
      <c r="W20" s="120" t="s">
        <v>108</v>
      </c>
      <c r="X20" s="120" t="s">
        <v>69</v>
      </c>
      <c r="Y20" s="120" t="s">
        <v>69</v>
      </c>
      <c r="Z20" s="120" t="s">
        <v>69</v>
      </c>
      <c r="AA20" s="120" t="s">
        <v>69</v>
      </c>
      <c r="AB20" s="120" t="s">
        <v>69</v>
      </c>
      <c r="AC20" s="121" t="s">
        <v>72</v>
      </c>
      <c r="AD20" s="120" t="s">
        <v>108</v>
      </c>
      <c r="AE20" s="120" t="s">
        <v>69</v>
      </c>
      <c r="AF20" s="120" t="s">
        <v>69</v>
      </c>
      <c r="AG20" s="120" t="s">
        <v>69</v>
      </c>
      <c r="AH20" s="120" t="s">
        <v>69</v>
      </c>
      <c r="AI20" s="120" t="s">
        <v>69</v>
      </c>
      <c r="AJ20" s="120" t="s">
        <v>69</v>
      </c>
      <c r="AK20" s="119"/>
      <c r="AL20" s="119"/>
      <c r="AM20" s="119"/>
      <c r="AN20" s="119"/>
      <c r="AO20" s="119"/>
      <c r="AP20" s="119"/>
      <c r="AQ20" s="119"/>
      <c r="AR20" s="119"/>
      <c r="AS20" s="119"/>
      <c r="AT20" s="119"/>
      <c r="AU20" s="119"/>
      <c r="AV20" s="119"/>
      <c r="AW20" s="119"/>
      <c r="AX20" s="119"/>
    </row>
    <row r="21" spans="1:50" ht="18">
      <c r="A21" s="5">
        <v>20</v>
      </c>
      <c r="B21" s="16" t="s">
        <v>22</v>
      </c>
      <c r="C21" s="120">
        <v>2</v>
      </c>
      <c r="D21" s="120">
        <v>1.5</v>
      </c>
      <c r="E21" s="120">
        <f t="shared" si="2"/>
        <v>0.5</v>
      </c>
      <c r="F21" s="121" t="s">
        <v>72</v>
      </c>
      <c r="G21" s="120" t="s">
        <v>69</v>
      </c>
      <c r="H21" s="120" t="s">
        <v>69</v>
      </c>
      <c r="I21" s="120" t="s">
        <v>108</v>
      </c>
      <c r="J21" s="120" t="s">
        <v>69</v>
      </c>
      <c r="K21" s="120" t="s">
        <v>69</v>
      </c>
      <c r="L21" s="121" t="s">
        <v>72</v>
      </c>
      <c r="M21" s="120" t="s">
        <v>69</v>
      </c>
      <c r="N21" s="120" t="s">
        <v>69</v>
      </c>
      <c r="O21" s="120" t="s">
        <v>69</v>
      </c>
      <c r="P21" s="120" t="s">
        <v>108</v>
      </c>
      <c r="Q21" s="120" t="s">
        <v>69</v>
      </c>
      <c r="R21" s="120" t="s">
        <v>69</v>
      </c>
      <c r="S21" s="120" t="s">
        <v>69</v>
      </c>
      <c r="T21" s="120" t="s">
        <v>69</v>
      </c>
      <c r="U21" s="120" t="s">
        <v>69</v>
      </c>
      <c r="V21" s="120" t="s">
        <v>69</v>
      </c>
      <c r="W21" s="120" t="s">
        <v>108</v>
      </c>
      <c r="X21" s="120" t="s">
        <v>69</v>
      </c>
      <c r="Y21" s="120" t="s">
        <v>69</v>
      </c>
      <c r="Z21" s="120" t="s">
        <v>69</v>
      </c>
      <c r="AA21" s="120" t="s">
        <v>69</v>
      </c>
      <c r="AB21" s="120" t="s">
        <v>69</v>
      </c>
      <c r="AC21" s="120" t="s">
        <v>69</v>
      </c>
      <c r="AD21" s="120" t="s">
        <v>108</v>
      </c>
      <c r="AE21" s="120" t="s">
        <v>69</v>
      </c>
      <c r="AF21" s="120" t="s">
        <v>69</v>
      </c>
      <c r="AG21" s="120" t="s">
        <v>69</v>
      </c>
      <c r="AH21" s="120" t="s">
        <v>69</v>
      </c>
      <c r="AI21" s="120" t="s">
        <v>69</v>
      </c>
      <c r="AJ21" s="160" t="s">
        <v>111</v>
      </c>
      <c r="AK21" s="119"/>
      <c r="AL21" s="119"/>
      <c r="AM21" s="119"/>
      <c r="AN21" s="119"/>
      <c r="AO21" s="119"/>
      <c r="AP21" s="119"/>
      <c r="AQ21" s="119"/>
      <c r="AR21" s="119"/>
      <c r="AS21" s="119"/>
      <c r="AT21" s="119"/>
      <c r="AU21" s="119"/>
      <c r="AV21" s="119"/>
      <c r="AW21" s="119"/>
      <c r="AX21" s="119"/>
    </row>
    <row r="22" spans="1:50" ht="18">
      <c r="A22" s="5">
        <v>21</v>
      </c>
      <c r="B22" s="16" t="s">
        <v>23</v>
      </c>
      <c r="C22" s="120">
        <v>13</v>
      </c>
      <c r="D22" s="120">
        <v>13</v>
      </c>
      <c r="E22" s="120">
        <f t="shared" si="2"/>
        <v>0</v>
      </c>
      <c r="F22" s="120" t="s">
        <v>69</v>
      </c>
      <c r="G22" s="120" t="s">
        <v>69</v>
      </c>
      <c r="H22" s="120" t="s">
        <v>69</v>
      </c>
      <c r="I22" s="120" t="s">
        <v>108</v>
      </c>
      <c r="J22" s="121" t="s">
        <v>72</v>
      </c>
      <c r="K22" s="130" t="s">
        <v>92</v>
      </c>
      <c r="L22" s="120" t="s">
        <v>69</v>
      </c>
      <c r="M22" s="120" t="s">
        <v>69</v>
      </c>
      <c r="N22" s="120" t="s">
        <v>69</v>
      </c>
      <c r="O22" s="120" t="s">
        <v>69</v>
      </c>
      <c r="P22" s="120" t="s">
        <v>108</v>
      </c>
      <c r="Q22" s="121" t="s">
        <v>72</v>
      </c>
      <c r="R22" s="121" t="s">
        <v>72</v>
      </c>
      <c r="S22" s="121" t="s">
        <v>72</v>
      </c>
      <c r="T22" s="121" t="s">
        <v>72</v>
      </c>
      <c r="U22" s="120" t="s">
        <v>69</v>
      </c>
      <c r="V22" s="120" t="s">
        <v>69</v>
      </c>
      <c r="W22" s="120" t="s">
        <v>108</v>
      </c>
      <c r="X22" s="120" t="s">
        <v>69</v>
      </c>
      <c r="Y22" s="121" t="s">
        <v>72</v>
      </c>
      <c r="Z22" s="121" t="s">
        <v>72</v>
      </c>
      <c r="AA22" s="121" t="s">
        <v>72</v>
      </c>
      <c r="AB22" s="121" t="s">
        <v>72</v>
      </c>
      <c r="AC22" s="121" t="s">
        <v>72</v>
      </c>
      <c r="AD22" s="120" t="s">
        <v>108</v>
      </c>
      <c r="AE22" s="121" t="s">
        <v>72</v>
      </c>
      <c r="AF22" s="121" t="s">
        <v>72</v>
      </c>
      <c r="AG22" s="121" t="s">
        <v>72</v>
      </c>
      <c r="AH22" s="120" t="s">
        <v>69</v>
      </c>
      <c r="AI22" s="120" t="s">
        <v>69</v>
      </c>
      <c r="AJ22" s="120" t="s">
        <v>69</v>
      </c>
      <c r="AK22" s="119"/>
      <c r="AL22" s="119"/>
      <c r="AM22" s="119"/>
      <c r="AN22" s="119"/>
      <c r="AO22" s="119"/>
      <c r="AP22" s="119"/>
      <c r="AQ22" s="119"/>
      <c r="AR22" s="119"/>
      <c r="AS22" s="119"/>
      <c r="AT22" s="119"/>
      <c r="AU22" s="119"/>
      <c r="AV22" s="119"/>
      <c r="AW22" s="119"/>
      <c r="AX22" s="119"/>
    </row>
    <row r="23" spans="1:50" ht="18">
      <c r="A23" s="5">
        <v>22</v>
      </c>
      <c r="B23" s="17" t="s">
        <v>24</v>
      </c>
      <c r="C23" s="120">
        <v>0</v>
      </c>
      <c r="D23" s="120">
        <v>0</v>
      </c>
      <c r="E23" s="120">
        <f t="shared" si="2"/>
        <v>0</v>
      </c>
      <c r="F23" s="120" t="s">
        <v>69</v>
      </c>
      <c r="G23" s="120" t="s">
        <v>69</v>
      </c>
      <c r="H23" s="120" t="s">
        <v>69</v>
      </c>
      <c r="I23" s="120" t="s">
        <v>108</v>
      </c>
      <c r="J23" s="130" t="s">
        <v>92</v>
      </c>
      <c r="K23" s="120" t="s">
        <v>69</v>
      </c>
      <c r="L23" s="120" t="s">
        <v>69</v>
      </c>
      <c r="M23" s="120" t="s">
        <v>69</v>
      </c>
      <c r="N23" s="120" t="s">
        <v>69</v>
      </c>
      <c r="O23" s="138" t="s">
        <v>69</v>
      </c>
      <c r="P23" s="120" t="s">
        <v>108</v>
      </c>
      <c r="Q23" s="120" t="s">
        <v>69</v>
      </c>
      <c r="R23" s="120" t="s">
        <v>69</v>
      </c>
      <c r="S23" s="120" t="s">
        <v>69</v>
      </c>
      <c r="T23" s="120" t="s">
        <v>69</v>
      </c>
      <c r="U23" s="120" t="s">
        <v>69</v>
      </c>
      <c r="V23" s="120" t="s">
        <v>69</v>
      </c>
      <c r="W23" s="120" t="s">
        <v>108</v>
      </c>
      <c r="X23" s="120" t="s">
        <v>69</v>
      </c>
      <c r="Y23" s="120" t="s">
        <v>69</v>
      </c>
      <c r="Z23" s="120" t="s">
        <v>69</v>
      </c>
      <c r="AA23" s="120" t="s">
        <v>69</v>
      </c>
      <c r="AB23" s="120" t="s">
        <v>69</v>
      </c>
      <c r="AC23" s="120" t="s">
        <v>69</v>
      </c>
      <c r="AD23" s="120" t="s">
        <v>108</v>
      </c>
      <c r="AE23" s="120" t="s">
        <v>69</v>
      </c>
      <c r="AF23" s="120" t="s">
        <v>69</v>
      </c>
      <c r="AG23" s="120" t="s">
        <v>69</v>
      </c>
      <c r="AH23" s="120" t="s">
        <v>69</v>
      </c>
      <c r="AI23" s="120" t="s">
        <v>69</v>
      </c>
      <c r="AJ23" s="120" t="s">
        <v>69</v>
      </c>
      <c r="AK23" s="119"/>
      <c r="AL23" s="119"/>
      <c r="AM23" s="119"/>
      <c r="AN23" s="119"/>
      <c r="AO23" s="119"/>
      <c r="AP23" s="119"/>
      <c r="AQ23" s="119"/>
      <c r="AR23" s="119"/>
      <c r="AS23" s="119"/>
      <c r="AT23" s="119"/>
      <c r="AU23" s="119"/>
      <c r="AV23" s="119"/>
      <c r="AW23" s="119"/>
      <c r="AX23" s="119"/>
    </row>
    <row r="24" spans="1:50" ht="18">
      <c r="A24" s="5">
        <v>23</v>
      </c>
      <c r="B24" s="16" t="s">
        <v>114</v>
      </c>
      <c r="C24" s="120">
        <v>10</v>
      </c>
      <c r="D24" s="120">
        <v>0</v>
      </c>
      <c r="E24" s="120">
        <f t="shared" si="2"/>
        <v>10</v>
      </c>
      <c r="F24" s="131" t="s">
        <v>72</v>
      </c>
      <c r="G24" s="131" t="s">
        <v>72</v>
      </c>
      <c r="H24" s="131" t="s">
        <v>72</v>
      </c>
      <c r="I24" s="120" t="s">
        <v>108</v>
      </c>
      <c r="J24" s="131" t="s">
        <v>72</v>
      </c>
      <c r="K24" s="131" t="s">
        <v>72</v>
      </c>
      <c r="L24" s="131" t="s">
        <v>72</v>
      </c>
      <c r="M24" s="131" t="s">
        <v>72</v>
      </c>
      <c r="N24" s="131" t="s">
        <v>72</v>
      </c>
      <c r="O24" s="120" t="s">
        <v>69</v>
      </c>
      <c r="P24" s="120" t="s">
        <v>108</v>
      </c>
      <c r="Q24" s="120" t="s">
        <v>69</v>
      </c>
      <c r="R24" s="120" t="s">
        <v>69</v>
      </c>
      <c r="S24" s="120" t="s">
        <v>69</v>
      </c>
      <c r="T24" s="120" t="s">
        <v>69</v>
      </c>
      <c r="U24" s="120" t="s">
        <v>69</v>
      </c>
      <c r="V24" s="120" t="s">
        <v>69</v>
      </c>
      <c r="W24" s="120" t="s">
        <v>108</v>
      </c>
      <c r="X24" s="120" t="s">
        <v>69</v>
      </c>
      <c r="Y24" s="120" t="s">
        <v>69</v>
      </c>
      <c r="Z24" s="120" t="s">
        <v>69</v>
      </c>
      <c r="AA24" s="120" t="s">
        <v>69</v>
      </c>
      <c r="AB24" s="120" t="s">
        <v>69</v>
      </c>
      <c r="AC24" s="120" t="s">
        <v>69</v>
      </c>
      <c r="AD24" s="120" t="s">
        <v>108</v>
      </c>
      <c r="AE24" s="120" t="s">
        <v>69</v>
      </c>
      <c r="AF24" s="120" t="s">
        <v>69</v>
      </c>
      <c r="AG24" s="120" t="s">
        <v>69</v>
      </c>
      <c r="AH24" s="120" t="s">
        <v>69</v>
      </c>
      <c r="AI24" s="120" t="s">
        <v>69</v>
      </c>
      <c r="AJ24" s="120" t="s">
        <v>69</v>
      </c>
      <c r="AK24" s="119"/>
      <c r="AL24" s="119"/>
      <c r="AM24" s="119"/>
      <c r="AN24" s="119"/>
      <c r="AO24" s="119"/>
      <c r="AP24" s="119"/>
      <c r="AQ24" s="119"/>
      <c r="AR24" s="119"/>
      <c r="AS24" s="119"/>
      <c r="AT24" s="119"/>
      <c r="AU24" s="119"/>
      <c r="AV24" s="119"/>
      <c r="AW24" s="119"/>
      <c r="AX24" s="119"/>
    </row>
    <row r="25" spans="1:50" ht="18">
      <c r="A25" s="5">
        <v>24</v>
      </c>
      <c r="B25" s="133" t="s">
        <v>115</v>
      </c>
      <c r="C25" s="120"/>
      <c r="D25" s="120"/>
      <c r="E25" s="120"/>
      <c r="F25" s="121" t="s">
        <v>72</v>
      </c>
      <c r="G25" s="120" t="s">
        <v>69</v>
      </c>
      <c r="H25" s="120" t="s">
        <v>69</v>
      </c>
      <c r="I25" s="120" t="s">
        <v>108</v>
      </c>
      <c r="J25" s="121" t="s">
        <v>72</v>
      </c>
      <c r="K25" s="121" t="s">
        <v>72</v>
      </c>
      <c r="L25" s="131" t="s">
        <v>76</v>
      </c>
      <c r="M25" s="131" t="s">
        <v>76</v>
      </c>
      <c r="N25" s="131" t="s">
        <v>76</v>
      </c>
      <c r="O25" s="131" t="s">
        <v>76</v>
      </c>
      <c r="P25" s="120" t="s">
        <v>108</v>
      </c>
      <c r="Q25" s="131" t="s">
        <v>76</v>
      </c>
      <c r="R25" s="131" t="s">
        <v>76</v>
      </c>
      <c r="S25" s="131" t="s">
        <v>76</v>
      </c>
      <c r="T25" s="131" t="s">
        <v>76</v>
      </c>
      <c r="U25" s="131" t="s">
        <v>76</v>
      </c>
      <c r="V25" s="131" t="s">
        <v>76</v>
      </c>
      <c r="W25" s="120" t="s">
        <v>108</v>
      </c>
      <c r="X25" s="131" t="s">
        <v>76</v>
      </c>
      <c r="Y25" s="131" t="s">
        <v>76</v>
      </c>
      <c r="Z25" s="131" t="s">
        <v>76</v>
      </c>
      <c r="AA25" s="142" t="s">
        <v>76</v>
      </c>
      <c r="AB25" s="131" t="s">
        <v>76</v>
      </c>
      <c r="AC25" s="131" t="s">
        <v>76</v>
      </c>
      <c r="AD25" s="120" t="s">
        <v>108</v>
      </c>
      <c r="AE25" s="131" t="s">
        <v>76</v>
      </c>
      <c r="AF25" s="131" t="s">
        <v>76</v>
      </c>
      <c r="AG25" s="131" t="s">
        <v>76</v>
      </c>
      <c r="AH25" s="131" t="s">
        <v>76</v>
      </c>
      <c r="AI25" s="152" t="s">
        <v>76</v>
      </c>
      <c r="AJ25" s="131" t="s">
        <v>76</v>
      </c>
      <c r="AK25" s="119"/>
      <c r="AL25" s="119"/>
      <c r="AM25" s="119"/>
      <c r="AN25" s="119"/>
      <c r="AO25" s="119"/>
      <c r="AP25" s="119"/>
      <c r="AQ25" s="119"/>
      <c r="AR25" s="119"/>
      <c r="AS25" s="119"/>
      <c r="AT25" s="119"/>
      <c r="AU25" s="119"/>
      <c r="AV25" s="119"/>
      <c r="AW25" s="119"/>
      <c r="AX25" s="119"/>
    </row>
    <row r="26" spans="1:50" ht="18">
      <c r="A26" s="5">
        <v>25</v>
      </c>
      <c r="B26" s="16" t="s">
        <v>26</v>
      </c>
      <c r="C26" s="120">
        <v>2</v>
      </c>
      <c r="D26" s="120">
        <v>2</v>
      </c>
      <c r="E26" s="120">
        <f t="shared" ref="E26:E33" si="3">C26-D26</f>
        <v>0</v>
      </c>
      <c r="F26" s="120" t="s">
        <v>69</v>
      </c>
      <c r="G26" s="120" t="s">
        <v>69</v>
      </c>
      <c r="H26" s="120" t="s">
        <v>69</v>
      </c>
      <c r="I26" s="120" t="s">
        <v>108</v>
      </c>
      <c r="J26" s="120" t="s">
        <v>69</v>
      </c>
      <c r="K26" s="120" t="s">
        <v>69</v>
      </c>
      <c r="L26" s="131" t="s">
        <v>72</v>
      </c>
      <c r="M26" s="131" t="s">
        <v>72</v>
      </c>
      <c r="N26" s="120" t="s">
        <v>69</v>
      </c>
      <c r="O26" s="120" t="s">
        <v>69</v>
      </c>
      <c r="P26" s="120" t="s">
        <v>108</v>
      </c>
      <c r="Q26" s="120" t="s">
        <v>69</v>
      </c>
      <c r="R26" s="120" t="s">
        <v>69</v>
      </c>
      <c r="S26" s="120" t="s">
        <v>69</v>
      </c>
      <c r="T26" s="120" t="s">
        <v>69</v>
      </c>
      <c r="U26" s="120" t="s">
        <v>69</v>
      </c>
      <c r="V26" s="120" t="s">
        <v>69</v>
      </c>
      <c r="W26" s="120" t="s">
        <v>108</v>
      </c>
      <c r="X26" s="120" t="s">
        <v>69</v>
      </c>
      <c r="Y26" s="120" t="s">
        <v>69</v>
      </c>
      <c r="Z26" s="140" t="s">
        <v>69</v>
      </c>
      <c r="AA26" s="120" t="s">
        <v>69</v>
      </c>
      <c r="AB26" s="120" t="s">
        <v>69</v>
      </c>
      <c r="AC26" s="120" t="s">
        <v>69</v>
      </c>
      <c r="AD26" s="120" t="s">
        <v>108</v>
      </c>
      <c r="AE26" s="120" t="s">
        <v>69</v>
      </c>
      <c r="AF26" s="120" t="s">
        <v>69</v>
      </c>
      <c r="AG26" s="120" t="s">
        <v>69</v>
      </c>
      <c r="AH26" s="120" t="s">
        <v>69</v>
      </c>
      <c r="AI26" s="120" t="s">
        <v>69</v>
      </c>
      <c r="AJ26" s="120" t="s">
        <v>69</v>
      </c>
      <c r="AK26" s="119"/>
      <c r="AL26" s="119"/>
      <c r="AM26" s="119"/>
      <c r="AN26" s="119"/>
      <c r="AO26" s="119"/>
      <c r="AP26" s="119"/>
      <c r="AQ26" s="119"/>
      <c r="AR26" s="119"/>
      <c r="AS26" s="119"/>
      <c r="AT26" s="119"/>
      <c r="AU26" s="119"/>
      <c r="AV26" s="119"/>
      <c r="AW26" s="119"/>
      <c r="AX26" s="119"/>
    </row>
    <row r="27" spans="1:50" ht="18">
      <c r="A27" s="5">
        <v>26</v>
      </c>
      <c r="B27" s="16" t="s">
        <v>27</v>
      </c>
      <c r="C27" s="120">
        <v>1</v>
      </c>
      <c r="D27" s="120">
        <v>1</v>
      </c>
      <c r="E27" s="120">
        <f t="shared" si="3"/>
        <v>0</v>
      </c>
      <c r="F27" s="120" t="s">
        <v>69</v>
      </c>
      <c r="G27" s="120" t="s">
        <v>69</v>
      </c>
      <c r="H27" s="120" t="s">
        <v>69</v>
      </c>
      <c r="I27" s="120" t="s">
        <v>108</v>
      </c>
      <c r="J27" s="120" t="s">
        <v>69</v>
      </c>
      <c r="K27" s="120" t="s">
        <v>69</v>
      </c>
      <c r="L27" s="120" t="s">
        <v>69</v>
      </c>
      <c r="M27" s="120" t="s">
        <v>69</v>
      </c>
      <c r="N27" s="120" t="s">
        <v>69</v>
      </c>
      <c r="O27" s="120" t="s">
        <v>69</v>
      </c>
      <c r="P27" s="120" t="s">
        <v>108</v>
      </c>
      <c r="Q27" s="120" t="s">
        <v>69</v>
      </c>
      <c r="R27" s="120" t="s">
        <v>69</v>
      </c>
      <c r="S27" s="120" t="s">
        <v>69</v>
      </c>
      <c r="T27" s="121" t="s">
        <v>72</v>
      </c>
      <c r="U27" s="120" t="s">
        <v>69</v>
      </c>
      <c r="V27" s="120" t="s">
        <v>69</v>
      </c>
      <c r="W27" s="120" t="s">
        <v>108</v>
      </c>
      <c r="X27" s="120" t="s">
        <v>69</v>
      </c>
      <c r="Y27" s="140" t="s">
        <v>69</v>
      </c>
      <c r="Z27" s="140" t="s">
        <v>69</v>
      </c>
      <c r="AA27" s="143" t="s">
        <v>92</v>
      </c>
      <c r="AB27" s="141" t="s">
        <v>69</v>
      </c>
      <c r="AC27" s="158" t="s">
        <v>69</v>
      </c>
      <c r="AD27" s="146" t="s">
        <v>108</v>
      </c>
      <c r="AE27" s="120" t="s">
        <v>69</v>
      </c>
      <c r="AF27" s="120" t="s">
        <v>69</v>
      </c>
      <c r="AG27" s="120" t="s">
        <v>69</v>
      </c>
      <c r="AH27" s="120" t="s">
        <v>69</v>
      </c>
      <c r="AI27" s="157" t="s">
        <v>69</v>
      </c>
      <c r="AJ27" s="157" t="s">
        <v>69</v>
      </c>
      <c r="AK27" s="119"/>
      <c r="AL27" s="119"/>
      <c r="AM27" s="119"/>
      <c r="AN27" s="119"/>
      <c r="AO27" s="119"/>
      <c r="AP27" s="119"/>
      <c r="AQ27" s="119"/>
      <c r="AR27" s="119"/>
      <c r="AS27" s="119"/>
      <c r="AT27" s="119"/>
      <c r="AU27" s="119"/>
      <c r="AV27" s="119"/>
      <c r="AW27" s="119"/>
      <c r="AX27" s="119"/>
    </row>
    <row r="28" spans="1:50" ht="18">
      <c r="A28" s="5">
        <v>27</v>
      </c>
      <c r="B28" s="16" t="s">
        <v>116</v>
      </c>
      <c r="C28" s="120">
        <v>21</v>
      </c>
      <c r="D28" s="120">
        <v>0</v>
      </c>
      <c r="E28" s="120">
        <f t="shared" si="3"/>
        <v>21</v>
      </c>
      <c r="F28" s="131" t="s">
        <v>72</v>
      </c>
      <c r="G28" s="131" t="s">
        <v>72</v>
      </c>
      <c r="H28" s="131" t="s">
        <v>72</v>
      </c>
      <c r="I28" s="131" t="s">
        <v>72</v>
      </c>
      <c r="J28" s="131" t="s">
        <v>72</v>
      </c>
      <c r="K28" s="131" t="s">
        <v>72</v>
      </c>
      <c r="L28" s="131" t="s">
        <v>72</v>
      </c>
      <c r="M28" s="131" t="s">
        <v>72</v>
      </c>
      <c r="N28" s="131" t="s">
        <v>72</v>
      </c>
      <c r="O28" s="131" t="s">
        <v>72</v>
      </c>
      <c r="P28" s="131" t="s">
        <v>72</v>
      </c>
      <c r="Q28" s="131" t="s">
        <v>72</v>
      </c>
      <c r="R28" s="131" t="s">
        <v>72</v>
      </c>
      <c r="S28" s="131" t="s">
        <v>72</v>
      </c>
      <c r="T28" s="131" t="s">
        <v>72</v>
      </c>
      <c r="U28" s="131" t="s">
        <v>72</v>
      </c>
      <c r="V28" s="131" t="s">
        <v>72</v>
      </c>
      <c r="W28" s="131" t="s">
        <v>72</v>
      </c>
      <c r="X28" s="131" t="s">
        <v>72</v>
      </c>
      <c r="Y28" s="140" t="s">
        <v>69</v>
      </c>
      <c r="Z28" s="140" t="s">
        <v>69</v>
      </c>
      <c r="AA28" s="148" t="s">
        <v>69</v>
      </c>
      <c r="AB28" s="140" t="s">
        <v>69</v>
      </c>
      <c r="AC28" s="120" t="s">
        <v>69</v>
      </c>
      <c r="AD28" s="146" t="s">
        <v>108</v>
      </c>
      <c r="AE28" s="120" t="s">
        <v>69</v>
      </c>
      <c r="AF28" s="120" t="s">
        <v>69</v>
      </c>
      <c r="AG28" s="121" t="s">
        <v>72</v>
      </c>
      <c r="AH28" s="153" t="s">
        <v>72</v>
      </c>
      <c r="AI28" s="120" t="s">
        <v>69</v>
      </c>
      <c r="AJ28" s="120" t="s">
        <v>69</v>
      </c>
      <c r="AK28" s="119"/>
      <c r="AL28" s="119"/>
      <c r="AM28" s="119"/>
      <c r="AN28" s="119"/>
      <c r="AO28" s="119"/>
      <c r="AP28" s="119"/>
      <c r="AQ28" s="119"/>
      <c r="AR28" s="119"/>
      <c r="AS28" s="119"/>
      <c r="AT28" s="119"/>
      <c r="AU28" s="119"/>
      <c r="AV28" s="119"/>
      <c r="AW28" s="119"/>
      <c r="AX28" s="119"/>
    </row>
    <row r="29" spans="1:50" ht="18">
      <c r="A29" s="5">
        <v>28</v>
      </c>
      <c r="B29" s="16" t="s">
        <v>28</v>
      </c>
      <c r="C29" s="120">
        <v>2</v>
      </c>
      <c r="D29" s="120">
        <v>2</v>
      </c>
      <c r="E29" s="120">
        <f t="shared" si="3"/>
        <v>0</v>
      </c>
      <c r="F29" s="120" t="s">
        <v>69</v>
      </c>
      <c r="G29" s="120" t="s">
        <v>69</v>
      </c>
      <c r="H29" s="130" t="s">
        <v>74</v>
      </c>
      <c r="I29" s="120" t="s">
        <v>108</v>
      </c>
      <c r="J29" s="120" t="s">
        <v>69</v>
      </c>
      <c r="K29" s="120" t="s">
        <v>69</v>
      </c>
      <c r="L29" s="121" t="s">
        <v>72</v>
      </c>
      <c r="M29" s="120" t="s">
        <v>69</v>
      </c>
      <c r="N29" s="120" t="s">
        <v>69</v>
      </c>
      <c r="O29" s="120" t="s">
        <v>69</v>
      </c>
      <c r="P29" s="120" t="s">
        <v>108</v>
      </c>
      <c r="Q29" s="120" t="s">
        <v>69</v>
      </c>
      <c r="R29" s="130" t="s">
        <v>92</v>
      </c>
      <c r="S29" s="120" t="s">
        <v>69</v>
      </c>
      <c r="T29" s="120" t="s">
        <v>69</v>
      </c>
      <c r="U29" s="120" t="s">
        <v>69</v>
      </c>
      <c r="V29" s="120" t="s">
        <v>69</v>
      </c>
      <c r="W29" s="120" t="s">
        <v>108</v>
      </c>
      <c r="X29" s="120" t="s">
        <v>69</v>
      </c>
      <c r="Y29" s="120" t="s">
        <v>69</v>
      </c>
      <c r="Z29" s="140" t="s">
        <v>69</v>
      </c>
      <c r="AA29" s="120" t="s">
        <v>69</v>
      </c>
      <c r="AB29" s="144" t="s">
        <v>72</v>
      </c>
      <c r="AC29" s="149" t="s">
        <v>69</v>
      </c>
      <c r="AD29" s="120" t="s">
        <v>108</v>
      </c>
      <c r="AE29" s="120" t="s">
        <v>69</v>
      </c>
      <c r="AF29" s="120" t="s">
        <v>69</v>
      </c>
      <c r="AG29" s="120" t="s">
        <v>69</v>
      </c>
      <c r="AH29" s="120" t="s">
        <v>69</v>
      </c>
      <c r="AI29" s="149" t="s">
        <v>69</v>
      </c>
      <c r="AJ29" s="149" t="s">
        <v>69</v>
      </c>
      <c r="AK29" s="119"/>
      <c r="AL29" s="119"/>
      <c r="AM29" s="119"/>
      <c r="AN29" s="119"/>
      <c r="AO29" s="119"/>
      <c r="AP29" s="119"/>
      <c r="AQ29" s="119"/>
      <c r="AR29" s="119"/>
      <c r="AS29" s="119"/>
      <c r="AT29" s="119"/>
      <c r="AU29" s="119"/>
      <c r="AV29" s="119"/>
      <c r="AW29" s="119"/>
      <c r="AX29" s="119"/>
    </row>
    <row r="30" spans="1:50" ht="18">
      <c r="A30" s="5">
        <v>29</v>
      </c>
      <c r="B30" s="16" t="s">
        <v>29</v>
      </c>
      <c r="C30" s="120">
        <v>1</v>
      </c>
      <c r="D30" s="120">
        <v>1</v>
      </c>
      <c r="E30" s="120">
        <f t="shared" si="3"/>
        <v>0</v>
      </c>
      <c r="F30" s="120" t="s">
        <v>69</v>
      </c>
      <c r="G30" s="120" t="s">
        <v>69</v>
      </c>
      <c r="H30" s="120" t="s">
        <v>69</v>
      </c>
      <c r="I30" s="120" t="s">
        <v>108</v>
      </c>
      <c r="J30" s="120" t="s">
        <v>69</v>
      </c>
      <c r="K30" s="120" t="s">
        <v>69</v>
      </c>
      <c r="L30" s="120" t="s">
        <v>69</v>
      </c>
      <c r="M30" s="120" t="s">
        <v>69</v>
      </c>
      <c r="N30" s="130" t="s">
        <v>92</v>
      </c>
      <c r="O30" s="120" t="s">
        <v>69</v>
      </c>
      <c r="P30" s="120" t="s">
        <v>108</v>
      </c>
      <c r="Q30" s="120" t="s">
        <v>69</v>
      </c>
      <c r="R30" s="120" t="s">
        <v>69</v>
      </c>
      <c r="S30" s="120" t="s">
        <v>69</v>
      </c>
      <c r="T30" s="120" t="s">
        <v>69</v>
      </c>
      <c r="U30" s="130" t="s">
        <v>92</v>
      </c>
      <c r="V30" s="120" t="s">
        <v>69</v>
      </c>
      <c r="W30" s="120" t="s">
        <v>108</v>
      </c>
      <c r="X30" s="120" t="s">
        <v>69</v>
      </c>
      <c r="Y30" s="120" t="s">
        <v>69</v>
      </c>
      <c r="Z30" s="120" t="s">
        <v>69</v>
      </c>
      <c r="AA30" s="149" t="s">
        <v>69</v>
      </c>
      <c r="AB30" s="120" t="s">
        <v>69</v>
      </c>
      <c r="AC30" s="120" t="s">
        <v>69</v>
      </c>
      <c r="AD30" s="146" t="s">
        <v>108</v>
      </c>
      <c r="AE30" s="120" t="s">
        <v>69</v>
      </c>
      <c r="AF30" s="121" t="s">
        <v>72</v>
      </c>
      <c r="AG30" s="120" t="s">
        <v>69</v>
      </c>
      <c r="AH30" s="120" t="s">
        <v>69</v>
      </c>
      <c r="AI30" s="120" t="s">
        <v>69</v>
      </c>
      <c r="AJ30" s="120" t="s">
        <v>69</v>
      </c>
      <c r="AK30" s="119"/>
      <c r="AL30" s="119"/>
      <c r="AM30" s="119"/>
      <c r="AN30" s="119"/>
      <c r="AO30" s="119"/>
      <c r="AP30" s="119"/>
      <c r="AQ30" s="119"/>
      <c r="AR30" s="119"/>
      <c r="AS30" s="119"/>
      <c r="AT30" s="119"/>
      <c r="AU30" s="119"/>
      <c r="AV30" s="119"/>
      <c r="AW30" s="119"/>
      <c r="AX30" s="119"/>
    </row>
    <row r="31" spans="1:50" ht="18">
      <c r="A31" s="5">
        <v>30</v>
      </c>
      <c r="B31" s="16" t="s">
        <v>30</v>
      </c>
      <c r="C31" s="120">
        <v>2</v>
      </c>
      <c r="D31" s="120">
        <v>2</v>
      </c>
      <c r="E31" s="120">
        <f t="shared" si="3"/>
        <v>0</v>
      </c>
      <c r="F31" s="121" t="s">
        <v>72</v>
      </c>
      <c r="G31" s="120" t="s">
        <v>69</v>
      </c>
      <c r="H31" s="120" t="s">
        <v>69</v>
      </c>
      <c r="I31" s="120" t="s">
        <v>108</v>
      </c>
      <c r="J31" s="120" t="s">
        <v>69</v>
      </c>
      <c r="K31" s="120" t="s">
        <v>69</v>
      </c>
      <c r="L31" s="120" t="s">
        <v>69</v>
      </c>
      <c r="M31" s="121" t="s">
        <v>72</v>
      </c>
      <c r="N31" s="120" t="s">
        <v>69</v>
      </c>
      <c r="O31" s="120" t="s">
        <v>69</v>
      </c>
      <c r="P31" s="120" t="s">
        <v>108</v>
      </c>
      <c r="Q31" s="120" t="s">
        <v>69</v>
      </c>
      <c r="R31" s="120" t="s">
        <v>69</v>
      </c>
      <c r="S31" s="120" t="s">
        <v>69</v>
      </c>
      <c r="T31" s="120" t="s">
        <v>69</v>
      </c>
      <c r="U31" s="120" t="s">
        <v>69</v>
      </c>
      <c r="V31" s="120" t="s">
        <v>69</v>
      </c>
      <c r="W31" s="120" t="s">
        <v>108</v>
      </c>
      <c r="X31" s="120" t="s">
        <v>69</v>
      </c>
      <c r="Y31" s="120" t="s">
        <v>69</v>
      </c>
      <c r="Z31" s="120" t="s">
        <v>69</v>
      </c>
      <c r="AA31" s="120" t="s">
        <v>69</v>
      </c>
      <c r="AB31" s="120" t="s">
        <v>69</v>
      </c>
      <c r="AC31" s="120" t="s">
        <v>69</v>
      </c>
      <c r="AD31" s="146" t="s">
        <v>108</v>
      </c>
      <c r="AE31" s="120" t="s">
        <v>69</v>
      </c>
      <c r="AF31" s="120" t="s">
        <v>69</v>
      </c>
      <c r="AG31" s="120" t="s">
        <v>69</v>
      </c>
      <c r="AH31" s="120" t="s">
        <v>69</v>
      </c>
      <c r="AI31" s="120" t="s">
        <v>69</v>
      </c>
      <c r="AJ31" s="120" t="s">
        <v>69</v>
      </c>
      <c r="AK31" s="119"/>
      <c r="AL31" s="119"/>
      <c r="AM31" s="119"/>
      <c r="AN31" s="119"/>
      <c r="AO31" s="119"/>
      <c r="AP31" s="119"/>
      <c r="AQ31" s="119"/>
      <c r="AR31" s="119"/>
      <c r="AS31" s="119"/>
      <c r="AT31" s="119"/>
      <c r="AU31" s="119"/>
      <c r="AV31" s="119"/>
      <c r="AW31" s="119"/>
      <c r="AX31" s="119"/>
    </row>
    <row r="32" spans="1:50" ht="18">
      <c r="A32" s="5">
        <v>31</v>
      </c>
      <c r="B32" s="16" t="s">
        <v>31</v>
      </c>
      <c r="C32" s="120">
        <v>3</v>
      </c>
      <c r="D32" s="120">
        <v>1</v>
      </c>
      <c r="E32" s="120">
        <f t="shared" si="3"/>
        <v>2</v>
      </c>
      <c r="F32" s="120" t="s">
        <v>69</v>
      </c>
      <c r="G32" s="121" t="s">
        <v>72</v>
      </c>
      <c r="H32" s="120" t="s">
        <v>69</v>
      </c>
      <c r="I32" s="120" t="s">
        <v>108</v>
      </c>
      <c r="J32" s="121" t="s">
        <v>72</v>
      </c>
      <c r="K32" s="120" t="s">
        <v>69</v>
      </c>
      <c r="L32" s="120" t="s">
        <v>69</v>
      </c>
      <c r="M32" s="120" t="s">
        <v>69</v>
      </c>
      <c r="N32" s="120" t="s">
        <v>69</v>
      </c>
      <c r="O32" s="137" t="s">
        <v>78</v>
      </c>
      <c r="P32" s="120" t="s">
        <v>108</v>
      </c>
      <c r="Q32" s="120" t="s">
        <v>69</v>
      </c>
      <c r="R32" s="120" t="s">
        <v>69</v>
      </c>
      <c r="S32" s="121" t="s">
        <v>72</v>
      </c>
      <c r="T32" s="120" t="s">
        <v>69</v>
      </c>
      <c r="U32" s="120" t="s">
        <v>69</v>
      </c>
      <c r="V32" s="120" t="s">
        <v>69</v>
      </c>
      <c r="W32" s="120" t="s">
        <v>108</v>
      </c>
      <c r="X32" s="120" t="s">
        <v>69</v>
      </c>
      <c r="Y32" s="120" t="s">
        <v>69</v>
      </c>
      <c r="Z32" s="120" t="s">
        <v>69</v>
      </c>
      <c r="AA32" s="120" t="s">
        <v>69</v>
      </c>
      <c r="AB32" s="120" t="s">
        <v>69</v>
      </c>
      <c r="AC32" s="120" t="s">
        <v>69</v>
      </c>
      <c r="AD32" s="120" t="s">
        <v>108</v>
      </c>
      <c r="AE32" s="120" t="s">
        <v>69</v>
      </c>
      <c r="AF32" s="120" t="s">
        <v>69</v>
      </c>
      <c r="AG32" s="120" t="s">
        <v>69</v>
      </c>
      <c r="AH32" s="120" t="s">
        <v>69</v>
      </c>
      <c r="AI32" s="120" t="s">
        <v>69</v>
      </c>
      <c r="AJ32" s="120" t="s">
        <v>69</v>
      </c>
      <c r="AK32" s="119"/>
      <c r="AL32" s="119"/>
      <c r="AM32" s="119"/>
      <c r="AN32" s="119"/>
      <c r="AO32" s="119"/>
      <c r="AP32" s="119"/>
      <c r="AQ32" s="119"/>
      <c r="AR32" s="119"/>
      <c r="AS32" s="119"/>
      <c r="AT32" s="119"/>
      <c r="AU32" s="119"/>
      <c r="AV32" s="119"/>
      <c r="AW32" s="119"/>
      <c r="AX32" s="119"/>
    </row>
    <row r="33" spans="1:50" ht="18">
      <c r="A33" s="5">
        <v>32</v>
      </c>
      <c r="B33" s="17" t="s">
        <v>33</v>
      </c>
      <c r="C33" s="120">
        <v>1</v>
      </c>
      <c r="D33" s="120">
        <v>1</v>
      </c>
      <c r="E33" s="120">
        <f t="shared" si="3"/>
        <v>0</v>
      </c>
      <c r="F33" s="120" t="s">
        <v>69</v>
      </c>
      <c r="G33" s="120" t="s">
        <v>69</v>
      </c>
      <c r="H33" s="120" t="s">
        <v>69</v>
      </c>
      <c r="I33" s="120" t="s">
        <v>108</v>
      </c>
      <c r="J33" s="120" t="s">
        <v>69</v>
      </c>
      <c r="K33" s="120" t="s">
        <v>69</v>
      </c>
      <c r="L33" s="130" t="s">
        <v>92</v>
      </c>
      <c r="M33" s="120" t="s">
        <v>69</v>
      </c>
      <c r="N33" s="120" t="s">
        <v>69</v>
      </c>
      <c r="O33" s="120" t="s">
        <v>69</v>
      </c>
      <c r="P33" s="120" t="s">
        <v>108</v>
      </c>
      <c r="Q33" s="130" t="s">
        <v>92</v>
      </c>
      <c r="R33" s="120" t="s">
        <v>69</v>
      </c>
      <c r="S33" s="120" t="s">
        <v>69</v>
      </c>
      <c r="T33" s="120" t="s">
        <v>69</v>
      </c>
      <c r="U33" s="120" t="s">
        <v>69</v>
      </c>
      <c r="V33" s="120" t="s">
        <v>69</v>
      </c>
      <c r="W33" s="120" t="s">
        <v>108</v>
      </c>
      <c r="X33" s="120" t="s">
        <v>69</v>
      </c>
      <c r="Y33" s="120" t="s">
        <v>69</v>
      </c>
      <c r="Z33" s="121" t="s">
        <v>72</v>
      </c>
      <c r="AA33" s="120" t="s">
        <v>69</v>
      </c>
      <c r="AB33" s="120" t="s">
        <v>69</v>
      </c>
      <c r="AC33" s="120" t="s">
        <v>69</v>
      </c>
      <c r="AD33" s="146" t="s">
        <v>108</v>
      </c>
      <c r="AE33" s="120" t="s">
        <v>69</v>
      </c>
      <c r="AF33" s="120" t="s">
        <v>69</v>
      </c>
      <c r="AG33" s="120" t="s">
        <v>69</v>
      </c>
      <c r="AH33" s="120" t="s">
        <v>69</v>
      </c>
      <c r="AI33" s="120" t="s">
        <v>69</v>
      </c>
      <c r="AJ33" s="120" t="s">
        <v>69</v>
      </c>
      <c r="AK33" s="119"/>
      <c r="AL33" s="119"/>
      <c r="AM33" s="119"/>
      <c r="AN33" s="119"/>
      <c r="AO33" s="119"/>
      <c r="AP33" s="119"/>
      <c r="AQ33" s="119"/>
      <c r="AR33" s="119"/>
      <c r="AS33" s="119"/>
      <c r="AT33" s="119"/>
      <c r="AU33" s="119"/>
      <c r="AV33" s="119"/>
      <c r="AW33" s="119"/>
      <c r="AX33" s="119"/>
    </row>
    <row r="34" spans="1:50" ht="18">
      <c r="A34" s="5">
        <v>33</v>
      </c>
      <c r="B34" s="133" t="s">
        <v>117</v>
      </c>
      <c r="C34" s="120"/>
      <c r="D34" s="120"/>
      <c r="E34" s="120"/>
      <c r="F34" s="121" t="s">
        <v>72</v>
      </c>
      <c r="G34" s="121" t="s">
        <v>72</v>
      </c>
      <c r="H34" s="121" t="s">
        <v>72</v>
      </c>
      <c r="I34" s="120" t="s">
        <v>108</v>
      </c>
      <c r="J34" s="120" t="s">
        <v>69</v>
      </c>
      <c r="K34" s="120" t="s">
        <v>69</v>
      </c>
      <c r="L34" s="121" t="s">
        <v>72</v>
      </c>
      <c r="M34" s="121" t="s">
        <v>72</v>
      </c>
      <c r="N34" s="121" t="s">
        <v>72</v>
      </c>
      <c r="O34" s="121" t="s">
        <v>72</v>
      </c>
      <c r="P34" s="120" t="s">
        <v>108</v>
      </c>
      <c r="Q34" s="121" t="s">
        <v>76</v>
      </c>
      <c r="R34" s="121" t="s">
        <v>76</v>
      </c>
      <c r="S34" s="121" t="s">
        <v>76</v>
      </c>
      <c r="T34" s="121" t="s">
        <v>76</v>
      </c>
      <c r="U34" s="121" t="s">
        <v>76</v>
      </c>
      <c r="V34" s="121" t="s">
        <v>76</v>
      </c>
      <c r="W34" s="121" t="s">
        <v>76</v>
      </c>
      <c r="X34" s="121" t="s">
        <v>76</v>
      </c>
      <c r="Y34" s="121" t="s">
        <v>76</v>
      </c>
      <c r="Z34" s="121" t="s">
        <v>76</v>
      </c>
      <c r="AA34" s="121" t="s">
        <v>76</v>
      </c>
      <c r="AB34" s="121" t="s">
        <v>76</v>
      </c>
      <c r="AC34" s="121" t="s">
        <v>76</v>
      </c>
      <c r="AD34" s="121" t="s">
        <v>76</v>
      </c>
      <c r="AE34" s="121" t="s">
        <v>76</v>
      </c>
      <c r="AF34" s="121" t="s">
        <v>76</v>
      </c>
      <c r="AG34" s="121" t="s">
        <v>76</v>
      </c>
      <c r="AH34" s="121" t="s">
        <v>76</v>
      </c>
      <c r="AI34" s="153" t="s">
        <v>76</v>
      </c>
      <c r="AJ34" s="121" t="s">
        <v>76</v>
      </c>
      <c r="AK34" s="119"/>
      <c r="AL34" s="119"/>
      <c r="AM34" s="119"/>
      <c r="AN34" s="119"/>
      <c r="AO34" s="119"/>
      <c r="AP34" s="119"/>
      <c r="AQ34" s="119"/>
      <c r="AR34" s="119"/>
      <c r="AS34" s="119"/>
      <c r="AT34" s="119"/>
      <c r="AU34" s="119"/>
      <c r="AV34" s="119"/>
      <c r="AW34" s="119"/>
      <c r="AX34" s="119"/>
    </row>
    <row r="35" spans="1:50" ht="18">
      <c r="A35" s="5">
        <v>34</v>
      </c>
      <c r="B35" s="28" t="s">
        <v>77</v>
      </c>
      <c r="C35" s="120">
        <v>4</v>
      </c>
      <c r="D35" s="120">
        <v>4</v>
      </c>
      <c r="E35" s="120">
        <f t="shared" ref="E35:E46" si="4">C35-D35</f>
        <v>0</v>
      </c>
      <c r="F35" s="124" t="s">
        <v>71</v>
      </c>
      <c r="G35" s="120" t="s">
        <v>69</v>
      </c>
      <c r="H35" s="120" t="s">
        <v>69</v>
      </c>
      <c r="I35" s="120" t="s">
        <v>108</v>
      </c>
      <c r="J35" s="120" t="s">
        <v>69</v>
      </c>
      <c r="K35" s="120" t="s">
        <v>69</v>
      </c>
      <c r="L35" s="120" t="s">
        <v>69</v>
      </c>
      <c r="M35" s="120" t="s">
        <v>69</v>
      </c>
      <c r="N35" s="120" t="s">
        <v>69</v>
      </c>
      <c r="O35" s="120" t="s">
        <v>69</v>
      </c>
      <c r="P35" s="120" t="s">
        <v>108</v>
      </c>
      <c r="Q35" s="121" t="s">
        <v>72</v>
      </c>
      <c r="R35" s="121" t="s">
        <v>72</v>
      </c>
      <c r="S35" s="121" t="s">
        <v>72</v>
      </c>
      <c r="T35" s="120" t="s">
        <v>69</v>
      </c>
      <c r="U35" s="120" t="s">
        <v>69</v>
      </c>
      <c r="V35" s="120" t="s">
        <v>69</v>
      </c>
      <c r="W35" s="120" t="s">
        <v>108</v>
      </c>
      <c r="X35" s="120" t="s">
        <v>69</v>
      </c>
      <c r="Y35" s="120" t="s">
        <v>69</v>
      </c>
      <c r="Z35" s="120" t="s">
        <v>69</v>
      </c>
      <c r="AA35" s="120" t="s">
        <v>69</v>
      </c>
      <c r="AB35" s="120" t="s">
        <v>69</v>
      </c>
      <c r="AC35" s="120" t="s">
        <v>69</v>
      </c>
      <c r="AD35" s="120" t="s">
        <v>108</v>
      </c>
      <c r="AE35" s="120" t="s">
        <v>69</v>
      </c>
      <c r="AF35" s="120" t="s">
        <v>69</v>
      </c>
      <c r="AG35" s="121" t="s">
        <v>72</v>
      </c>
      <c r="AH35" s="120" t="s">
        <v>69</v>
      </c>
      <c r="AI35" s="120" t="s">
        <v>69</v>
      </c>
      <c r="AJ35" s="120" t="s">
        <v>69</v>
      </c>
      <c r="AK35" s="119"/>
      <c r="AL35" s="119"/>
      <c r="AM35" s="119"/>
      <c r="AN35" s="119"/>
      <c r="AO35" s="119"/>
      <c r="AP35" s="119"/>
      <c r="AQ35" s="119"/>
      <c r="AR35" s="119"/>
      <c r="AS35" s="119"/>
      <c r="AT35" s="119"/>
      <c r="AU35" s="119"/>
      <c r="AV35" s="119"/>
      <c r="AW35" s="119"/>
      <c r="AX35" s="119"/>
    </row>
    <row r="36" spans="1:50" ht="18">
      <c r="A36" s="5">
        <v>35</v>
      </c>
      <c r="B36" s="17" t="s">
        <v>35</v>
      </c>
      <c r="C36" s="120">
        <v>1</v>
      </c>
      <c r="D36" s="120">
        <v>1</v>
      </c>
      <c r="E36" s="120">
        <f t="shared" si="4"/>
        <v>0</v>
      </c>
      <c r="F36" s="120" t="s">
        <v>69</v>
      </c>
      <c r="G36" s="120" t="s">
        <v>69</v>
      </c>
      <c r="H36" s="120" t="s">
        <v>69</v>
      </c>
      <c r="I36" s="120" t="s">
        <v>108</v>
      </c>
      <c r="J36" s="120" t="s">
        <v>69</v>
      </c>
      <c r="K36" s="120" t="s">
        <v>69</v>
      </c>
      <c r="L36" s="120" t="s">
        <v>69</v>
      </c>
      <c r="M36" s="120" t="s">
        <v>69</v>
      </c>
      <c r="N36" s="120" t="s">
        <v>69</v>
      </c>
      <c r="O36" s="120" t="s">
        <v>69</v>
      </c>
      <c r="P36" s="120" t="s">
        <v>108</v>
      </c>
      <c r="Q36" s="121" t="s">
        <v>72</v>
      </c>
      <c r="R36" s="120" t="s">
        <v>69</v>
      </c>
      <c r="S36" s="120" t="s">
        <v>69</v>
      </c>
      <c r="T36" s="120" t="s">
        <v>69</v>
      </c>
      <c r="U36" s="120" t="s">
        <v>69</v>
      </c>
      <c r="V36" s="120" t="s">
        <v>69</v>
      </c>
      <c r="W36" s="120" t="s">
        <v>108</v>
      </c>
      <c r="X36" s="120" t="s">
        <v>69</v>
      </c>
      <c r="Y36" s="120" t="s">
        <v>69</v>
      </c>
      <c r="Z36" s="120" t="s">
        <v>69</v>
      </c>
      <c r="AA36" s="120" t="s">
        <v>69</v>
      </c>
      <c r="AB36" s="120" t="s">
        <v>69</v>
      </c>
      <c r="AC36" s="120" t="s">
        <v>69</v>
      </c>
      <c r="AD36" s="120" t="s">
        <v>108</v>
      </c>
      <c r="AE36" s="120" t="s">
        <v>69</v>
      </c>
      <c r="AF36" s="120" t="s">
        <v>69</v>
      </c>
      <c r="AG36" s="120" t="s">
        <v>69</v>
      </c>
      <c r="AH36" s="120" t="s">
        <v>69</v>
      </c>
      <c r="AI36" s="120" t="s">
        <v>69</v>
      </c>
      <c r="AJ36" s="120" t="s">
        <v>69</v>
      </c>
      <c r="AK36" s="119"/>
      <c r="AL36" s="119"/>
      <c r="AM36" s="119"/>
      <c r="AN36" s="119"/>
      <c r="AO36" s="119"/>
      <c r="AP36" s="119"/>
      <c r="AQ36" s="119"/>
      <c r="AR36" s="119"/>
      <c r="AS36" s="119"/>
      <c r="AT36" s="119"/>
      <c r="AU36" s="119"/>
      <c r="AV36" s="119"/>
      <c r="AW36" s="119"/>
      <c r="AX36" s="119"/>
    </row>
    <row r="37" spans="1:50" ht="18">
      <c r="A37" s="5">
        <v>36</v>
      </c>
      <c r="B37" s="17" t="s">
        <v>118</v>
      </c>
      <c r="C37" s="120">
        <v>1</v>
      </c>
      <c r="D37" s="120">
        <v>1</v>
      </c>
      <c r="E37" s="120">
        <f t="shared" si="4"/>
        <v>0</v>
      </c>
      <c r="F37" s="120" t="s">
        <v>69</v>
      </c>
      <c r="G37" s="120" t="s">
        <v>69</v>
      </c>
      <c r="H37" s="120" t="s">
        <v>69</v>
      </c>
      <c r="I37" s="120" t="s">
        <v>108</v>
      </c>
      <c r="J37" s="120" t="s">
        <v>69</v>
      </c>
      <c r="K37" s="130" t="s">
        <v>92</v>
      </c>
      <c r="L37" s="120" t="s">
        <v>69</v>
      </c>
      <c r="M37" s="120" t="s">
        <v>69</v>
      </c>
      <c r="N37" s="130" t="s">
        <v>92</v>
      </c>
      <c r="O37" s="120" t="s">
        <v>69</v>
      </c>
      <c r="P37" s="120" t="s">
        <v>108</v>
      </c>
      <c r="Q37" s="120" t="s">
        <v>69</v>
      </c>
      <c r="R37" s="120" t="s">
        <v>69</v>
      </c>
      <c r="S37" s="120" t="s">
        <v>69</v>
      </c>
      <c r="T37" s="120" t="s">
        <v>69</v>
      </c>
      <c r="U37" s="120" t="s">
        <v>69</v>
      </c>
      <c r="V37" s="120" t="s">
        <v>69</v>
      </c>
      <c r="W37" s="120" t="s">
        <v>108</v>
      </c>
      <c r="X37" s="120" t="s">
        <v>69</v>
      </c>
      <c r="Y37" s="120" t="s">
        <v>69</v>
      </c>
      <c r="Z37" s="120" t="s">
        <v>69</v>
      </c>
      <c r="AA37" s="120" t="s">
        <v>69</v>
      </c>
      <c r="AB37" s="120" t="s">
        <v>69</v>
      </c>
      <c r="AC37" s="121" t="s">
        <v>72</v>
      </c>
      <c r="AD37" s="120" t="s">
        <v>108</v>
      </c>
      <c r="AE37" s="120" t="s">
        <v>69</v>
      </c>
      <c r="AF37" s="154" t="s">
        <v>111</v>
      </c>
      <c r="AG37" s="120" t="s">
        <v>69</v>
      </c>
      <c r="AH37" s="120" t="s">
        <v>69</v>
      </c>
      <c r="AI37" s="120" t="s">
        <v>69</v>
      </c>
      <c r="AJ37" s="120" t="s">
        <v>69</v>
      </c>
      <c r="AK37" s="119"/>
      <c r="AL37" s="119"/>
      <c r="AM37" s="119"/>
      <c r="AN37" s="119"/>
      <c r="AO37" s="119"/>
      <c r="AP37" s="119"/>
      <c r="AQ37" s="119"/>
      <c r="AR37" s="119"/>
      <c r="AS37" s="119"/>
      <c r="AT37" s="119"/>
      <c r="AU37" s="119"/>
      <c r="AV37" s="119"/>
      <c r="AW37" s="119"/>
      <c r="AX37" s="119"/>
    </row>
    <row r="38" spans="1:50" ht="18">
      <c r="A38" s="5">
        <v>37</v>
      </c>
      <c r="B38" s="17" t="s">
        <v>36</v>
      </c>
      <c r="C38" s="120">
        <v>2</v>
      </c>
      <c r="D38" s="120">
        <v>1</v>
      </c>
      <c r="E38" s="120">
        <f t="shared" si="4"/>
        <v>1</v>
      </c>
      <c r="F38" s="121" t="s">
        <v>72</v>
      </c>
      <c r="G38" s="120" t="s">
        <v>69</v>
      </c>
      <c r="H38" s="120" t="s">
        <v>69</v>
      </c>
      <c r="I38" s="120" t="s">
        <v>108</v>
      </c>
      <c r="J38" s="120" t="s">
        <v>69</v>
      </c>
      <c r="K38" s="130" t="s">
        <v>92</v>
      </c>
      <c r="L38" s="120" t="s">
        <v>69</v>
      </c>
      <c r="M38" s="120" t="s">
        <v>69</v>
      </c>
      <c r="N38" s="121" t="s">
        <v>72</v>
      </c>
      <c r="O38" s="134" t="s">
        <v>69</v>
      </c>
      <c r="P38" s="120" t="s">
        <v>108</v>
      </c>
      <c r="Q38" s="120" t="s">
        <v>69</v>
      </c>
      <c r="R38" s="120" t="s">
        <v>69</v>
      </c>
      <c r="S38" s="120" t="s">
        <v>69</v>
      </c>
      <c r="T38" s="120" t="s">
        <v>69</v>
      </c>
      <c r="U38" s="139" t="s">
        <v>92</v>
      </c>
      <c r="V38" s="120" t="s">
        <v>69</v>
      </c>
      <c r="W38" s="120" t="s">
        <v>108</v>
      </c>
      <c r="X38" s="120" t="s">
        <v>69</v>
      </c>
      <c r="Y38" s="120" t="s">
        <v>69</v>
      </c>
      <c r="Z38" s="120" t="s">
        <v>69</v>
      </c>
      <c r="AA38" s="120" t="s">
        <v>69</v>
      </c>
      <c r="AB38" s="120" t="s">
        <v>69</v>
      </c>
      <c r="AC38" s="120" t="s">
        <v>69</v>
      </c>
      <c r="AD38" s="120" t="s">
        <v>108</v>
      </c>
      <c r="AE38" s="120" t="s">
        <v>69</v>
      </c>
      <c r="AF38" s="120" t="s">
        <v>69</v>
      </c>
      <c r="AG38" s="120" t="s">
        <v>69</v>
      </c>
      <c r="AH38" s="120" t="s">
        <v>69</v>
      </c>
      <c r="AI38" s="120" t="s">
        <v>69</v>
      </c>
      <c r="AJ38" s="120" t="s">
        <v>69</v>
      </c>
      <c r="AK38" s="119"/>
      <c r="AL38" s="119"/>
      <c r="AM38" s="119"/>
      <c r="AN38" s="119"/>
      <c r="AO38" s="119"/>
      <c r="AP38" s="119"/>
      <c r="AQ38" s="119"/>
      <c r="AR38" s="119"/>
      <c r="AS38" s="119"/>
      <c r="AT38" s="119"/>
      <c r="AU38" s="119"/>
      <c r="AV38" s="119"/>
      <c r="AW38" s="119"/>
      <c r="AX38" s="119"/>
    </row>
    <row r="39" spans="1:50" ht="18">
      <c r="A39" s="5">
        <v>38</v>
      </c>
      <c r="B39" s="16" t="s">
        <v>38</v>
      </c>
      <c r="C39" s="120">
        <v>0</v>
      </c>
      <c r="D39" s="120">
        <v>0</v>
      </c>
      <c r="E39" s="120">
        <f t="shared" si="4"/>
        <v>0</v>
      </c>
      <c r="F39" s="120" t="s">
        <v>69</v>
      </c>
      <c r="G39" s="120" t="s">
        <v>69</v>
      </c>
      <c r="H39" s="120" t="s">
        <v>69</v>
      </c>
      <c r="I39" s="120" t="s">
        <v>108</v>
      </c>
      <c r="J39" s="120" t="s">
        <v>69</v>
      </c>
      <c r="K39" s="120" t="s">
        <v>69</v>
      </c>
      <c r="L39" s="120" t="s">
        <v>69</v>
      </c>
      <c r="M39" s="120" t="s">
        <v>69</v>
      </c>
      <c r="N39" s="120" t="s">
        <v>69</v>
      </c>
      <c r="O39" s="120" t="s">
        <v>69</v>
      </c>
      <c r="P39" s="120" t="s">
        <v>108</v>
      </c>
      <c r="Q39" s="120" t="s">
        <v>69</v>
      </c>
      <c r="R39" s="120" t="s">
        <v>69</v>
      </c>
      <c r="S39" s="120" t="s">
        <v>69</v>
      </c>
      <c r="T39" s="120" t="s">
        <v>69</v>
      </c>
      <c r="U39" s="120" t="s">
        <v>69</v>
      </c>
      <c r="V39" s="120" t="s">
        <v>69</v>
      </c>
      <c r="W39" s="120" t="s">
        <v>108</v>
      </c>
      <c r="X39" s="120" t="s">
        <v>69</v>
      </c>
      <c r="Y39" s="120" t="s">
        <v>69</v>
      </c>
      <c r="Z39" s="120" t="s">
        <v>69</v>
      </c>
      <c r="AA39" s="120" t="s">
        <v>69</v>
      </c>
      <c r="AB39" s="120" t="s">
        <v>69</v>
      </c>
      <c r="AC39" s="120" t="s">
        <v>69</v>
      </c>
      <c r="AD39" s="120" t="s">
        <v>108</v>
      </c>
      <c r="AE39" s="120" t="s">
        <v>69</v>
      </c>
      <c r="AF39" s="120" t="s">
        <v>69</v>
      </c>
      <c r="AG39" s="120" t="s">
        <v>69</v>
      </c>
      <c r="AH39" s="120" t="s">
        <v>69</v>
      </c>
      <c r="AI39" s="120" t="s">
        <v>69</v>
      </c>
      <c r="AJ39" s="120" t="s">
        <v>69</v>
      </c>
      <c r="AK39" s="119"/>
      <c r="AL39" s="119"/>
      <c r="AM39" s="119"/>
      <c r="AN39" s="119"/>
      <c r="AO39" s="119"/>
      <c r="AP39" s="119"/>
      <c r="AQ39" s="119"/>
      <c r="AR39" s="119"/>
      <c r="AS39" s="119"/>
      <c r="AT39" s="119"/>
      <c r="AU39" s="119"/>
      <c r="AV39" s="119"/>
      <c r="AW39" s="119"/>
      <c r="AX39" s="119"/>
    </row>
    <row r="40" spans="1:50" ht="18">
      <c r="A40" s="5">
        <v>39</v>
      </c>
      <c r="B40" s="16" t="s">
        <v>39</v>
      </c>
      <c r="C40" s="120">
        <v>1</v>
      </c>
      <c r="D40" s="120">
        <v>1</v>
      </c>
      <c r="E40" s="120">
        <f t="shared" si="4"/>
        <v>0</v>
      </c>
      <c r="F40" s="121" t="s">
        <v>72</v>
      </c>
      <c r="G40" s="120" t="s">
        <v>69</v>
      </c>
      <c r="H40" s="120" t="s">
        <v>69</v>
      </c>
      <c r="I40" s="120" t="s">
        <v>108</v>
      </c>
      <c r="J40" s="120" t="s">
        <v>69</v>
      </c>
      <c r="K40" s="120" t="s">
        <v>69</v>
      </c>
      <c r="L40" s="120" t="s">
        <v>69</v>
      </c>
      <c r="M40" s="120" t="s">
        <v>69</v>
      </c>
      <c r="N40" s="120" t="s">
        <v>69</v>
      </c>
      <c r="O40" s="120" t="s">
        <v>69</v>
      </c>
      <c r="P40" s="120" t="s">
        <v>108</v>
      </c>
      <c r="Q40" s="120" t="s">
        <v>69</v>
      </c>
      <c r="R40" s="120" t="s">
        <v>69</v>
      </c>
      <c r="S40" s="120" t="s">
        <v>69</v>
      </c>
      <c r="T40" s="120" t="s">
        <v>69</v>
      </c>
      <c r="U40" s="120" t="s">
        <v>69</v>
      </c>
      <c r="V40" s="120" t="s">
        <v>69</v>
      </c>
      <c r="W40" s="120" t="s">
        <v>108</v>
      </c>
      <c r="X40" s="120" t="s">
        <v>69</v>
      </c>
      <c r="Y40" s="120" t="s">
        <v>69</v>
      </c>
      <c r="Z40" s="120" t="s">
        <v>69</v>
      </c>
      <c r="AA40" s="120" t="s">
        <v>69</v>
      </c>
      <c r="AB40" s="120" t="s">
        <v>69</v>
      </c>
      <c r="AC40" s="120" t="s">
        <v>69</v>
      </c>
      <c r="AD40" s="120" t="s">
        <v>108</v>
      </c>
      <c r="AE40" s="120" t="s">
        <v>69</v>
      </c>
      <c r="AF40" s="120" t="s">
        <v>69</v>
      </c>
      <c r="AG40" s="120" t="s">
        <v>69</v>
      </c>
      <c r="AH40" s="120" t="s">
        <v>69</v>
      </c>
      <c r="AI40" s="120" t="s">
        <v>69</v>
      </c>
      <c r="AJ40" s="160" t="s">
        <v>111</v>
      </c>
      <c r="AK40" s="119"/>
      <c r="AL40" s="119"/>
      <c r="AM40" s="119"/>
      <c r="AN40" s="119"/>
      <c r="AO40" s="119"/>
      <c r="AP40" s="119"/>
      <c r="AQ40" s="119"/>
      <c r="AR40" s="119"/>
      <c r="AS40" s="119"/>
      <c r="AT40" s="119"/>
      <c r="AU40" s="119"/>
      <c r="AV40" s="119"/>
      <c r="AW40" s="119"/>
      <c r="AX40" s="119"/>
    </row>
    <row r="41" spans="1:50" ht="18">
      <c r="A41" s="5">
        <v>40</v>
      </c>
      <c r="B41" s="70" t="s">
        <v>101</v>
      </c>
      <c r="C41" s="120">
        <v>3</v>
      </c>
      <c r="D41" s="120">
        <v>1</v>
      </c>
      <c r="E41" s="120">
        <f t="shared" si="4"/>
        <v>2</v>
      </c>
      <c r="F41" s="120" t="s">
        <v>69</v>
      </c>
      <c r="G41" s="120" t="s">
        <v>69</v>
      </c>
      <c r="H41" s="120" t="s">
        <v>69</v>
      </c>
      <c r="I41" s="120" t="s">
        <v>108</v>
      </c>
      <c r="J41" s="120" t="s">
        <v>69</v>
      </c>
      <c r="K41" s="121" t="s">
        <v>72</v>
      </c>
      <c r="L41" s="120" t="s">
        <v>69</v>
      </c>
      <c r="M41" s="120" t="s">
        <v>69</v>
      </c>
      <c r="N41" s="120" t="s">
        <v>69</v>
      </c>
      <c r="O41" s="137" t="s">
        <v>78</v>
      </c>
      <c r="P41" s="120" t="s">
        <v>108</v>
      </c>
      <c r="Q41" s="120" t="s">
        <v>69</v>
      </c>
      <c r="R41" s="120" t="s">
        <v>69</v>
      </c>
      <c r="S41" s="121" t="s">
        <v>72</v>
      </c>
      <c r="T41" s="120" t="s">
        <v>69</v>
      </c>
      <c r="U41" s="120" t="s">
        <v>69</v>
      </c>
      <c r="V41" s="120" t="s">
        <v>69</v>
      </c>
      <c r="W41" s="120" t="s">
        <v>108</v>
      </c>
      <c r="X41" s="120" t="s">
        <v>69</v>
      </c>
      <c r="Y41" s="120" t="s">
        <v>69</v>
      </c>
      <c r="Z41" s="120" t="s">
        <v>69</v>
      </c>
      <c r="AA41" s="120" t="s">
        <v>69</v>
      </c>
      <c r="AB41" s="121" t="s">
        <v>72</v>
      </c>
      <c r="AC41" s="120" t="s">
        <v>69</v>
      </c>
      <c r="AD41" s="120" t="s">
        <v>108</v>
      </c>
      <c r="AE41" s="130" t="s">
        <v>92</v>
      </c>
      <c r="AF41" s="120" t="s">
        <v>69</v>
      </c>
      <c r="AG41" s="120" t="s">
        <v>69</v>
      </c>
      <c r="AH41" s="120" t="s">
        <v>69</v>
      </c>
      <c r="AI41" s="120" t="s">
        <v>69</v>
      </c>
      <c r="AJ41" s="120" t="s">
        <v>69</v>
      </c>
      <c r="AK41" s="119"/>
      <c r="AL41" s="119"/>
      <c r="AM41" s="119"/>
      <c r="AN41" s="119"/>
      <c r="AO41" s="119"/>
      <c r="AP41" s="119"/>
      <c r="AQ41" s="119"/>
      <c r="AR41" s="119"/>
      <c r="AS41" s="119"/>
      <c r="AT41" s="119"/>
      <c r="AU41" s="119"/>
      <c r="AV41" s="119"/>
      <c r="AW41" s="119"/>
      <c r="AX41" s="119"/>
    </row>
    <row r="42" spans="1:50" ht="18">
      <c r="A42" s="5">
        <v>41</v>
      </c>
      <c r="B42" s="16" t="s">
        <v>40</v>
      </c>
      <c r="C42" s="120">
        <v>2</v>
      </c>
      <c r="D42" s="120">
        <v>2</v>
      </c>
      <c r="E42" s="120">
        <f t="shared" si="4"/>
        <v>0</v>
      </c>
      <c r="F42" s="121" t="s">
        <v>72</v>
      </c>
      <c r="G42" s="120" t="s">
        <v>69</v>
      </c>
      <c r="H42" s="120" t="s">
        <v>69</v>
      </c>
      <c r="I42" s="120" t="s">
        <v>108</v>
      </c>
      <c r="J42" s="120" t="s">
        <v>69</v>
      </c>
      <c r="K42" s="120" t="s">
        <v>69</v>
      </c>
      <c r="L42" s="120" t="s">
        <v>69</v>
      </c>
      <c r="M42" s="120" t="s">
        <v>69</v>
      </c>
      <c r="N42" s="120" t="s">
        <v>69</v>
      </c>
      <c r="O42" s="121" t="s">
        <v>72</v>
      </c>
      <c r="P42" s="120" t="s">
        <v>108</v>
      </c>
      <c r="Q42" s="120" t="s">
        <v>69</v>
      </c>
      <c r="R42" s="130" t="s">
        <v>92</v>
      </c>
      <c r="S42" s="120" t="s">
        <v>69</v>
      </c>
      <c r="T42" s="120" t="s">
        <v>69</v>
      </c>
      <c r="U42" s="120" t="s">
        <v>69</v>
      </c>
      <c r="V42" s="120" t="s">
        <v>69</v>
      </c>
      <c r="W42" s="120" t="s">
        <v>108</v>
      </c>
      <c r="X42" s="120" t="s">
        <v>69</v>
      </c>
      <c r="Y42" s="672" t="s">
        <v>110</v>
      </c>
      <c r="Z42" s="120" t="s">
        <v>69</v>
      </c>
      <c r="AA42" s="120" t="s">
        <v>69</v>
      </c>
      <c r="AB42" s="120" t="s">
        <v>69</v>
      </c>
      <c r="AC42" s="120" t="s">
        <v>69</v>
      </c>
      <c r="AD42" s="120" t="s">
        <v>108</v>
      </c>
      <c r="AE42" s="120" t="s">
        <v>69</v>
      </c>
      <c r="AF42" s="120" t="s">
        <v>69</v>
      </c>
      <c r="AG42" s="120" t="s">
        <v>69</v>
      </c>
      <c r="AH42" s="120" t="s">
        <v>69</v>
      </c>
      <c r="AI42" s="120" t="s">
        <v>69</v>
      </c>
      <c r="AJ42" s="160" t="s">
        <v>111</v>
      </c>
      <c r="AK42" s="119"/>
      <c r="AL42" s="119"/>
      <c r="AM42" s="119"/>
      <c r="AN42" s="119"/>
      <c r="AO42" s="119"/>
      <c r="AP42" s="119"/>
      <c r="AQ42" s="119"/>
      <c r="AR42" s="119"/>
      <c r="AS42" s="119"/>
      <c r="AT42" s="119"/>
      <c r="AU42" s="119"/>
      <c r="AV42" s="119"/>
      <c r="AW42" s="119"/>
      <c r="AX42" s="119"/>
    </row>
    <row r="43" spans="1:50" ht="18">
      <c r="A43" s="5">
        <v>42</v>
      </c>
      <c r="B43" s="17" t="s">
        <v>41</v>
      </c>
      <c r="C43" s="120">
        <v>3</v>
      </c>
      <c r="D43" s="120">
        <v>1</v>
      </c>
      <c r="E43" s="120">
        <f t="shared" si="4"/>
        <v>2</v>
      </c>
      <c r="F43" s="120" t="s">
        <v>69</v>
      </c>
      <c r="G43" s="120" t="s">
        <v>69</v>
      </c>
      <c r="H43" s="120" t="s">
        <v>69</v>
      </c>
      <c r="I43" s="120" t="s">
        <v>108</v>
      </c>
      <c r="J43" s="120" t="s">
        <v>69</v>
      </c>
      <c r="K43" s="134" t="s">
        <v>69</v>
      </c>
      <c r="L43" s="130" t="s">
        <v>92</v>
      </c>
      <c r="M43" s="120" t="s">
        <v>69</v>
      </c>
      <c r="N43" s="134" t="s">
        <v>69</v>
      </c>
      <c r="O43" s="121" t="s">
        <v>72</v>
      </c>
      <c r="P43" s="120" t="s">
        <v>108</v>
      </c>
      <c r="Q43" s="120" t="s">
        <v>69</v>
      </c>
      <c r="R43" s="120" t="s">
        <v>69</v>
      </c>
      <c r="S43" s="130" t="s">
        <v>92</v>
      </c>
      <c r="T43" s="120" t="s">
        <v>69</v>
      </c>
      <c r="U43" s="120" t="s">
        <v>69</v>
      </c>
      <c r="V43" s="120" t="s">
        <v>69</v>
      </c>
      <c r="W43" s="120" t="s">
        <v>108</v>
      </c>
      <c r="X43" s="120" t="s">
        <v>69</v>
      </c>
      <c r="Y43" s="120" t="s">
        <v>69</v>
      </c>
      <c r="Z43" s="120" t="s">
        <v>69</v>
      </c>
      <c r="AA43" s="120" t="s">
        <v>69</v>
      </c>
      <c r="AB43" s="120" t="s">
        <v>69</v>
      </c>
      <c r="AC43" s="120" t="s">
        <v>69</v>
      </c>
      <c r="AD43" s="120" t="s">
        <v>108</v>
      </c>
      <c r="AE43" s="120" t="s">
        <v>69</v>
      </c>
      <c r="AF43" s="120" t="s">
        <v>69</v>
      </c>
      <c r="AG43" s="120" t="s">
        <v>69</v>
      </c>
      <c r="AH43" s="120" t="s">
        <v>69</v>
      </c>
      <c r="AI43" s="153" t="s">
        <v>72</v>
      </c>
      <c r="AJ43" s="121" t="s">
        <v>72</v>
      </c>
      <c r="AK43" s="119"/>
      <c r="AL43" s="119"/>
      <c r="AM43" s="119"/>
      <c r="AN43" s="119"/>
      <c r="AO43" s="119"/>
      <c r="AP43" s="119"/>
      <c r="AQ43" s="119"/>
      <c r="AR43" s="119"/>
      <c r="AS43" s="119"/>
      <c r="AT43" s="119"/>
      <c r="AU43" s="119"/>
      <c r="AV43" s="119"/>
      <c r="AW43" s="119"/>
      <c r="AX43" s="119"/>
    </row>
    <row r="44" spans="1:50" ht="18">
      <c r="A44" s="5">
        <v>43</v>
      </c>
      <c r="B44" s="16" t="s">
        <v>42</v>
      </c>
      <c r="C44" s="120">
        <v>0</v>
      </c>
      <c r="D44" s="120">
        <v>0</v>
      </c>
      <c r="E44" s="120">
        <f t="shared" si="4"/>
        <v>0</v>
      </c>
      <c r="F44" s="136" t="s">
        <v>78</v>
      </c>
      <c r="G44" s="136" t="s">
        <v>78</v>
      </c>
      <c r="H44" s="136" t="s">
        <v>78</v>
      </c>
      <c r="I44" s="120" t="s">
        <v>108</v>
      </c>
      <c r="J44" s="136" t="s">
        <v>78</v>
      </c>
      <c r="K44" s="136" t="s">
        <v>78</v>
      </c>
      <c r="L44" s="136" t="s">
        <v>78</v>
      </c>
      <c r="M44" s="136" t="s">
        <v>78</v>
      </c>
      <c r="N44" s="136" t="s">
        <v>78</v>
      </c>
      <c r="O44" s="136" t="s">
        <v>78</v>
      </c>
      <c r="P44" s="120" t="s">
        <v>108</v>
      </c>
      <c r="Q44" s="137" t="s">
        <v>78</v>
      </c>
      <c r="R44" s="137" t="s">
        <v>78</v>
      </c>
      <c r="S44" s="137" t="s">
        <v>78</v>
      </c>
      <c r="T44" s="137" t="s">
        <v>78</v>
      </c>
      <c r="U44" s="137" t="s">
        <v>78</v>
      </c>
      <c r="V44" s="137" t="s">
        <v>78</v>
      </c>
      <c r="W44" s="120" t="s">
        <v>108</v>
      </c>
      <c r="X44" s="137" t="s">
        <v>78</v>
      </c>
      <c r="Y44" s="120" t="s">
        <v>69</v>
      </c>
      <c r="Z44" s="120" t="s">
        <v>69</v>
      </c>
      <c r="AA44" s="120" t="s">
        <v>69</v>
      </c>
      <c r="AB44" s="120" t="s">
        <v>69</v>
      </c>
      <c r="AC44" s="120" t="s">
        <v>69</v>
      </c>
      <c r="AD44" s="120" t="s">
        <v>108</v>
      </c>
      <c r="AE44" s="121" t="s">
        <v>72</v>
      </c>
      <c r="AF44" s="120" t="s">
        <v>69</v>
      </c>
      <c r="AG44" s="120" t="s">
        <v>69</v>
      </c>
      <c r="AH44" s="120" t="s">
        <v>69</v>
      </c>
      <c r="AI44" s="120" t="s">
        <v>69</v>
      </c>
      <c r="AJ44" s="120" t="s">
        <v>69</v>
      </c>
      <c r="AK44" s="119"/>
      <c r="AL44" s="119"/>
      <c r="AM44" s="119"/>
      <c r="AN44" s="119"/>
      <c r="AO44" s="119"/>
      <c r="AP44" s="119"/>
      <c r="AQ44" s="119"/>
      <c r="AR44" s="119"/>
      <c r="AS44" s="119"/>
      <c r="AT44" s="119"/>
      <c r="AU44" s="119"/>
      <c r="AV44" s="119"/>
      <c r="AW44" s="119"/>
      <c r="AX44" s="119"/>
    </row>
    <row r="45" spans="1:50" ht="18">
      <c r="A45" s="5">
        <v>44</v>
      </c>
      <c r="B45" s="178" t="s">
        <v>43</v>
      </c>
      <c r="C45" s="120">
        <v>3</v>
      </c>
      <c r="D45" s="120">
        <v>1.5</v>
      </c>
      <c r="E45" s="120">
        <f t="shared" si="4"/>
        <v>1.5</v>
      </c>
      <c r="F45" s="121" t="s">
        <v>72</v>
      </c>
      <c r="G45" s="120" t="s">
        <v>69</v>
      </c>
      <c r="H45" s="120" t="s">
        <v>69</v>
      </c>
      <c r="I45" s="120" t="s">
        <v>108</v>
      </c>
      <c r="J45" s="120" t="s">
        <v>69</v>
      </c>
      <c r="K45" s="120" t="s">
        <v>69</v>
      </c>
      <c r="L45" s="120" t="s">
        <v>69</v>
      </c>
      <c r="M45" s="120" t="s">
        <v>69</v>
      </c>
      <c r="N45" s="120" t="s">
        <v>69</v>
      </c>
      <c r="O45" s="137" t="s">
        <v>78</v>
      </c>
      <c r="P45" s="120" t="s">
        <v>108</v>
      </c>
      <c r="Q45" s="120" t="s">
        <v>69</v>
      </c>
      <c r="R45" s="120" t="s">
        <v>69</v>
      </c>
      <c r="S45" s="120" t="s">
        <v>69</v>
      </c>
      <c r="T45" s="120" t="s">
        <v>69</v>
      </c>
      <c r="U45" s="120" t="s">
        <v>69</v>
      </c>
      <c r="V45" s="120" t="s">
        <v>69</v>
      </c>
      <c r="W45" s="120" t="s">
        <v>108</v>
      </c>
      <c r="X45" s="121" t="s">
        <v>72</v>
      </c>
      <c r="Y45" s="121" t="s">
        <v>72</v>
      </c>
      <c r="Z45" s="120" t="s">
        <v>69</v>
      </c>
      <c r="AA45" s="120" t="s">
        <v>69</v>
      </c>
      <c r="AB45" s="120" t="s">
        <v>69</v>
      </c>
      <c r="AC45" s="120" t="s">
        <v>69</v>
      </c>
      <c r="AD45" s="120" t="s">
        <v>108</v>
      </c>
      <c r="AE45" s="120" t="s">
        <v>69</v>
      </c>
      <c r="AF45" s="120" t="s">
        <v>69</v>
      </c>
      <c r="AG45" s="120" t="s">
        <v>69</v>
      </c>
      <c r="AH45" s="120" t="s">
        <v>69</v>
      </c>
      <c r="AI45" s="120" t="s">
        <v>69</v>
      </c>
      <c r="AJ45" s="120" t="s">
        <v>69</v>
      </c>
      <c r="AK45" s="119"/>
      <c r="AL45" s="119"/>
      <c r="AM45" s="119"/>
      <c r="AN45" s="119"/>
      <c r="AO45" s="119"/>
      <c r="AP45" s="119"/>
      <c r="AQ45" s="119"/>
      <c r="AR45" s="119"/>
      <c r="AS45" s="119"/>
      <c r="AT45" s="119"/>
      <c r="AU45" s="119"/>
      <c r="AV45" s="119"/>
      <c r="AW45" s="119"/>
      <c r="AX45" s="119"/>
    </row>
    <row r="46" spans="1:50" ht="18">
      <c r="A46" s="5">
        <v>45</v>
      </c>
      <c r="B46" s="17" t="s">
        <v>44</v>
      </c>
      <c r="C46" s="120">
        <v>12</v>
      </c>
      <c r="D46" s="120">
        <v>1</v>
      </c>
      <c r="E46" s="120">
        <f t="shared" si="4"/>
        <v>11</v>
      </c>
      <c r="F46" s="123" t="s">
        <v>71</v>
      </c>
      <c r="G46" s="121" t="s">
        <v>72</v>
      </c>
      <c r="H46" s="121" t="s">
        <v>72</v>
      </c>
      <c r="I46" s="120" t="s">
        <v>108</v>
      </c>
      <c r="J46" s="121" t="s">
        <v>72</v>
      </c>
      <c r="K46" s="121" t="s">
        <v>72</v>
      </c>
      <c r="L46" s="121" t="s">
        <v>72</v>
      </c>
      <c r="M46" s="121" t="s">
        <v>72</v>
      </c>
      <c r="N46" s="121" t="s">
        <v>72</v>
      </c>
      <c r="O46" s="121" t="s">
        <v>72</v>
      </c>
      <c r="P46" s="120" t="s">
        <v>108</v>
      </c>
      <c r="Q46" s="121" t="s">
        <v>72</v>
      </c>
      <c r="R46" s="121" t="s">
        <v>72</v>
      </c>
      <c r="S46" s="121" t="s">
        <v>72</v>
      </c>
      <c r="T46" s="121" t="s">
        <v>72</v>
      </c>
      <c r="U46" s="121" t="s">
        <v>72</v>
      </c>
      <c r="V46" s="120" t="s">
        <v>69</v>
      </c>
      <c r="W46" s="120" t="s">
        <v>108</v>
      </c>
      <c r="X46" s="120" t="s">
        <v>69</v>
      </c>
      <c r="Y46" s="120" t="s">
        <v>69</v>
      </c>
      <c r="Z46" s="121" t="s">
        <v>72</v>
      </c>
      <c r="AA46" s="120" t="s">
        <v>69</v>
      </c>
      <c r="AB46" s="120" t="s">
        <v>69</v>
      </c>
      <c r="AC46" s="120" t="s">
        <v>69</v>
      </c>
      <c r="AD46" s="120" t="s">
        <v>108</v>
      </c>
      <c r="AE46" s="120" t="s">
        <v>69</v>
      </c>
      <c r="AF46" s="121" t="s">
        <v>72</v>
      </c>
      <c r="AG46" s="120" t="s">
        <v>69</v>
      </c>
      <c r="AH46" s="120" t="s">
        <v>69</v>
      </c>
      <c r="AI46" s="120" t="s">
        <v>69</v>
      </c>
      <c r="AJ46" s="121" t="s">
        <v>72</v>
      </c>
      <c r="AK46" s="119"/>
      <c r="AL46" s="119"/>
      <c r="AM46" s="119"/>
      <c r="AN46" s="119"/>
      <c r="AO46" s="119"/>
      <c r="AP46" s="119"/>
      <c r="AQ46" s="119"/>
      <c r="AR46" s="119"/>
      <c r="AS46" s="119"/>
      <c r="AT46" s="119"/>
      <c r="AU46" s="119"/>
      <c r="AV46" s="119"/>
      <c r="AW46" s="119"/>
      <c r="AX46" s="119"/>
    </row>
    <row r="47" spans="1:50" ht="18">
      <c r="A47" s="5">
        <v>46</v>
      </c>
      <c r="B47" s="178" t="s">
        <v>46</v>
      </c>
      <c r="C47" s="120"/>
      <c r="D47" s="120"/>
      <c r="E47" s="120"/>
      <c r="F47" s="120" t="s">
        <v>69</v>
      </c>
      <c r="G47" s="120" t="s">
        <v>69</v>
      </c>
      <c r="H47" s="120" t="s">
        <v>69</v>
      </c>
      <c r="I47" s="120" t="s">
        <v>108</v>
      </c>
      <c r="J47" s="120" t="s">
        <v>69</v>
      </c>
      <c r="K47" s="120" t="s">
        <v>69</v>
      </c>
      <c r="L47" s="130" t="s">
        <v>92</v>
      </c>
      <c r="M47" s="121" t="s">
        <v>72</v>
      </c>
      <c r="N47" s="121" t="s">
        <v>72</v>
      </c>
      <c r="O47" s="121" t="s">
        <v>72</v>
      </c>
      <c r="P47" s="120" t="s">
        <v>108</v>
      </c>
      <c r="Q47" s="121" t="s">
        <v>72</v>
      </c>
      <c r="R47" s="121" t="s">
        <v>72</v>
      </c>
      <c r="S47" s="121" t="s">
        <v>72</v>
      </c>
      <c r="T47" s="121" t="s">
        <v>72</v>
      </c>
      <c r="U47" s="121" t="s">
        <v>72</v>
      </c>
      <c r="V47" s="121" t="s">
        <v>72</v>
      </c>
      <c r="W47" s="120" t="s">
        <v>108</v>
      </c>
      <c r="X47" s="121" t="s">
        <v>72</v>
      </c>
      <c r="Y47" s="121" t="s">
        <v>72</v>
      </c>
      <c r="Z47" s="121" t="s">
        <v>72</v>
      </c>
      <c r="AA47" s="121" t="s">
        <v>72</v>
      </c>
      <c r="AB47" s="121" t="s">
        <v>72</v>
      </c>
      <c r="AC47" s="121" t="s">
        <v>72</v>
      </c>
      <c r="AD47" s="120" t="s">
        <v>108</v>
      </c>
      <c r="AE47" s="121" t="s">
        <v>72</v>
      </c>
      <c r="AF47" s="121" t="s">
        <v>72</v>
      </c>
      <c r="AG47" s="121" t="s">
        <v>72</v>
      </c>
      <c r="AH47" s="121" t="s">
        <v>72</v>
      </c>
      <c r="AI47" s="121" t="s">
        <v>72</v>
      </c>
      <c r="AJ47" s="121" t="s">
        <v>72</v>
      </c>
      <c r="AK47" s="119"/>
      <c r="AL47" s="119"/>
      <c r="AM47" s="119"/>
      <c r="AN47" s="119"/>
      <c r="AO47" s="119"/>
      <c r="AP47" s="119"/>
      <c r="AQ47" s="119"/>
      <c r="AR47" s="119"/>
      <c r="AS47" s="119"/>
      <c r="AT47" s="119"/>
      <c r="AU47" s="119"/>
      <c r="AV47" s="119"/>
      <c r="AW47" s="119"/>
      <c r="AX47" s="119"/>
    </row>
    <row r="48" spans="1:50" ht="18">
      <c r="A48" s="5">
        <v>47</v>
      </c>
      <c r="B48" s="16" t="s">
        <v>47</v>
      </c>
      <c r="C48" s="120">
        <v>6</v>
      </c>
      <c r="D48" s="120">
        <v>1</v>
      </c>
      <c r="E48" s="120">
        <f>C48-D48</f>
        <v>5</v>
      </c>
      <c r="F48" s="120" t="s">
        <v>69</v>
      </c>
      <c r="G48" s="120" t="s">
        <v>69</v>
      </c>
      <c r="H48" s="120" t="s">
        <v>69</v>
      </c>
      <c r="I48" s="120" t="s">
        <v>108</v>
      </c>
      <c r="J48" s="121" t="s">
        <v>72</v>
      </c>
      <c r="K48" s="121" t="s">
        <v>72</v>
      </c>
      <c r="L48" s="120" t="s">
        <v>69</v>
      </c>
      <c r="M48" s="120" t="s">
        <v>69</v>
      </c>
      <c r="N48" s="120" t="s">
        <v>69</v>
      </c>
      <c r="O48" s="120" t="s">
        <v>69</v>
      </c>
      <c r="P48" s="120" t="s">
        <v>108</v>
      </c>
      <c r="Q48" s="130" t="s">
        <v>92</v>
      </c>
      <c r="R48" s="120" t="s">
        <v>69</v>
      </c>
      <c r="S48" s="120" t="s">
        <v>69</v>
      </c>
      <c r="T48" s="120" t="s">
        <v>69</v>
      </c>
      <c r="U48" s="120" t="s">
        <v>69</v>
      </c>
      <c r="V48" s="120" t="s">
        <v>69</v>
      </c>
      <c r="W48" s="120" t="s">
        <v>108</v>
      </c>
      <c r="X48" s="120" t="s">
        <v>69</v>
      </c>
      <c r="Y48" s="120" t="s">
        <v>69</v>
      </c>
      <c r="Z48" s="130" t="s">
        <v>92</v>
      </c>
      <c r="AA48" s="120" t="s">
        <v>69</v>
      </c>
      <c r="AB48" s="120" t="s">
        <v>69</v>
      </c>
      <c r="AC48" s="121" t="s">
        <v>72</v>
      </c>
      <c r="AD48" s="120" t="s">
        <v>108</v>
      </c>
      <c r="AE48" s="121" t="s">
        <v>72</v>
      </c>
      <c r="AF48" s="121" t="s">
        <v>72</v>
      </c>
      <c r="AG48" s="121" t="s">
        <v>72</v>
      </c>
      <c r="AH48" s="120" t="s">
        <v>69</v>
      </c>
      <c r="AI48" s="120" t="s">
        <v>69</v>
      </c>
      <c r="AJ48" s="120" t="s">
        <v>69</v>
      </c>
      <c r="AK48" s="119"/>
      <c r="AL48" s="119"/>
      <c r="AM48" s="119"/>
      <c r="AN48" s="119"/>
      <c r="AO48" s="119"/>
      <c r="AP48" s="119"/>
      <c r="AQ48" s="119"/>
      <c r="AR48" s="119"/>
      <c r="AS48" s="119"/>
      <c r="AT48" s="119"/>
      <c r="AU48" s="119"/>
      <c r="AV48" s="119"/>
      <c r="AW48" s="119"/>
      <c r="AX48" s="119"/>
    </row>
    <row r="49" spans="1:50" ht="18">
      <c r="A49" s="5">
        <v>48</v>
      </c>
      <c r="B49" s="133" t="s">
        <v>119</v>
      </c>
      <c r="C49" s="145"/>
      <c r="D49" s="145"/>
      <c r="E49" s="145"/>
      <c r="F49" s="131" t="s">
        <v>72</v>
      </c>
      <c r="G49" s="131" t="s">
        <v>72</v>
      </c>
      <c r="H49" s="131" t="s">
        <v>72</v>
      </c>
      <c r="I49" s="120" t="s">
        <v>108</v>
      </c>
      <c r="J49" s="120" t="s">
        <v>69</v>
      </c>
      <c r="K49" s="121" t="s">
        <v>72</v>
      </c>
      <c r="L49" s="131" t="s">
        <v>76</v>
      </c>
      <c r="M49" s="131" t="s">
        <v>76</v>
      </c>
      <c r="N49" s="131" t="s">
        <v>76</v>
      </c>
      <c r="O49" s="131" t="s">
        <v>76</v>
      </c>
      <c r="P49" s="120" t="s">
        <v>108</v>
      </c>
      <c r="Q49" s="131" t="s">
        <v>76</v>
      </c>
      <c r="R49" s="131" t="s">
        <v>76</v>
      </c>
      <c r="S49" s="131" t="s">
        <v>76</v>
      </c>
      <c r="T49" s="131" t="s">
        <v>76</v>
      </c>
      <c r="U49" s="131" t="s">
        <v>76</v>
      </c>
      <c r="V49" s="131" t="s">
        <v>76</v>
      </c>
      <c r="W49" s="131" t="s">
        <v>76</v>
      </c>
      <c r="X49" s="131" t="s">
        <v>76</v>
      </c>
      <c r="Y49" s="131" t="s">
        <v>76</v>
      </c>
      <c r="Z49" s="131" t="s">
        <v>76</v>
      </c>
      <c r="AA49" s="131" t="s">
        <v>76</v>
      </c>
      <c r="AB49" s="131" t="s">
        <v>76</v>
      </c>
      <c r="AC49" s="131" t="s">
        <v>76</v>
      </c>
      <c r="AD49" s="131" t="s">
        <v>76</v>
      </c>
      <c r="AE49" s="131" t="s">
        <v>76</v>
      </c>
      <c r="AF49" s="131" t="s">
        <v>76</v>
      </c>
      <c r="AG49" s="131" t="s">
        <v>76</v>
      </c>
      <c r="AH49" s="131" t="s">
        <v>76</v>
      </c>
      <c r="AI49" s="152" t="s">
        <v>76</v>
      </c>
      <c r="AJ49" s="131" t="s">
        <v>76</v>
      </c>
      <c r="AK49" s="119"/>
      <c r="AL49" s="119"/>
      <c r="AM49" s="119"/>
      <c r="AN49" s="119"/>
      <c r="AO49" s="119"/>
      <c r="AP49" s="119"/>
      <c r="AQ49" s="119"/>
      <c r="AR49" s="119"/>
      <c r="AS49" s="119"/>
      <c r="AT49" s="119"/>
      <c r="AU49" s="119"/>
      <c r="AV49" s="119"/>
      <c r="AW49" s="119"/>
      <c r="AX49" s="119"/>
    </row>
    <row r="50" spans="1:50" ht="18">
      <c r="A50" s="5">
        <v>49</v>
      </c>
      <c r="B50" s="16" t="s">
        <v>48</v>
      </c>
      <c r="C50" s="120">
        <v>3</v>
      </c>
      <c r="D50" s="120">
        <v>3</v>
      </c>
      <c r="E50" s="120">
        <f t="shared" ref="E50:E53" si="5">C50-D50</f>
        <v>0</v>
      </c>
      <c r="F50" s="123" t="s">
        <v>71</v>
      </c>
      <c r="G50" s="120" t="s">
        <v>69</v>
      </c>
      <c r="H50" s="120" t="s">
        <v>69</v>
      </c>
      <c r="I50" s="120" t="s">
        <v>108</v>
      </c>
      <c r="J50" s="121" t="s">
        <v>72</v>
      </c>
      <c r="K50" s="121" t="s">
        <v>72</v>
      </c>
      <c r="L50" s="121" t="s">
        <v>72</v>
      </c>
      <c r="M50" s="120" t="s">
        <v>69</v>
      </c>
      <c r="N50" s="120" t="s">
        <v>69</v>
      </c>
      <c r="O50" s="120" t="s">
        <v>69</v>
      </c>
      <c r="P50" s="120" t="s">
        <v>108</v>
      </c>
      <c r="Q50" s="120" t="s">
        <v>69</v>
      </c>
      <c r="R50" s="120" t="s">
        <v>69</v>
      </c>
      <c r="S50" s="120" t="s">
        <v>69</v>
      </c>
      <c r="T50" s="120" t="s">
        <v>69</v>
      </c>
      <c r="U50" s="120" t="s">
        <v>69</v>
      </c>
      <c r="V50" s="120" t="s">
        <v>69</v>
      </c>
      <c r="W50" s="120" t="s">
        <v>108</v>
      </c>
      <c r="X50" s="120" t="s">
        <v>69</v>
      </c>
      <c r="Y50" s="132" t="s">
        <v>94</v>
      </c>
      <c r="Z50" s="120" t="s">
        <v>69</v>
      </c>
      <c r="AA50" s="120" t="s">
        <v>69</v>
      </c>
      <c r="AB50" s="120" t="s">
        <v>69</v>
      </c>
      <c r="AC50" s="120" t="s">
        <v>69</v>
      </c>
      <c r="AD50" s="31" t="s">
        <v>108</v>
      </c>
      <c r="AE50" s="120" t="s">
        <v>69</v>
      </c>
      <c r="AF50" s="120" t="s">
        <v>69</v>
      </c>
      <c r="AG50" s="120" t="s">
        <v>69</v>
      </c>
      <c r="AH50" s="120" t="s">
        <v>69</v>
      </c>
      <c r="AI50" s="120" t="s">
        <v>69</v>
      </c>
      <c r="AJ50" s="120" t="s">
        <v>69</v>
      </c>
      <c r="AK50" s="119"/>
      <c r="AL50" s="119"/>
      <c r="AM50" s="119"/>
      <c r="AN50" s="119"/>
      <c r="AO50" s="119"/>
      <c r="AP50" s="119"/>
      <c r="AQ50" s="119"/>
      <c r="AR50" s="119"/>
      <c r="AS50" s="119"/>
      <c r="AT50" s="119"/>
      <c r="AU50" s="119"/>
      <c r="AV50" s="119"/>
      <c r="AW50" s="119"/>
      <c r="AX50" s="119"/>
    </row>
    <row r="51" spans="1:50" ht="18">
      <c r="A51" s="5">
        <v>50</v>
      </c>
      <c r="B51" s="16" t="s">
        <v>49</v>
      </c>
      <c r="C51" s="120">
        <v>2</v>
      </c>
      <c r="D51" s="120">
        <v>2</v>
      </c>
      <c r="E51" s="120">
        <f t="shared" si="5"/>
        <v>0</v>
      </c>
      <c r="F51" s="120" t="s">
        <v>69</v>
      </c>
      <c r="G51" s="120" t="s">
        <v>69</v>
      </c>
      <c r="H51" s="120" t="s">
        <v>69</v>
      </c>
      <c r="I51" s="120" t="s">
        <v>108</v>
      </c>
      <c r="J51" s="120" t="s">
        <v>69</v>
      </c>
      <c r="K51" s="120" t="s">
        <v>69</v>
      </c>
      <c r="L51" s="120" t="s">
        <v>69</v>
      </c>
      <c r="M51" s="120" t="s">
        <v>69</v>
      </c>
      <c r="N51" s="120" t="s">
        <v>69</v>
      </c>
      <c r="O51" s="120" t="s">
        <v>69</v>
      </c>
      <c r="P51" s="120" t="s">
        <v>108</v>
      </c>
      <c r="Q51" s="120" t="s">
        <v>69</v>
      </c>
      <c r="R51" s="120" t="s">
        <v>69</v>
      </c>
      <c r="S51" s="132" t="s">
        <v>94</v>
      </c>
      <c r="T51" s="120" t="s">
        <v>69</v>
      </c>
      <c r="U51" s="120" t="s">
        <v>69</v>
      </c>
      <c r="V51" s="120" t="s">
        <v>69</v>
      </c>
      <c r="W51" s="120" t="s">
        <v>108</v>
      </c>
      <c r="X51" s="120" t="s">
        <v>69</v>
      </c>
      <c r="Y51" s="132" t="s">
        <v>94</v>
      </c>
      <c r="Z51" s="120" t="s">
        <v>69</v>
      </c>
      <c r="AA51" s="120" t="s">
        <v>69</v>
      </c>
      <c r="AB51" s="120" t="s">
        <v>69</v>
      </c>
      <c r="AC51" s="120" t="s">
        <v>69</v>
      </c>
      <c r="AD51" s="120" t="s">
        <v>108</v>
      </c>
      <c r="AE51" s="121" t="s">
        <v>72</v>
      </c>
      <c r="AF51" s="120" t="s">
        <v>69</v>
      </c>
      <c r="AG51" s="120" t="s">
        <v>69</v>
      </c>
      <c r="AH51" s="120" t="s">
        <v>69</v>
      </c>
      <c r="AI51" s="120" t="s">
        <v>69</v>
      </c>
      <c r="AJ51" s="120" t="s">
        <v>69</v>
      </c>
      <c r="AK51" s="119"/>
      <c r="AL51" s="119"/>
      <c r="AM51" s="119"/>
      <c r="AN51" s="119"/>
      <c r="AO51" s="119"/>
      <c r="AP51" s="119"/>
      <c r="AQ51" s="119"/>
      <c r="AR51" s="119"/>
      <c r="AS51" s="119"/>
      <c r="AT51" s="119"/>
      <c r="AU51" s="119"/>
      <c r="AV51" s="119"/>
      <c r="AW51" s="119"/>
      <c r="AX51" s="119"/>
    </row>
    <row r="52" spans="1:50" ht="18">
      <c r="A52" s="5">
        <v>51</v>
      </c>
      <c r="B52" s="16" t="s">
        <v>50</v>
      </c>
      <c r="C52" s="120">
        <v>2.5</v>
      </c>
      <c r="D52" s="120">
        <v>1</v>
      </c>
      <c r="E52" s="120">
        <f t="shared" si="5"/>
        <v>1.5</v>
      </c>
      <c r="F52" s="123" t="s">
        <v>71</v>
      </c>
      <c r="G52" s="120" t="s">
        <v>69</v>
      </c>
      <c r="H52" s="120" t="s">
        <v>69</v>
      </c>
      <c r="I52" s="120" t="s">
        <v>108</v>
      </c>
      <c r="J52" s="120" t="s">
        <v>69</v>
      </c>
      <c r="K52" s="121" t="s">
        <v>72</v>
      </c>
      <c r="L52" s="120" t="s">
        <v>69</v>
      </c>
      <c r="M52" s="120" t="s">
        <v>69</v>
      </c>
      <c r="N52" s="120" t="s">
        <v>69</v>
      </c>
      <c r="O52" s="120" t="s">
        <v>69</v>
      </c>
      <c r="P52" s="120" t="s">
        <v>108</v>
      </c>
      <c r="Q52" s="120" t="s">
        <v>69</v>
      </c>
      <c r="R52" s="120" t="s">
        <v>69</v>
      </c>
      <c r="S52" s="120" t="s">
        <v>69</v>
      </c>
      <c r="T52" s="120" t="s">
        <v>69</v>
      </c>
      <c r="U52" s="120" t="s">
        <v>69</v>
      </c>
      <c r="V52" s="120" t="s">
        <v>69</v>
      </c>
      <c r="W52" s="120" t="s">
        <v>108</v>
      </c>
      <c r="X52" s="120" t="s">
        <v>69</v>
      </c>
      <c r="Y52" s="132" t="s">
        <v>94</v>
      </c>
      <c r="Z52" s="120" t="s">
        <v>69</v>
      </c>
      <c r="AA52" s="120" t="s">
        <v>69</v>
      </c>
      <c r="AB52" s="120" t="s">
        <v>69</v>
      </c>
      <c r="AC52" s="120" t="s">
        <v>69</v>
      </c>
      <c r="AD52" s="120" t="s">
        <v>108</v>
      </c>
      <c r="AE52" s="120" t="s">
        <v>69</v>
      </c>
      <c r="AF52" s="121" t="s">
        <v>72</v>
      </c>
      <c r="AG52" s="120" t="s">
        <v>69</v>
      </c>
      <c r="AH52" s="120" t="s">
        <v>69</v>
      </c>
      <c r="AI52" s="120" t="s">
        <v>69</v>
      </c>
      <c r="AJ52" s="120" t="s">
        <v>69</v>
      </c>
      <c r="AK52" s="119"/>
      <c r="AL52" s="119"/>
      <c r="AM52" s="119"/>
      <c r="AN52" s="119"/>
      <c r="AO52" s="119"/>
      <c r="AP52" s="119"/>
      <c r="AQ52" s="119"/>
      <c r="AR52" s="119"/>
      <c r="AS52" s="119"/>
      <c r="AT52" s="119"/>
      <c r="AU52" s="119"/>
      <c r="AV52" s="119"/>
      <c r="AW52" s="119"/>
      <c r="AX52" s="119"/>
    </row>
    <row r="53" spans="1:50" ht="18">
      <c r="A53" s="5">
        <v>52</v>
      </c>
      <c r="B53" s="70" t="s">
        <v>104</v>
      </c>
      <c r="C53" s="120">
        <v>2</v>
      </c>
      <c r="D53" s="120">
        <v>1</v>
      </c>
      <c r="E53" s="120">
        <f t="shared" si="5"/>
        <v>1</v>
      </c>
      <c r="F53" s="120" t="s">
        <v>69</v>
      </c>
      <c r="G53" s="120" t="s">
        <v>69</v>
      </c>
      <c r="H53" s="120" t="s">
        <v>69</v>
      </c>
      <c r="I53" s="120" t="s">
        <v>108</v>
      </c>
      <c r="J53" s="120" t="s">
        <v>69</v>
      </c>
      <c r="K53" s="120" t="s">
        <v>69</v>
      </c>
      <c r="L53" s="130" t="s">
        <v>92</v>
      </c>
      <c r="M53" s="120" t="s">
        <v>69</v>
      </c>
      <c r="N53" s="120" t="s">
        <v>69</v>
      </c>
      <c r="O53" s="120" t="s">
        <v>69</v>
      </c>
      <c r="P53" s="120" t="s">
        <v>108</v>
      </c>
      <c r="Q53" s="121" t="s">
        <v>72</v>
      </c>
      <c r="R53" s="120" t="s">
        <v>69</v>
      </c>
      <c r="S53" s="120" t="s">
        <v>69</v>
      </c>
      <c r="T53" s="120" t="s">
        <v>69</v>
      </c>
      <c r="U53" s="120" t="s">
        <v>69</v>
      </c>
      <c r="V53" s="120" t="s">
        <v>69</v>
      </c>
      <c r="W53" s="120" t="s">
        <v>108</v>
      </c>
      <c r="X53" s="120" t="s">
        <v>69</v>
      </c>
      <c r="Y53" s="120" t="s">
        <v>69</v>
      </c>
      <c r="Z53" s="120" t="s">
        <v>69</v>
      </c>
      <c r="AA53" s="120" t="s">
        <v>69</v>
      </c>
      <c r="AB53" s="120" t="s">
        <v>69</v>
      </c>
      <c r="AC53" s="120" t="s">
        <v>69</v>
      </c>
      <c r="AD53" s="31" t="s">
        <v>108</v>
      </c>
      <c r="AE53" s="120" t="s">
        <v>69</v>
      </c>
      <c r="AF53" s="121" t="s">
        <v>72</v>
      </c>
      <c r="AG53" s="120" t="s">
        <v>69</v>
      </c>
      <c r="AH53" s="120" t="s">
        <v>69</v>
      </c>
      <c r="AI53" s="159" t="s">
        <v>92</v>
      </c>
      <c r="AJ53" s="120" t="s">
        <v>69</v>
      </c>
      <c r="AK53" s="119"/>
      <c r="AL53" s="119"/>
      <c r="AM53" s="119"/>
      <c r="AN53" s="119"/>
      <c r="AO53" s="119"/>
      <c r="AP53" s="119"/>
      <c r="AQ53" s="119"/>
      <c r="AR53" s="119"/>
      <c r="AS53" s="119"/>
      <c r="AT53" s="119"/>
      <c r="AU53" s="119"/>
      <c r="AV53" s="119"/>
      <c r="AW53" s="119"/>
      <c r="AX53" s="119"/>
    </row>
    <row r="54" spans="1:50" ht="18">
      <c r="A54" s="5">
        <v>53</v>
      </c>
      <c r="B54" s="69" t="s">
        <v>120</v>
      </c>
      <c r="C54" s="120"/>
      <c r="D54" s="120"/>
      <c r="E54" s="120"/>
      <c r="F54" s="120" t="s">
        <v>69</v>
      </c>
      <c r="G54" s="120" t="s">
        <v>69</v>
      </c>
      <c r="H54" s="120" t="s">
        <v>69</v>
      </c>
      <c r="I54" s="120" t="s">
        <v>108</v>
      </c>
      <c r="J54" s="130" t="s">
        <v>92</v>
      </c>
      <c r="K54" s="121" t="s">
        <v>72</v>
      </c>
      <c r="L54" s="121" t="s">
        <v>72</v>
      </c>
      <c r="M54" s="121" t="s">
        <v>72</v>
      </c>
      <c r="N54" s="121" t="s">
        <v>72</v>
      </c>
      <c r="O54" s="121" t="s">
        <v>72</v>
      </c>
      <c r="P54" s="120" t="s">
        <v>108</v>
      </c>
      <c r="Q54" s="121" t="s">
        <v>72</v>
      </c>
      <c r="R54" s="131" t="s">
        <v>76</v>
      </c>
      <c r="S54" s="131" t="s">
        <v>76</v>
      </c>
      <c r="T54" s="131" t="s">
        <v>76</v>
      </c>
      <c r="U54" s="131" t="s">
        <v>76</v>
      </c>
      <c r="V54" s="131" t="s">
        <v>76</v>
      </c>
      <c r="W54" s="120" t="s">
        <v>108</v>
      </c>
      <c r="X54" s="131" t="s">
        <v>76</v>
      </c>
      <c r="Y54" s="131" t="s">
        <v>76</v>
      </c>
      <c r="Z54" s="131" t="s">
        <v>76</v>
      </c>
      <c r="AA54" s="131" t="s">
        <v>76</v>
      </c>
      <c r="AB54" s="131" t="s">
        <v>76</v>
      </c>
      <c r="AC54" s="131" t="s">
        <v>76</v>
      </c>
      <c r="AD54" s="131" t="s">
        <v>76</v>
      </c>
      <c r="AE54" s="131" t="s">
        <v>76</v>
      </c>
      <c r="AF54" s="131" t="s">
        <v>76</v>
      </c>
      <c r="AG54" s="131" t="s">
        <v>76</v>
      </c>
      <c r="AH54" s="131" t="s">
        <v>76</v>
      </c>
      <c r="AI54" s="152" t="s">
        <v>76</v>
      </c>
      <c r="AJ54" s="131" t="s">
        <v>76</v>
      </c>
      <c r="AK54" s="119"/>
      <c r="AL54" s="119"/>
      <c r="AM54" s="119"/>
      <c r="AN54" s="119"/>
      <c r="AO54" s="119"/>
      <c r="AP54" s="119"/>
      <c r="AQ54" s="119"/>
      <c r="AR54" s="119"/>
      <c r="AS54" s="119"/>
      <c r="AT54" s="119"/>
      <c r="AU54" s="119"/>
      <c r="AV54" s="119"/>
      <c r="AW54" s="119"/>
      <c r="AX54" s="119"/>
    </row>
    <row r="55" spans="1:50" ht="18">
      <c r="A55" s="5">
        <v>54</v>
      </c>
      <c r="B55" s="16" t="s">
        <v>52</v>
      </c>
      <c r="C55" s="120">
        <v>1</v>
      </c>
      <c r="D55" s="120">
        <v>1</v>
      </c>
      <c r="E55" s="120">
        <f t="shared" ref="E55:E58" si="6">C55-D55</f>
        <v>0</v>
      </c>
      <c r="F55" s="120" t="s">
        <v>69</v>
      </c>
      <c r="G55" s="120" t="s">
        <v>69</v>
      </c>
      <c r="H55" s="120" t="s">
        <v>69</v>
      </c>
      <c r="I55" s="120" t="s">
        <v>108</v>
      </c>
      <c r="J55" s="120" t="s">
        <v>69</v>
      </c>
      <c r="K55" s="121" t="s">
        <v>72</v>
      </c>
      <c r="L55" s="120" t="s">
        <v>69</v>
      </c>
      <c r="M55" s="120" t="s">
        <v>69</v>
      </c>
      <c r="N55" s="120" t="s">
        <v>69</v>
      </c>
      <c r="O55" s="120" t="s">
        <v>69</v>
      </c>
      <c r="P55" s="120" t="s">
        <v>108</v>
      </c>
      <c r="Q55" s="120" t="s">
        <v>69</v>
      </c>
      <c r="R55" s="120" t="s">
        <v>69</v>
      </c>
      <c r="S55" s="120" t="s">
        <v>69</v>
      </c>
      <c r="T55" s="120" t="s">
        <v>69</v>
      </c>
      <c r="U55" s="120" t="s">
        <v>69</v>
      </c>
      <c r="V55" s="120" t="s">
        <v>69</v>
      </c>
      <c r="W55" s="120" t="s">
        <v>108</v>
      </c>
      <c r="X55" s="120" t="s">
        <v>69</v>
      </c>
      <c r="Y55" s="120" t="s">
        <v>69</v>
      </c>
      <c r="Z55" s="120" t="s">
        <v>69</v>
      </c>
      <c r="AA55" s="120" t="s">
        <v>69</v>
      </c>
      <c r="AB55" s="120" t="s">
        <v>69</v>
      </c>
      <c r="AC55" s="120" t="s">
        <v>69</v>
      </c>
      <c r="AD55" s="120" t="s">
        <v>108</v>
      </c>
      <c r="AE55" s="120" t="s">
        <v>69</v>
      </c>
      <c r="AF55" s="120" t="s">
        <v>69</v>
      </c>
      <c r="AG55" s="120" t="s">
        <v>69</v>
      </c>
      <c r="AH55" s="120" t="s">
        <v>69</v>
      </c>
      <c r="AI55" s="120" t="s">
        <v>69</v>
      </c>
      <c r="AJ55" s="120" t="s">
        <v>69</v>
      </c>
      <c r="AK55" s="119"/>
      <c r="AL55" s="119"/>
      <c r="AM55" s="119"/>
      <c r="AN55" s="119"/>
      <c r="AO55" s="119"/>
      <c r="AP55" s="119"/>
      <c r="AQ55" s="119"/>
      <c r="AR55" s="119"/>
      <c r="AS55" s="119"/>
      <c r="AT55" s="119"/>
      <c r="AU55" s="119"/>
      <c r="AV55" s="119"/>
      <c r="AW55" s="119"/>
      <c r="AX55" s="119"/>
    </row>
    <row r="56" spans="1:50" ht="18">
      <c r="A56" s="5">
        <v>55</v>
      </c>
      <c r="B56" s="16" t="s">
        <v>53</v>
      </c>
      <c r="C56" s="120">
        <v>5.5</v>
      </c>
      <c r="D56" s="120">
        <v>5.5</v>
      </c>
      <c r="E56" s="120">
        <f t="shared" si="6"/>
        <v>0</v>
      </c>
      <c r="F56" s="121" t="s">
        <v>72</v>
      </c>
      <c r="G56" s="120" t="s">
        <v>69</v>
      </c>
      <c r="H56" s="120" t="s">
        <v>69</v>
      </c>
      <c r="I56" s="120" t="s">
        <v>108</v>
      </c>
      <c r="J56" s="120" t="s">
        <v>69</v>
      </c>
      <c r="K56" s="132" t="s">
        <v>94</v>
      </c>
      <c r="L56" s="121" t="s">
        <v>72</v>
      </c>
      <c r="M56" s="120" t="s">
        <v>69</v>
      </c>
      <c r="N56" s="120" t="s">
        <v>69</v>
      </c>
      <c r="O56" s="120" t="s">
        <v>69</v>
      </c>
      <c r="P56" s="120" t="s">
        <v>108</v>
      </c>
      <c r="Q56" s="120" t="s">
        <v>69</v>
      </c>
      <c r="R56" s="132" t="s">
        <v>94</v>
      </c>
      <c r="S56" s="132" t="s">
        <v>94</v>
      </c>
      <c r="T56" s="671" t="s">
        <v>121</v>
      </c>
      <c r="U56" s="120" t="s">
        <v>69</v>
      </c>
      <c r="V56" s="121" t="s">
        <v>72</v>
      </c>
      <c r="W56" s="120" t="s">
        <v>108</v>
      </c>
      <c r="X56" s="120" t="s">
        <v>69</v>
      </c>
      <c r="Y56" s="120" t="s">
        <v>69</v>
      </c>
      <c r="Z56" s="120" t="s">
        <v>69</v>
      </c>
      <c r="AA56" s="120" t="s">
        <v>69</v>
      </c>
      <c r="AB56" s="120" t="s">
        <v>69</v>
      </c>
      <c r="AC56" s="120" t="s">
        <v>69</v>
      </c>
      <c r="AD56" s="120" t="s">
        <v>108</v>
      </c>
      <c r="AE56" s="120" t="s">
        <v>69</v>
      </c>
      <c r="AF56" s="121" t="s">
        <v>72</v>
      </c>
      <c r="AG56" s="120" t="s">
        <v>69</v>
      </c>
      <c r="AH56" s="120" t="s">
        <v>69</v>
      </c>
      <c r="AI56" s="120" t="s">
        <v>69</v>
      </c>
      <c r="AJ56" s="120" t="s">
        <v>69</v>
      </c>
      <c r="AK56" s="119"/>
      <c r="AL56" s="119"/>
      <c r="AM56" s="119"/>
      <c r="AN56" s="119"/>
      <c r="AO56" s="119"/>
      <c r="AP56" s="119"/>
      <c r="AQ56" s="119"/>
      <c r="AR56" s="119"/>
      <c r="AS56" s="119"/>
      <c r="AT56" s="119"/>
      <c r="AU56" s="119"/>
      <c r="AV56" s="119"/>
      <c r="AW56" s="119"/>
      <c r="AX56" s="119"/>
    </row>
    <row r="57" spans="1:50" ht="18">
      <c r="A57" s="5">
        <v>56</v>
      </c>
      <c r="B57" s="179" t="s">
        <v>54</v>
      </c>
      <c r="C57" s="120">
        <v>3</v>
      </c>
      <c r="D57" s="120">
        <v>1.5</v>
      </c>
      <c r="E57" s="120">
        <f t="shared" si="6"/>
        <v>1.5</v>
      </c>
      <c r="F57" s="121" t="s">
        <v>72</v>
      </c>
      <c r="G57" s="120" t="s">
        <v>69</v>
      </c>
      <c r="H57" s="120" t="s">
        <v>69</v>
      </c>
      <c r="I57" s="120" t="s">
        <v>108</v>
      </c>
      <c r="J57" s="121" t="s">
        <v>72</v>
      </c>
      <c r="K57" s="120" t="s">
        <v>69</v>
      </c>
      <c r="L57" s="120" t="s">
        <v>69</v>
      </c>
      <c r="M57" s="120" t="s">
        <v>69</v>
      </c>
      <c r="N57" s="120" t="s">
        <v>69</v>
      </c>
      <c r="O57" s="137" t="s">
        <v>78</v>
      </c>
      <c r="P57" s="120" t="s">
        <v>108</v>
      </c>
      <c r="Q57" s="120" t="s">
        <v>69</v>
      </c>
      <c r="R57" s="120" t="s">
        <v>69</v>
      </c>
      <c r="S57" s="120" t="s">
        <v>69</v>
      </c>
      <c r="T57" s="120" t="s">
        <v>69</v>
      </c>
      <c r="U57" s="120" t="s">
        <v>69</v>
      </c>
      <c r="V57" s="120" t="s">
        <v>69</v>
      </c>
      <c r="W57" s="120" t="s">
        <v>108</v>
      </c>
      <c r="X57" s="120" t="s">
        <v>69</v>
      </c>
      <c r="Y57" s="120" t="s">
        <v>69</v>
      </c>
      <c r="Z57" s="120" t="s">
        <v>69</v>
      </c>
      <c r="AA57" s="120" t="s">
        <v>69</v>
      </c>
      <c r="AB57" s="120" t="s">
        <v>69</v>
      </c>
      <c r="AC57" s="120" t="s">
        <v>69</v>
      </c>
      <c r="AD57" s="120" t="s">
        <v>108</v>
      </c>
      <c r="AE57" s="121" t="s">
        <v>72</v>
      </c>
      <c r="AF57" s="120" t="s">
        <v>69</v>
      </c>
      <c r="AG57" s="120" t="s">
        <v>69</v>
      </c>
      <c r="AH57" s="120" t="s">
        <v>69</v>
      </c>
      <c r="AI57" s="120" t="s">
        <v>69</v>
      </c>
      <c r="AJ57" s="120" t="s">
        <v>69</v>
      </c>
      <c r="AK57" s="119"/>
      <c r="AL57" s="119"/>
      <c r="AM57" s="119"/>
      <c r="AN57" s="119"/>
      <c r="AO57" s="119"/>
      <c r="AP57" s="119"/>
      <c r="AQ57" s="119"/>
      <c r="AR57" s="119"/>
      <c r="AS57" s="119"/>
      <c r="AT57" s="119"/>
      <c r="AU57" s="119"/>
      <c r="AV57" s="119"/>
      <c r="AW57" s="119"/>
      <c r="AX57" s="119"/>
    </row>
    <row r="58" spans="1:50" ht="18">
      <c r="A58" s="5">
        <v>57</v>
      </c>
      <c r="B58" s="16" t="s">
        <v>55</v>
      </c>
      <c r="C58" s="120">
        <v>0</v>
      </c>
      <c r="D58" s="120">
        <v>0</v>
      </c>
      <c r="E58" s="120">
        <f t="shared" si="6"/>
        <v>0</v>
      </c>
      <c r="F58" s="120" t="s">
        <v>69</v>
      </c>
      <c r="G58" s="120" t="s">
        <v>69</v>
      </c>
      <c r="H58" s="120" t="s">
        <v>69</v>
      </c>
      <c r="I58" s="120" t="s">
        <v>108</v>
      </c>
      <c r="J58" s="120" t="s">
        <v>69</v>
      </c>
      <c r="K58" s="120" t="s">
        <v>69</v>
      </c>
      <c r="L58" s="120" t="s">
        <v>69</v>
      </c>
      <c r="M58" s="120" t="s">
        <v>69</v>
      </c>
      <c r="N58" s="120" t="s">
        <v>69</v>
      </c>
      <c r="O58" s="120" t="s">
        <v>69</v>
      </c>
      <c r="P58" s="120" t="s">
        <v>108</v>
      </c>
      <c r="Q58" s="120" t="s">
        <v>69</v>
      </c>
      <c r="R58" s="120" t="s">
        <v>69</v>
      </c>
      <c r="S58" s="120" t="s">
        <v>69</v>
      </c>
      <c r="T58" s="120" t="s">
        <v>69</v>
      </c>
      <c r="U58" s="120" t="s">
        <v>69</v>
      </c>
      <c r="V58" s="120" t="s">
        <v>69</v>
      </c>
      <c r="W58" s="120" t="s">
        <v>108</v>
      </c>
      <c r="X58" s="120" t="s">
        <v>69</v>
      </c>
      <c r="Y58" s="120" t="s">
        <v>69</v>
      </c>
      <c r="Z58" s="120" t="s">
        <v>69</v>
      </c>
      <c r="AA58" s="120" t="s">
        <v>69</v>
      </c>
      <c r="AB58" s="120" t="s">
        <v>69</v>
      </c>
      <c r="AC58" s="120" t="s">
        <v>69</v>
      </c>
      <c r="AD58" s="120" t="s">
        <v>108</v>
      </c>
      <c r="AE58" s="120" t="s">
        <v>69</v>
      </c>
      <c r="AF58" s="154" t="s">
        <v>111</v>
      </c>
      <c r="AG58" s="120" t="s">
        <v>69</v>
      </c>
      <c r="AH58" s="120" t="s">
        <v>69</v>
      </c>
      <c r="AI58" s="120" t="s">
        <v>69</v>
      </c>
      <c r="AJ58" s="120" t="s">
        <v>69</v>
      </c>
      <c r="AK58" s="119"/>
      <c r="AL58" s="119"/>
      <c r="AM58" s="119"/>
      <c r="AN58" s="119"/>
      <c r="AO58" s="119"/>
      <c r="AP58" s="119"/>
      <c r="AQ58" s="119"/>
      <c r="AR58" s="119"/>
      <c r="AS58" s="119"/>
      <c r="AT58" s="119"/>
      <c r="AU58" s="119"/>
      <c r="AV58" s="119"/>
      <c r="AW58" s="119"/>
      <c r="AX58" s="119"/>
    </row>
    <row r="59" spans="1:50" ht="18">
      <c r="A59" s="5">
        <v>58</v>
      </c>
      <c r="B59" s="133" t="s">
        <v>122</v>
      </c>
      <c r="C59" s="120"/>
      <c r="D59" s="120"/>
      <c r="E59" s="120"/>
      <c r="F59" s="132" t="s">
        <v>73</v>
      </c>
      <c r="G59" s="120" t="s">
        <v>69</v>
      </c>
      <c r="H59" s="120" t="s">
        <v>69</v>
      </c>
      <c r="I59" s="120" t="s">
        <v>108</v>
      </c>
      <c r="J59" s="121" t="s">
        <v>72</v>
      </c>
      <c r="K59" s="120" t="s">
        <v>69</v>
      </c>
      <c r="L59" s="120" t="s">
        <v>69</v>
      </c>
      <c r="M59" s="132" t="s">
        <v>94</v>
      </c>
      <c r="N59" s="121" t="s">
        <v>72</v>
      </c>
      <c r="O59" s="121" t="s">
        <v>72</v>
      </c>
      <c r="P59" s="120" t="s">
        <v>108</v>
      </c>
      <c r="Q59" s="121" t="s">
        <v>72</v>
      </c>
      <c r="R59" s="121" t="s">
        <v>72</v>
      </c>
      <c r="S59" s="121" t="s">
        <v>72</v>
      </c>
      <c r="T59" s="121" t="s">
        <v>72</v>
      </c>
      <c r="U59" s="121" t="s">
        <v>72</v>
      </c>
      <c r="V59" s="121" t="s">
        <v>72</v>
      </c>
      <c r="W59" s="120" t="s">
        <v>108</v>
      </c>
      <c r="X59" s="121" t="s">
        <v>72</v>
      </c>
      <c r="Y59" s="131" t="s">
        <v>76</v>
      </c>
      <c r="Z59" s="131" t="s">
        <v>76</v>
      </c>
      <c r="AA59" s="131" t="s">
        <v>76</v>
      </c>
      <c r="AB59" s="131" t="s">
        <v>76</v>
      </c>
      <c r="AC59" s="131" t="s">
        <v>76</v>
      </c>
      <c r="AD59" s="131" t="s">
        <v>76</v>
      </c>
      <c r="AE59" s="131" t="s">
        <v>76</v>
      </c>
      <c r="AF59" s="131" t="s">
        <v>76</v>
      </c>
      <c r="AG59" s="131" t="s">
        <v>76</v>
      </c>
      <c r="AH59" s="131" t="s">
        <v>76</v>
      </c>
      <c r="AI59" s="152" t="s">
        <v>76</v>
      </c>
      <c r="AJ59" s="156" t="s">
        <v>76</v>
      </c>
      <c r="AK59" s="119"/>
      <c r="AL59" s="119"/>
      <c r="AM59" s="119"/>
      <c r="AN59" s="119"/>
      <c r="AO59" s="119"/>
      <c r="AP59" s="119"/>
      <c r="AQ59" s="119"/>
      <c r="AR59" s="119"/>
      <c r="AS59" s="119"/>
      <c r="AT59" s="119"/>
      <c r="AU59" s="119"/>
      <c r="AV59" s="119"/>
      <c r="AW59" s="119"/>
      <c r="AX59" s="119"/>
    </row>
    <row r="60" spans="1:50" ht="18">
      <c r="A60" s="5">
        <v>59</v>
      </c>
      <c r="B60" s="69" t="s">
        <v>123</v>
      </c>
      <c r="C60" s="120"/>
      <c r="D60" s="120"/>
      <c r="E60" s="120"/>
      <c r="F60" s="120" t="s">
        <v>69</v>
      </c>
      <c r="G60" s="120" t="s">
        <v>69</v>
      </c>
      <c r="H60" s="121" t="s">
        <v>72</v>
      </c>
      <c r="I60" s="120" t="s">
        <v>108</v>
      </c>
      <c r="J60" s="130" t="s">
        <v>92</v>
      </c>
      <c r="K60" s="121" t="s">
        <v>72</v>
      </c>
      <c r="L60" s="121" t="s">
        <v>76</v>
      </c>
      <c r="M60" s="121" t="s">
        <v>76</v>
      </c>
      <c r="N60" s="121" t="s">
        <v>76</v>
      </c>
      <c r="O60" s="121" t="s">
        <v>76</v>
      </c>
      <c r="P60" s="120" t="s">
        <v>108</v>
      </c>
      <c r="Q60" s="121" t="s">
        <v>76</v>
      </c>
      <c r="R60" s="121" t="s">
        <v>76</v>
      </c>
      <c r="S60" s="121" t="s">
        <v>76</v>
      </c>
      <c r="T60" s="121" t="s">
        <v>76</v>
      </c>
      <c r="U60" s="121" t="s">
        <v>76</v>
      </c>
      <c r="V60" s="121" t="s">
        <v>76</v>
      </c>
      <c r="W60" s="121" t="s">
        <v>76</v>
      </c>
      <c r="X60" s="131" t="s">
        <v>76</v>
      </c>
      <c r="Y60" s="131" t="s">
        <v>76</v>
      </c>
      <c r="Z60" s="131" t="s">
        <v>76</v>
      </c>
      <c r="AA60" s="131" t="s">
        <v>76</v>
      </c>
      <c r="AB60" s="131" t="s">
        <v>76</v>
      </c>
      <c r="AC60" s="131" t="s">
        <v>76</v>
      </c>
      <c r="AD60" s="131" t="s">
        <v>76</v>
      </c>
      <c r="AE60" s="131" t="s">
        <v>76</v>
      </c>
      <c r="AF60" s="131" t="s">
        <v>76</v>
      </c>
      <c r="AG60" s="131" t="s">
        <v>76</v>
      </c>
      <c r="AH60" s="131" t="s">
        <v>76</v>
      </c>
      <c r="AI60" s="152" t="s">
        <v>76</v>
      </c>
      <c r="AJ60" s="156" t="s">
        <v>76</v>
      </c>
      <c r="AK60" s="119"/>
      <c r="AL60" s="119"/>
      <c r="AM60" s="119"/>
      <c r="AN60" s="119"/>
      <c r="AO60" s="119"/>
      <c r="AP60" s="119"/>
      <c r="AQ60" s="119"/>
      <c r="AR60" s="119"/>
      <c r="AS60" s="119"/>
      <c r="AT60" s="119"/>
      <c r="AU60" s="119"/>
      <c r="AV60" s="119"/>
      <c r="AW60" s="119"/>
      <c r="AX60" s="119"/>
    </row>
    <row r="61" spans="1:50" ht="18">
      <c r="A61" s="5">
        <v>60</v>
      </c>
      <c r="B61" s="16" t="s">
        <v>57</v>
      </c>
      <c r="C61" s="120">
        <v>3</v>
      </c>
      <c r="D61" s="120">
        <v>2.5</v>
      </c>
      <c r="E61" s="120">
        <f t="shared" ref="E61:E64" si="7">C61-D61</f>
        <v>0.5</v>
      </c>
      <c r="F61" s="120" t="s">
        <v>69</v>
      </c>
      <c r="G61" s="120" t="s">
        <v>69</v>
      </c>
      <c r="H61" s="120" t="s">
        <v>69</v>
      </c>
      <c r="I61" s="120" t="s">
        <v>108</v>
      </c>
      <c r="J61" s="120" t="s">
        <v>69</v>
      </c>
      <c r="K61" s="120" t="s">
        <v>69</v>
      </c>
      <c r="L61" s="120" t="s">
        <v>69</v>
      </c>
      <c r="M61" s="120" t="s">
        <v>69</v>
      </c>
      <c r="N61" s="120" t="s">
        <v>69</v>
      </c>
      <c r="O61" s="121" t="s">
        <v>72</v>
      </c>
      <c r="P61" s="120" t="s">
        <v>108</v>
      </c>
      <c r="Q61" s="131" t="s">
        <v>72</v>
      </c>
      <c r="R61" s="131" t="s">
        <v>72</v>
      </c>
      <c r="S61" s="120" t="s">
        <v>69</v>
      </c>
      <c r="T61" s="120" t="s">
        <v>69</v>
      </c>
      <c r="U61" s="120" t="s">
        <v>69</v>
      </c>
      <c r="V61" s="120" t="s">
        <v>69</v>
      </c>
      <c r="W61" s="120" t="s">
        <v>108</v>
      </c>
      <c r="X61" s="120" t="s">
        <v>69</v>
      </c>
      <c r="Y61" s="120" t="s">
        <v>69</v>
      </c>
      <c r="Z61" s="120" t="s">
        <v>69</v>
      </c>
      <c r="AA61" s="120" t="s">
        <v>69</v>
      </c>
      <c r="AB61" s="120" t="s">
        <v>69</v>
      </c>
      <c r="AC61" s="120" t="s">
        <v>69</v>
      </c>
      <c r="AD61" s="120" t="s">
        <v>108</v>
      </c>
      <c r="AE61" s="120" t="s">
        <v>69</v>
      </c>
      <c r="AF61" s="120" t="s">
        <v>69</v>
      </c>
      <c r="AG61" s="120" t="s">
        <v>69</v>
      </c>
      <c r="AH61" s="120" t="s">
        <v>69</v>
      </c>
      <c r="AI61" s="120" t="s">
        <v>69</v>
      </c>
      <c r="AJ61" s="120" t="s">
        <v>69</v>
      </c>
      <c r="AK61" s="119"/>
      <c r="AL61" s="119"/>
      <c r="AM61" s="119"/>
      <c r="AN61" s="119"/>
      <c r="AO61" s="119"/>
      <c r="AP61" s="119"/>
      <c r="AQ61" s="119"/>
      <c r="AR61" s="119"/>
      <c r="AS61" s="119"/>
      <c r="AT61" s="119"/>
      <c r="AU61" s="119"/>
      <c r="AV61" s="119"/>
      <c r="AW61" s="119"/>
      <c r="AX61" s="119"/>
    </row>
    <row r="62" spans="1:50" ht="18">
      <c r="A62" s="5">
        <v>61</v>
      </c>
      <c r="B62" s="16" t="s">
        <v>80</v>
      </c>
      <c r="C62" s="120">
        <v>6.5</v>
      </c>
      <c r="D62" s="120">
        <v>1.5</v>
      </c>
      <c r="E62" s="120">
        <f t="shared" si="7"/>
        <v>5</v>
      </c>
      <c r="F62" s="120" t="s">
        <v>69</v>
      </c>
      <c r="G62" s="120" t="s">
        <v>69</v>
      </c>
      <c r="H62" s="120" t="s">
        <v>69</v>
      </c>
      <c r="I62" s="120" t="s">
        <v>108</v>
      </c>
      <c r="J62" s="120" t="s">
        <v>69</v>
      </c>
      <c r="K62" s="120" t="s">
        <v>69</v>
      </c>
      <c r="L62" s="120" t="s">
        <v>69</v>
      </c>
      <c r="M62" s="120" t="s">
        <v>69</v>
      </c>
      <c r="N62" s="120" t="s">
        <v>69</v>
      </c>
      <c r="O62" s="120" t="s">
        <v>69</v>
      </c>
      <c r="P62" s="120" t="s">
        <v>108</v>
      </c>
      <c r="Q62" s="120" t="s">
        <v>69</v>
      </c>
      <c r="R62" s="120" t="s">
        <v>69</v>
      </c>
      <c r="S62" s="120" t="s">
        <v>69</v>
      </c>
      <c r="T62" s="120" t="s">
        <v>69</v>
      </c>
      <c r="U62" s="132" t="s">
        <v>94</v>
      </c>
      <c r="V62" s="120" t="s">
        <v>69</v>
      </c>
      <c r="W62" s="120" t="s">
        <v>108</v>
      </c>
      <c r="X62" s="120" t="s">
        <v>69</v>
      </c>
      <c r="Y62" s="120" t="s">
        <v>69</v>
      </c>
      <c r="Z62" s="120" t="s">
        <v>69</v>
      </c>
      <c r="AA62" s="121" t="s">
        <v>72</v>
      </c>
      <c r="AB62" s="121" t="s">
        <v>72</v>
      </c>
      <c r="AC62" s="121" t="s">
        <v>72</v>
      </c>
      <c r="AD62" s="134" t="s">
        <v>108</v>
      </c>
      <c r="AE62" s="121" t="s">
        <v>72</v>
      </c>
      <c r="AF62" s="121" t="s">
        <v>72</v>
      </c>
      <c r="AG62" s="121" t="s">
        <v>72</v>
      </c>
      <c r="AH62" s="120" t="s">
        <v>69</v>
      </c>
      <c r="AI62" s="120" t="s">
        <v>69</v>
      </c>
      <c r="AJ62" s="120" t="s">
        <v>69</v>
      </c>
      <c r="AK62" s="119"/>
      <c r="AL62" s="119"/>
      <c r="AM62" s="119"/>
      <c r="AN62" s="119"/>
      <c r="AO62" s="119"/>
      <c r="AP62" s="119"/>
      <c r="AQ62" s="119"/>
      <c r="AR62" s="119"/>
      <c r="AS62" s="119"/>
      <c r="AT62" s="119"/>
      <c r="AU62" s="119"/>
      <c r="AV62" s="119"/>
      <c r="AW62" s="119"/>
      <c r="AX62" s="119"/>
    </row>
    <row r="63" spans="1:50" ht="18">
      <c r="A63" s="5">
        <v>62</v>
      </c>
      <c r="B63" s="16" t="s">
        <v>58</v>
      </c>
      <c r="C63" s="120">
        <v>5.5</v>
      </c>
      <c r="D63" s="120">
        <v>5.5</v>
      </c>
      <c r="E63" s="120">
        <f t="shared" si="7"/>
        <v>0</v>
      </c>
      <c r="F63" s="120" t="s">
        <v>69</v>
      </c>
      <c r="G63" s="120" t="s">
        <v>69</v>
      </c>
      <c r="H63" s="120" t="s">
        <v>69</v>
      </c>
      <c r="I63" s="120" t="s">
        <v>108</v>
      </c>
      <c r="J63" s="120" t="s">
        <v>69</v>
      </c>
      <c r="K63" s="120" t="s">
        <v>69</v>
      </c>
      <c r="L63" s="121" t="s">
        <v>72</v>
      </c>
      <c r="M63" s="121" t="s">
        <v>72</v>
      </c>
      <c r="N63" s="120" t="s">
        <v>69</v>
      </c>
      <c r="O63" s="120" t="s">
        <v>69</v>
      </c>
      <c r="P63" s="120" t="s">
        <v>108</v>
      </c>
      <c r="Q63" s="120" t="s">
        <v>69</v>
      </c>
      <c r="R63" s="120" t="s">
        <v>69</v>
      </c>
      <c r="S63" s="121" t="s">
        <v>72</v>
      </c>
      <c r="T63" s="120" t="s">
        <v>69</v>
      </c>
      <c r="U63" s="121" t="s">
        <v>72</v>
      </c>
      <c r="V63" s="120" t="s">
        <v>69</v>
      </c>
      <c r="W63" s="120" t="s">
        <v>108</v>
      </c>
      <c r="X63" s="120" t="s">
        <v>69</v>
      </c>
      <c r="Y63" s="120" t="s">
        <v>69</v>
      </c>
      <c r="Z63" s="120" t="s">
        <v>69</v>
      </c>
      <c r="AA63" s="120" t="s">
        <v>69</v>
      </c>
      <c r="AB63" s="121" t="s">
        <v>72</v>
      </c>
      <c r="AC63" s="120" t="s">
        <v>69</v>
      </c>
      <c r="AD63" s="120" t="s">
        <v>108</v>
      </c>
      <c r="AE63" s="132" t="s">
        <v>94</v>
      </c>
      <c r="AF63" s="138" t="s">
        <v>69</v>
      </c>
      <c r="AG63" s="138" t="s">
        <v>69</v>
      </c>
      <c r="AH63" s="138" t="s">
        <v>69</v>
      </c>
      <c r="AI63" s="138" t="s">
        <v>69</v>
      </c>
      <c r="AJ63" s="138" t="s">
        <v>69</v>
      </c>
      <c r="AK63" s="119"/>
      <c r="AL63" s="119"/>
      <c r="AM63" s="119"/>
      <c r="AN63" s="119"/>
      <c r="AO63" s="119"/>
      <c r="AP63" s="119"/>
      <c r="AQ63" s="119"/>
      <c r="AR63" s="119"/>
      <c r="AS63" s="119"/>
      <c r="AT63" s="119"/>
      <c r="AU63" s="119"/>
      <c r="AV63" s="119"/>
      <c r="AW63" s="119"/>
      <c r="AX63" s="119"/>
    </row>
    <row r="64" spans="1:50" ht="18">
      <c r="A64" s="5">
        <v>63</v>
      </c>
      <c r="B64" s="17" t="s">
        <v>60</v>
      </c>
      <c r="C64" s="120">
        <v>3</v>
      </c>
      <c r="D64" s="120">
        <v>1.5</v>
      </c>
      <c r="E64" s="120">
        <f t="shared" si="7"/>
        <v>1.5</v>
      </c>
      <c r="F64" s="120" t="s">
        <v>69</v>
      </c>
      <c r="G64" s="120" t="s">
        <v>69</v>
      </c>
      <c r="H64" s="120" t="s">
        <v>69</v>
      </c>
      <c r="I64" s="120" t="s">
        <v>108</v>
      </c>
      <c r="J64" s="120" t="s">
        <v>69</v>
      </c>
      <c r="K64" s="120" t="s">
        <v>69</v>
      </c>
      <c r="L64" s="120" t="s">
        <v>69</v>
      </c>
      <c r="M64" s="120" t="s">
        <v>69</v>
      </c>
      <c r="N64" s="120" t="s">
        <v>69</v>
      </c>
      <c r="O64" s="120" t="s">
        <v>69</v>
      </c>
      <c r="P64" s="120" t="s">
        <v>108</v>
      </c>
      <c r="Q64" s="121" t="s">
        <v>72</v>
      </c>
      <c r="R64" s="120" t="s">
        <v>69</v>
      </c>
      <c r="S64" s="120" t="s">
        <v>69</v>
      </c>
      <c r="T64" s="120" t="s">
        <v>69</v>
      </c>
      <c r="U64" s="121" t="s">
        <v>72</v>
      </c>
      <c r="V64" s="121" t="s">
        <v>72</v>
      </c>
      <c r="W64" s="120" t="s">
        <v>108</v>
      </c>
      <c r="X64" s="120" t="s">
        <v>69</v>
      </c>
      <c r="Y64" s="120" t="s">
        <v>69</v>
      </c>
      <c r="Z64" s="120" t="s">
        <v>69</v>
      </c>
      <c r="AA64" s="120" t="s">
        <v>69</v>
      </c>
      <c r="AB64" s="120" t="s">
        <v>69</v>
      </c>
      <c r="AC64" s="120" t="s">
        <v>69</v>
      </c>
      <c r="AD64" s="120" t="s">
        <v>108</v>
      </c>
      <c r="AE64" s="120" t="s">
        <v>69</v>
      </c>
      <c r="AF64" s="120" t="s">
        <v>69</v>
      </c>
      <c r="AG64" s="120" t="s">
        <v>69</v>
      </c>
      <c r="AH64" s="120" t="s">
        <v>69</v>
      </c>
      <c r="AI64" s="120" t="s">
        <v>69</v>
      </c>
      <c r="AJ64" s="120" t="s">
        <v>69</v>
      </c>
      <c r="AK64" s="119"/>
      <c r="AL64" s="119"/>
      <c r="AM64" s="119"/>
      <c r="AN64" s="119"/>
      <c r="AO64" s="119"/>
      <c r="AP64" s="119"/>
      <c r="AQ64" s="119"/>
      <c r="AR64" s="119"/>
      <c r="AS64" s="119"/>
      <c r="AT64" s="119"/>
      <c r="AU64" s="119"/>
      <c r="AV64" s="119"/>
      <c r="AW64" s="119"/>
      <c r="AX64" s="119"/>
    </row>
    <row r="65" spans="1:50" ht="18">
      <c r="A65" s="5">
        <v>64</v>
      </c>
      <c r="B65" s="133" t="s">
        <v>124</v>
      </c>
      <c r="C65" s="120"/>
      <c r="D65" s="120"/>
      <c r="E65" s="120"/>
      <c r="F65" s="120" t="s">
        <v>69</v>
      </c>
      <c r="G65" s="121" t="s">
        <v>72</v>
      </c>
      <c r="H65" s="120" t="s">
        <v>70</v>
      </c>
      <c r="I65" s="120" t="s">
        <v>108</v>
      </c>
      <c r="J65" s="120" t="s">
        <v>69</v>
      </c>
      <c r="K65" s="121" t="s">
        <v>72</v>
      </c>
      <c r="L65" s="121" t="s">
        <v>76</v>
      </c>
      <c r="M65" s="121" t="s">
        <v>76</v>
      </c>
      <c r="N65" s="121" t="s">
        <v>76</v>
      </c>
      <c r="O65" s="121" t="s">
        <v>76</v>
      </c>
      <c r="P65" s="120" t="s">
        <v>108</v>
      </c>
      <c r="Q65" s="121" t="s">
        <v>76</v>
      </c>
      <c r="R65" s="121" t="s">
        <v>76</v>
      </c>
      <c r="S65" s="121" t="s">
        <v>76</v>
      </c>
      <c r="T65" s="121" t="s">
        <v>76</v>
      </c>
      <c r="U65" s="121" t="s">
        <v>76</v>
      </c>
      <c r="V65" s="121" t="s">
        <v>76</v>
      </c>
      <c r="W65" s="121" t="s">
        <v>76</v>
      </c>
      <c r="X65" s="121" t="s">
        <v>76</v>
      </c>
      <c r="Y65" s="121" t="s">
        <v>76</v>
      </c>
      <c r="Z65" s="121" t="s">
        <v>76</v>
      </c>
      <c r="AA65" s="121" t="s">
        <v>76</v>
      </c>
      <c r="AB65" s="121" t="s">
        <v>76</v>
      </c>
      <c r="AC65" s="121" t="s">
        <v>76</v>
      </c>
      <c r="AD65" s="121" t="s">
        <v>76</v>
      </c>
      <c r="AE65" s="121" t="s">
        <v>76</v>
      </c>
      <c r="AF65" s="121" t="s">
        <v>76</v>
      </c>
      <c r="AG65" s="121" t="s">
        <v>76</v>
      </c>
      <c r="AH65" s="121" t="s">
        <v>76</v>
      </c>
      <c r="AI65" s="153" t="s">
        <v>76</v>
      </c>
      <c r="AJ65" s="121" t="s">
        <v>76</v>
      </c>
      <c r="AK65" s="119"/>
      <c r="AL65" s="119"/>
      <c r="AM65" s="119"/>
      <c r="AN65" s="119"/>
      <c r="AO65" s="119"/>
      <c r="AP65" s="119"/>
      <c r="AQ65" s="119"/>
      <c r="AR65" s="119"/>
      <c r="AS65" s="119"/>
      <c r="AT65" s="119"/>
      <c r="AU65" s="119"/>
      <c r="AV65" s="119"/>
      <c r="AW65" s="119"/>
      <c r="AX65" s="119"/>
    </row>
    <row r="66" spans="1:50" ht="18">
      <c r="A66" s="5">
        <v>65</v>
      </c>
      <c r="B66" s="16" t="s">
        <v>61</v>
      </c>
      <c r="C66" s="120">
        <v>2</v>
      </c>
      <c r="D66" s="120">
        <v>2</v>
      </c>
      <c r="E66" s="120">
        <f t="shared" ref="E66:E67" si="8">C66-D66</f>
        <v>0</v>
      </c>
      <c r="F66" s="130" t="s">
        <v>92</v>
      </c>
      <c r="G66" s="120" t="s">
        <v>69</v>
      </c>
      <c r="H66" s="120" t="s">
        <v>69</v>
      </c>
      <c r="I66" s="120" t="s">
        <v>108</v>
      </c>
      <c r="J66" s="120" t="s">
        <v>69</v>
      </c>
      <c r="K66" s="120" t="s">
        <v>69</v>
      </c>
      <c r="L66" s="120" t="s">
        <v>69</v>
      </c>
      <c r="M66" s="120" t="s">
        <v>69</v>
      </c>
      <c r="N66" s="120" t="s">
        <v>69</v>
      </c>
      <c r="O66" s="121" t="s">
        <v>72</v>
      </c>
      <c r="P66" s="120" t="s">
        <v>108</v>
      </c>
      <c r="Q66" s="120" t="s">
        <v>69</v>
      </c>
      <c r="R66" s="120" t="s">
        <v>69</v>
      </c>
      <c r="S66" s="120" t="s">
        <v>69</v>
      </c>
      <c r="T66" s="120" t="s">
        <v>69</v>
      </c>
      <c r="U66" s="120" t="s">
        <v>69</v>
      </c>
      <c r="V66" s="130" t="s">
        <v>92</v>
      </c>
      <c r="W66" s="120" t="s">
        <v>108</v>
      </c>
      <c r="X66" s="120" t="s">
        <v>69</v>
      </c>
      <c r="Y66" s="120" t="s">
        <v>69</v>
      </c>
      <c r="Z66" s="120" t="s">
        <v>69</v>
      </c>
      <c r="AA66" s="120" t="s">
        <v>69</v>
      </c>
      <c r="AB66" s="120" t="s">
        <v>69</v>
      </c>
      <c r="AC66" s="120" t="s">
        <v>69</v>
      </c>
      <c r="AD66" s="120" t="s">
        <v>108</v>
      </c>
      <c r="AE66" s="120" t="s">
        <v>69</v>
      </c>
      <c r="AF66" s="154" t="s">
        <v>111</v>
      </c>
      <c r="AG66" s="121" t="s">
        <v>72</v>
      </c>
      <c r="AH66" s="120" t="s">
        <v>69</v>
      </c>
      <c r="AI66" s="120" t="s">
        <v>69</v>
      </c>
      <c r="AJ66" s="120" t="s">
        <v>69</v>
      </c>
      <c r="AK66" s="119"/>
      <c r="AL66" s="119"/>
      <c r="AM66" s="119"/>
      <c r="AN66" s="119"/>
      <c r="AO66" s="119"/>
      <c r="AP66" s="119"/>
      <c r="AQ66" s="119"/>
      <c r="AR66" s="119"/>
      <c r="AS66" s="119"/>
      <c r="AT66" s="119"/>
      <c r="AU66" s="119"/>
      <c r="AV66" s="119"/>
      <c r="AW66" s="119"/>
      <c r="AX66" s="119"/>
    </row>
    <row r="67" spans="1:50" ht="18">
      <c r="A67" s="5">
        <v>66</v>
      </c>
      <c r="B67" s="16" t="s">
        <v>62</v>
      </c>
      <c r="C67" s="120">
        <v>3.5</v>
      </c>
      <c r="D67" s="120">
        <v>3.5</v>
      </c>
      <c r="E67" s="120">
        <f t="shared" si="8"/>
        <v>0</v>
      </c>
      <c r="F67" s="123" t="s">
        <v>71</v>
      </c>
      <c r="G67" s="120" t="s">
        <v>69</v>
      </c>
      <c r="H67" s="120" t="s">
        <v>69</v>
      </c>
      <c r="I67" s="120" t="s">
        <v>108</v>
      </c>
      <c r="J67" s="120" t="s">
        <v>69</v>
      </c>
      <c r="K67" s="121" t="s">
        <v>72</v>
      </c>
      <c r="L67" s="120" t="s">
        <v>69</v>
      </c>
      <c r="M67" s="120" t="s">
        <v>69</v>
      </c>
      <c r="N67" s="120" t="s">
        <v>69</v>
      </c>
      <c r="O67" s="120" t="s">
        <v>69</v>
      </c>
      <c r="P67" s="120" t="s">
        <v>108</v>
      </c>
      <c r="Q67" s="120" t="s">
        <v>69</v>
      </c>
      <c r="R67" s="130" t="s">
        <v>92</v>
      </c>
      <c r="S67" s="120" t="s">
        <v>69</v>
      </c>
      <c r="T67" s="120" t="s">
        <v>69</v>
      </c>
      <c r="U67" s="120" t="s">
        <v>69</v>
      </c>
      <c r="V67" s="121" t="s">
        <v>72</v>
      </c>
      <c r="W67" s="120" t="s">
        <v>108</v>
      </c>
      <c r="X67" s="120" t="s">
        <v>69</v>
      </c>
      <c r="Y67" s="120" t="s">
        <v>69</v>
      </c>
      <c r="Z67" s="132" t="s">
        <v>94</v>
      </c>
      <c r="AA67" s="120" t="s">
        <v>69</v>
      </c>
      <c r="AB67" s="120" t="s">
        <v>69</v>
      </c>
      <c r="AC67" s="121" t="s">
        <v>72</v>
      </c>
      <c r="AD67" s="120" t="s">
        <v>108</v>
      </c>
      <c r="AE67" s="120" t="s">
        <v>69</v>
      </c>
      <c r="AF67" s="120" t="s">
        <v>69</v>
      </c>
      <c r="AG67" s="120" t="s">
        <v>69</v>
      </c>
      <c r="AH67" s="120" t="s">
        <v>69</v>
      </c>
      <c r="AI67" s="120" t="s">
        <v>69</v>
      </c>
      <c r="AJ67" s="120" t="s">
        <v>69</v>
      </c>
      <c r="AK67" s="119"/>
      <c r="AL67" s="119"/>
      <c r="AM67" s="119"/>
      <c r="AN67" s="119"/>
      <c r="AO67" s="119"/>
      <c r="AP67" s="119"/>
      <c r="AQ67" s="119"/>
      <c r="AR67" s="119"/>
      <c r="AS67" s="119"/>
      <c r="AT67" s="119"/>
      <c r="AU67" s="119"/>
      <c r="AV67" s="119"/>
      <c r="AW67" s="119"/>
      <c r="AX67" s="119"/>
    </row>
    <row r="68" spans="1:50">
      <c r="B68" s="155" t="s">
        <v>125</v>
      </c>
    </row>
    <row r="69" spans="1:50">
      <c r="B69" s="155" t="s">
        <v>126</v>
      </c>
    </row>
    <row r="70" spans="1:50">
      <c r="B70" s="42" t="s">
        <v>127</v>
      </c>
    </row>
    <row r="71" spans="1:50">
      <c r="B71" s="42" t="s">
        <v>128</v>
      </c>
    </row>
    <row r="72" spans="1:50">
      <c r="B72" s="42" t="s">
        <v>129</v>
      </c>
    </row>
    <row r="73" spans="1:50">
      <c r="B73" s="42" t="s">
        <v>130</v>
      </c>
    </row>
    <row r="74" spans="1:50">
      <c r="B74" s="42" t="s">
        <v>131</v>
      </c>
    </row>
    <row r="75" spans="1:50">
      <c r="B75" s="42" t="s">
        <v>132</v>
      </c>
    </row>
  </sheetData>
  <autoFilter ref="B1:B75" xr:uid="{80355C95-3181-48A8-9160-851FAD09779E}"/>
  <sortState xmlns:xlrd2="http://schemas.microsoft.com/office/spreadsheetml/2017/richdata2" ref="A2:AI67">
    <sortCondition ref="B2:B67"/>
  </sortState>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A0257-520C-4F25-9E75-E521EE636B48}">
  <dimension ref="A1:AK191"/>
  <sheetViews>
    <sheetView workbookViewId="0">
      <pane ySplit="1" topLeftCell="A2" activePane="bottomLeft" state="frozen"/>
      <selection pane="bottomLeft" activeCell="V20" sqref="V20"/>
    </sheetView>
  </sheetViews>
  <sheetFormatPr defaultRowHeight="14.25"/>
  <cols>
    <col min="2" max="2" width="27.3984375" customWidth="1"/>
    <col min="3" max="3" width="15.1328125" customWidth="1"/>
    <col min="4" max="4" width="7.86328125" customWidth="1"/>
    <col min="5" max="5" width="8.59765625" customWidth="1"/>
    <col min="35" max="35" width="9.1328125" style="7"/>
  </cols>
  <sheetData>
    <row r="1" spans="1:37" ht="18">
      <c r="A1" s="29" t="s">
        <v>64</v>
      </c>
      <c r="B1" s="29" t="s">
        <v>65</v>
      </c>
      <c r="C1" s="165" t="s">
        <v>68</v>
      </c>
      <c r="D1" s="165" t="s">
        <v>133</v>
      </c>
      <c r="E1" s="165" t="s">
        <v>66</v>
      </c>
      <c r="F1" s="165">
        <v>1</v>
      </c>
      <c r="G1" s="165">
        <v>2</v>
      </c>
      <c r="H1" s="165">
        <v>3</v>
      </c>
      <c r="I1" s="165">
        <v>4</v>
      </c>
      <c r="J1" s="165">
        <v>5</v>
      </c>
      <c r="K1" s="165">
        <v>6</v>
      </c>
      <c r="L1" s="165">
        <v>7</v>
      </c>
      <c r="M1" s="122">
        <v>8</v>
      </c>
      <c r="N1" s="165">
        <v>9</v>
      </c>
      <c r="O1" s="165">
        <v>10</v>
      </c>
      <c r="P1" s="165">
        <v>11</v>
      </c>
      <c r="Q1" s="165">
        <v>12</v>
      </c>
      <c r="R1" s="165">
        <v>13</v>
      </c>
      <c r="S1" s="165">
        <v>14</v>
      </c>
      <c r="T1" s="165">
        <v>15</v>
      </c>
      <c r="U1" s="165">
        <v>16</v>
      </c>
      <c r="V1" s="165">
        <v>17</v>
      </c>
      <c r="W1" s="165">
        <v>18</v>
      </c>
      <c r="X1" s="165">
        <v>19</v>
      </c>
      <c r="Y1" s="165">
        <v>20</v>
      </c>
      <c r="Z1" s="165">
        <v>21</v>
      </c>
      <c r="AA1" s="165">
        <v>22</v>
      </c>
      <c r="AB1" s="165">
        <v>23</v>
      </c>
      <c r="AC1" s="165">
        <v>24</v>
      </c>
      <c r="AD1" s="165">
        <v>25</v>
      </c>
      <c r="AE1" s="165">
        <v>26</v>
      </c>
      <c r="AF1" s="165">
        <v>27</v>
      </c>
      <c r="AG1" s="165">
        <v>28</v>
      </c>
      <c r="AH1" s="166">
        <v>29</v>
      </c>
      <c r="AI1" s="167">
        <v>30</v>
      </c>
      <c r="AJ1" s="30"/>
      <c r="AK1" s="10"/>
    </row>
    <row r="2" spans="1:37" ht="0.75" customHeight="1">
      <c r="A2" s="5">
        <v>1</v>
      </c>
      <c r="B2" s="69" t="s">
        <v>134</v>
      </c>
      <c r="C2" s="220"/>
      <c r="D2" s="216"/>
      <c r="E2" s="216"/>
      <c r="F2" s="176" t="s">
        <v>108</v>
      </c>
      <c r="G2" s="168" t="s">
        <v>69</v>
      </c>
      <c r="H2" s="168" t="s">
        <v>69</v>
      </c>
      <c r="I2" s="168" t="s">
        <v>69</v>
      </c>
      <c r="J2" s="132" t="s">
        <v>94</v>
      </c>
      <c r="K2" s="168" t="s">
        <v>69</v>
      </c>
      <c r="L2" s="168" t="s">
        <v>69</v>
      </c>
      <c r="M2" s="174" t="s">
        <v>108</v>
      </c>
      <c r="N2" s="130" t="s">
        <v>92</v>
      </c>
      <c r="O2" s="121" t="s">
        <v>72</v>
      </c>
      <c r="P2" s="121" t="s">
        <v>72</v>
      </c>
      <c r="Q2" s="121" t="s">
        <v>72</v>
      </c>
      <c r="R2" s="121" t="s">
        <v>76</v>
      </c>
      <c r="S2" s="121" t="s">
        <v>76</v>
      </c>
      <c r="T2" s="175" t="s">
        <v>108</v>
      </c>
      <c r="U2" s="121" t="s">
        <v>76</v>
      </c>
      <c r="V2" s="121" t="s">
        <v>76</v>
      </c>
      <c r="W2" s="131" t="s">
        <v>76</v>
      </c>
      <c r="X2" s="131" t="s">
        <v>76</v>
      </c>
      <c r="Y2" s="131" t="s">
        <v>76</v>
      </c>
      <c r="Z2" s="131" t="s">
        <v>76</v>
      </c>
      <c r="AA2" s="174" t="s">
        <v>108</v>
      </c>
      <c r="AB2" s="168"/>
      <c r="AC2" s="168"/>
      <c r="AD2" s="168"/>
      <c r="AE2" s="134"/>
      <c r="AF2" s="168"/>
      <c r="AG2" s="168"/>
      <c r="AH2" s="177" t="s">
        <v>108</v>
      </c>
      <c r="AI2" s="168"/>
      <c r="AJ2" s="164"/>
      <c r="AK2" s="10"/>
    </row>
    <row r="3" spans="1:37" ht="18">
      <c r="A3" s="5">
        <v>2</v>
      </c>
      <c r="B3" s="183" t="s">
        <v>6</v>
      </c>
      <c r="C3" s="168">
        <v>2</v>
      </c>
      <c r="D3" s="168">
        <v>0</v>
      </c>
      <c r="E3" s="168">
        <f>C3-D3</f>
        <v>2</v>
      </c>
      <c r="F3" s="174" t="s">
        <v>108</v>
      </c>
      <c r="G3" s="171" t="s">
        <v>69</v>
      </c>
      <c r="H3" s="168" t="s">
        <v>69</v>
      </c>
      <c r="I3" s="168" t="s">
        <v>69</v>
      </c>
      <c r="J3" s="168" t="s">
        <v>69</v>
      </c>
      <c r="K3" s="121" t="s">
        <v>72</v>
      </c>
      <c r="L3" s="168" t="s">
        <v>69</v>
      </c>
      <c r="M3" s="175" t="s">
        <v>108</v>
      </c>
      <c r="N3" s="168" t="s">
        <v>69</v>
      </c>
      <c r="O3" s="168" t="s">
        <v>69</v>
      </c>
      <c r="P3" s="168" t="s">
        <v>69</v>
      </c>
      <c r="Q3" s="168" t="s">
        <v>69</v>
      </c>
      <c r="R3" s="168" t="s">
        <v>69</v>
      </c>
      <c r="S3" s="168" t="s">
        <v>69</v>
      </c>
      <c r="T3" s="175" t="s">
        <v>108</v>
      </c>
      <c r="U3" s="168" t="s">
        <v>69</v>
      </c>
      <c r="V3" s="168" t="s">
        <v>69</v>
      </c>
      <c r="W3" s="168" t="s">
        <v>69</v>
      </c>
      <c r="X3" s="168" t="s">
        <v>69</v>
      </c>
      <c r="Y3" s="168" t="s">
        <v>69</v>
      </c>
      <c r="Z3" s="121" t="s">
        <v>72</v>
      </c>
      <c r="AA3" s="175" t="s">
        <v>108</v>
      </c>
      <c r="AB3" s="168" t="s">
        <v>69</v>
      </c>
      <c r="AC3" s="168" t="s">
        <v>69</v>
      </c>
      <c r="AD3" s="168" t="s">
        <v>69</v>
      </c>
      <c r="AE3" s="168" t="s">
        <v>69</v>
      </c>
      <c r="AF3" s="168" t="s">
        <v>69</v>
      </c>
      <c r="AG3" s="168" t="s">
        <v>69</v>
      </c>
      <c r="AH3" s="177" t="s">
        <v>108</v>
      </c>
      <c r="AI3" s="168" t="s">
        <v>69</v>
      </c>
      <c r="AJ3" s="119"/>
    </row>
    <row r="4" spans="1:37" ht="18">
      <c r="A4" s="5">
        <v>3</v>
      </c>
      <c r="B4" s="183" t="s">
        <v>7</v>
      </c>
      <c r="C4" s="168">
        <v>0</v>
      </c>
      <c r="D4" s="168">
        <v>0</v>
      </c>
      <c r="E4" s="168">
        <f>C4-D4</f>
        <v>0</v>
      </c>
      <c r="F4" s="194" t="s">
        <v>108</v>
      </c>
      <c r="G4" s="171" t="s">
        <v>69</v>
      </c>
      <c r="H4" s="168" t="s">
        <v>69</v>
      </c>
      <c r="I4" s="168" t="s">
        <v>69</v>
      </c>
      <c r="J4" s="168" t="s">
        <v>69</v>
      </c>
      <c r="K4" s="168" t="s">
        <v>69</v>
      </c>
      <c r="L4" s="168" t="s">
        <v>69</v>
      </c>
      <c r="M4" s="174" t="s">
        <v>108</v>
      </c>
      <c r="N4" s="168" t="s">
        <v>69</v>
      </c>
      <c r="O4" s="168" t="s">
        <v>69</v>
      </c>
      <c r="P4" s="168" t="s">
        <v>69</v>
      </c>
      <c r="Q4" s="168" t="s">
        <v>69</v>
      </c>
      <c r="R4" s="168" t="s">
        <v>69</v>
      </c>
      <c r="S4" s="168" t="s">
        <v>69</v>
      </c>
      <c r="T4" s="175" t="s">
        <v>108</v>
      </c>
      <c r="U4" s="168" t="s">
        <v>69</v>
      </c>
      <c r="V4" s="168" t="s">
        <v>69</v>
      </c>
      <c r="W4" s="168" t="s">
        <v>69</v>
      </c>
      <c r="X4" s="168" t="s">
        <v>69</v>
      </c>
      <c r="Y4" s="168" t="s">
        <v>69</v>
      </c>
      <c r="Z4" s="130" t="s">
        <v>92</v>
      </c>
      <c r="AA4" s="174" t="s">
        <v>108</v>
      </c>
      <c r="AB4" s="168" t="s">
        <v>69</v>
      </c>
      <c r="AC4" s="168" t="s">
        <v>69</v>
      </c>
      <c r="AD4" s="168" t="s">
        <v>69</v>
      </c>
      <c r="AE4" s="168" t="s">
        <v>69</v>
      </c>
      <c r="AF4" s="168" t="s">
        <v>69</v>
      </c>
      <c r="AG4" s="168" t="s">
        <v>69</v>
      </c>
      <c r="AH4" s="177" t="s">
        <v>108</v>
      </c>
      <c r="AI4" s="168" t="s">
        <v>69</v>
      </c>
      <c r="AJ4" s="119"/>
    </row>
    <row r="5" spans="1:37" ht="18">
      <c r="A5" s="5">
        <v>4</v>
      </c>
      <c r="B5" s="183" t="s">
        <v>8</v>
      </c>
      <c r="C5" s="168">
        <v>4</v>
      </c>
      <c r="D5" s="168">
        <v>0</v>
      </c>
      <c r="E5" s="168">
        <f>C5-D5</f>
        <v>4</v>
      </c>
      <c r="F5" s="174" t="s">
        <v>108</v>
      </c>
      <c r="G5" s="171" t="s">
        <v>69</v>
      </c>
      <c r="H5" s="168" t="s">
        <v>69</v>
      </c>
      <c r="I5" s="168" t="s">
        <v>69</v>
      </c>
      <c r="J5" s="168" t="s">
        <v>69</v>
      </c>
      <c r="K5" s="168" t="s">
        <v>69</v>
      </c>
      <c r="L5" s="168" t="s">
        <v>69</v>
      </c>
      <c r="M5" s="175" t="s">
        <v>108</v>
      </c>
      <c r="N5" s="168" t="s">
        <v>69</v>
      </c>
      <c r="O5" s="168" t="s">
        <v>69</v>
      </c>
      <c r="P5" s="168" t="s">
        <v>69</v>
      </c>
      <c r="Q5" s="168" t="s">
        <v>69</v>
      </c>
      <c r="R5" s="168" t="s">
        <v>69</v>
      </c>
      <c r="S5" s="168" t="s">
        <v>69</v>
      </c>
      <c r="T5" s="175" t="s">
        <v>108</v>
      </c>
      <c r="U5" s="168" t="s">
        <v>69</v>
      </c>
      <c r="V5" s="168" t="s">
        <v>69</v>
      </c>
      <c r="W5" s="168" t="s">
        <v>69</v>
      </c>
      <c r="X5" s="168" t="s">
        <v>69</v>
      </c>
      <c r="Y5" s="168" t="s">
        <v>69</v>
      </c>
      <c r="Z5" s="168" t="s">
        <v>69</v>
      </c>
      <c r="AA5" s="175" t="s">
        <v>108</v>
      </c>
      <c r="AB5" s="121" t="s">
        <v>72</v>
      </c>
      <c r="AC5" s="121" t="s">
        <v>72</v>
      </c>
      <c r="AD5" s="121" t="s">
        <v>72</v>
      </c>
      <c r="AE5" s="121" t="s">
        <v>72</v>
      </c>
      <c r="AF5" s="134" t="s">
        <v>69</v>
      </c>
      <c r="AG5" s="134" t="s">
        <v>69</v>
      </c>
      <c r="AH5" s="177" t="s">
        <v>108</v>
      </c>
      <c r="AI5" s="168" t="s">
        <v>69</v>
      </c>
      <c r="AJ5" s="119"/>
    </row>
    <row r="6" spans="1:37" ht="18">
      <c r="A6" s="5">
        <v>5</v>
      </c>
      <c r="B6" s="224" t="s">
        <v>135</v>
      </c>
      <c r="C6" s="168">
        <v>21</v>
      </c>
      <c r="D6" s="168"/>
      <c r="E6" s="168"/>
      <c r="F6" s="194" t="s">
        <v>108</v>
      </c>
      <c r="G6" s="217" t="s">
        <v>92</v>
      </c>
      <c r="H6" s="168" t="s">
        <v>69</v>
      </c>
      <c r="I6" s="168" t="s">
        <v>69</v>
      </c>
      <c r="J6" s="168" t="s">
        <v>69</v>
      </c>
      <c r="K6" s="168" t="s">
        <v>69</v>
      </c>
      <c r="L6" s="180" t="s">
        <v>69</v>
      </c>
      <c r="M6" s="174" t="s">
        <v>108</v>
      </c>
      <c r="N6" s="168" t="s">
        <v>69</v>
      </c>
      <c r="O6" s="131" t="s">
        <v>72</v>
      </c>
      <c r="P6" s="131" t="s">
        <v>72</v>
      </c>
      <c r="Q6" s="121" t="s">
        <v>76</v>
      </c>
      <c r="R6" s="121" t="s">
        <v>76</v>
      </c>
      <c r="S6" s="121" t="s">
        <v>76</v>
      </c>
      <c r="T6" s="175" t="s">
        <v>108</v>
      </c>
      <c r="U6" s="121" t="s">
        <v>76</v>
      </c>
      <c r="V6" s="121" t="s">
        <v>76</v>
      </c>
      <c r="W6" s="121" t="s">
        <v>76</v>
      </c>
      <c r="X6" s="121" t="s">
        <v>76</v>
      </c>
      <c r="Y6" s="121" t="s">
        <v>76</v>
      </c>
      <c r="Z6" s="121" t="s">
        <v>76</v>
      </c>
      <c r="AA6" s="174" t="s">
        <v>108</v>
      </c>
      <c r="AB6" s="131" t="s">
        <v>76</v>
      </c>
      <c r="AC6" s="131" t="s">
        <v>76</v>
      </c>
      <c r="AD6" s="131" t="s">
        <v>76</v>
      </c>
      <c r="AE6" s="131" t="s">
        <v>76</v>
      </c>
      <c r="AF6" s="131" t="s">
        <v>76</v>
      </c>
      <c r="AG6" s="131" t="s">
        <v>76</v>
      </c>
      <c r="AH6" s="177" t="s">
        <v>108</v>
      </c>
      <c r="AI6" s="121" t="s">
        <v>76</v>
      </c>
      <c r="AJ6" s="161"/>
    </row>
    <row r="7" spans="1:37" ht="18">
      <c r="A7" s="5">
        <v>6</v>
      </c>
      <c r="B7" s="183" t="s">
        <v>11</v>
      </c>
      <c r="C7" s="168">
        <v>3.5</v>
      </c>
      <c r="D7" s="168">
        <v>0</v>
      </c>
      <c r="E7" s="168">
        <f t="shared" ref="E7:E13" si="0">C7-D7</f>
        <v>3.5</v>
      </c>
      <c r="F7" s="174" t="s">
        <v>108</v>
      </c>
      <c r="G7" s="171" t="s">
        <v>69</v>
      </c>
      <c r="H7" s="168" t="s">
        <v>69</v>
      </c>
      <c r="I7" s="168" t="s">
        <v>69</v>
      </c>
      <c r="J7" s="168" t="s">
        <v>69</v>
      </c>
      <c r="K7" s="168" t="s">
        <v>69</v>
      </c>
      <c r="L7" s="168" t="s">
        <v>69</v>
      </c>
      <c r="M7" s="175" t="s">
        <v>108</v>
      </c>
      <c r="N7" s="168" t="s">
        <v>69</v>
      </c>
      <c r="O7" s="168" t="s">
        <v>69</v>
      </c>
      <c r="P7" s="168" t="s">
        <v>69</v>
      </c>
      <c r="Q7" s="121" t="s">
        <v>72</v>
      </c>
      <c r="R7" s="121" t="s">
        <v>72</v>
      </c>
      <c r="S7" s="121" t="s">
        <v>72</v>
      </c>
      <c r="T7" s="175" t="s">
        <v>108</v>
      </c>
      <c r="U7" s="168" t="s">
        <v>69</v>
      </c>
      <c r="V7" s="168" t="s">
        <v>69</v>
      </c>
      <c r="W7" s="168" t="s">
        <v>69</v>
      </c>
      <c r="X7" s="168" t="s">
        <v>69</v>
      </c>
      <c r="Y7" s="168" t="s">
        <v>69</v>
      </c>
      <c r="Z7" s="168" t="s">
        <v>69</v>
      </c>
      <c r="AA7" s="175" t="s">
        <v>108</v>
      </c>
      <c r="AB7" s="130" t="s">
        <v>92</v>
      </c>
      <c r="AC7" s="130" t="s">
        <v>92</v>
      </c>
      <c r="AD7" s="168" t="s">
        <v>69</v>
      </c>
      <c r="AE7" s="170" t="s">
        <v>69</v>
      </c>
      <c r="AF7" s="134" t="s">
        <v>69</v>
      </c>
      <c r="AG7" s="132" t="s">
        <v>94</v>
      </c>
      <c r="AH7" s="177" t="s">
        <v>108</v>
      </c>
      <c r="AI7" s="168" t="s">
        <v>69</v>
      </c>
      <c r="AJ7" s="119"/>
    </row>
    <row r="8" spans="1:37" ht="18">
      <c r="A8" s="5">
        <v>7</v>
      </c>
      <c r="B8" s="183" t="s">
        <v>136</v>
      </c>
      <c r="C8" s="168">
        <v>8</v>
      </c>
      <c r="D8" s="168">
        <v>8</v>
      </c>
      <c r="E8" s="168">
        <f t="shared" si="0"/>
        <v>0</v>
      </c>
      <c r="F8" s="174" t="s">
        <v>108</v>
      </c>
      <c r="G8" s="218" t="s">
        <v>72</v>
      </c>
      <c r="H8" s="131" t="s">
        <v>72</v>
      </c>
      <c r="I8" s="131" t="s">
        <v>72</v>
      </c>
      <c r="J8" s="131" t="s">
        <v>72</v>
      </c>
      <c r="K8" s="131" t="s">
        <v>72</v>
      </c>
      <c r="L8" s="131" t="s">
        <v>72</v>
      </c>
      <c r="M8" s="174" t="s">
        <v>108</v>
      </c>
      <c r="N8" s="168" t="s">
        <v>69</v>
      </c>
      <c r="O8" s="168" t="s">
        <v>69</v>
      </c>
      <c r="P8" s="168" t="s">
        <v>69</v>
      </c>
      <c r="Q8" s="168" t="s">
        <v>69</v>
      </c>
      <c r="R8" s="168" t="s">
        <v>69</v>
      </c>
      <c r="S8" s="168" t="s">
        <v>69</v>
      </c>
      <c r="T8" s="175" t="s">
        <v>108</v>
      </c>
      <c r="U8" s="168" t="s">
        <v>69</v>
      </c>
      <c r="V8" s="168" t="s">
        <v>69</v>
      </c>
      <c r="W8" s="168" t="s">
        <v>69</v>
      </c>
      <c r="X8" s="168" t="s">
        <v>69</v>
      </c>
      <c r="Y8" s="168" t="s">
        <v>69</v>
      </c>
      <c r="Z8" s="168" t="s">
        <v>69</v>
      </c>
      <c r="AA8" s="174" t="s">
        <v>108</v>
      </c>
      <c r="AB8" s="168" t="s">
        <v>69</v>
      </c>
      <c r="AC8" s="168" t="s">
        <v>69</v>
      </c>
      <c r="AD8" s="168" t="s">
        <v>69</v>
      </c>
      <c r="AE8" s="168" t="s">
        <v>69</v>
      </c>
      <c r="AF8" s="168" t="s">
        <v>69</v>
      </c>
      <c r="AG8" s="130" t="s">
        <v>92</v>
      </c>
      <c r="AH8" s="177" t="s">
        <v>108</v>
      </c>
      <c r="AI8" s="168" t="s">
        <v>69</v>
      </c>
      <c r="AJ8" s="119"/>
    </row>
    <row r="9" spans="1:37" ht="18">
      <c r="A9" s="5">
        <v>8</v>
      </c>
      <c r="B9" s="183" t="s">
        <v>137</v>
      </c>
      <c r="C9" s="168">
        <v>15.5</v>
      </c>
      <c r="D9" s="168">
        <v>15.5</v>
      </c>
      <c r="E9" s="168">
        <f t="shared" si="0"/>
        <v>0</v>
      </c>
      <c r="F9" s="174" t="s">
        <v>108</v>
      </c>
      <c r="G9" s="218" t="s">
        <v>72</v>
      </c>
      <c r="H9" s="131" t="s">
        <v>72</v>
      </c>
      <c r="I9" s="131" t="s">
        <v>72</v>
      </c>
      <c r="J9" s="131" t="s">
        <v>72</v>
      </c>
      <c r="K9" s="131" t="s">
        <v>72</v>
      </c>
      <c r="L9" s="131" t="s">
        <v>72</v>
      </c>
      <c r="M9" s="175" t="s">
        <v>108</v>
      </c>
      <c r="N9" s="131" t="s">
        <v>72</v>
      </c>
      <c r="O9" s="131" t="s">
        <v>72</v>
      </c>
      <c r="P9" s="131" t="s">
        <v>72</v>
      </c>
      <c r="Q9" s="131" t="s">
        <v>72</v>
      </c>
      <c r="R9" s="131" t="s">
        <v>72</v>
      </c>
      <c r="S9" s="131" t="s">
        <v>72</v>
      </c>
      <c r="T9" s="175" t="s">
        <v>108</v>
      </c>
      <c r="U9" s="168" t="s">
        <v>69</v>
      </c>
      <c r="V9" s="168" t="s">
        <v>69</v>
      </c>
      <c r="W9" s="168" t="s">
        <v>69</v>
      </c>
      <c r="X9" s="168" t="s">
        <v>69</v>
      </c>
      <c r="Y9" s="168" t="s">
        <v>69</v>
      </c>
      <c r="Z9" s="168" t="s">
        <v>69</v>
      </c>
      <c r="AA9" s="175" t="s">
        <v>108</v>
      </c>
      <c r="AB9" s="168" t="s">
        <v>69</v>
      </c>
      <c r="AC9" s="168" t="s">
        <v>69</v>
      </c>
      <c r="AD9" s="168" t="s">
        <v>69</v>
      </c>
      <c r="AE9" s="168" t="s">
        <v>69</v>
      </c>
      <c r="AF9" s="168" t="s">
        <v>69</v>
      </c>
      <c r="AG9" s="132" t="s">
        <v>94</v>
      </c>
      <c r="AH9" s="177" t="s">
        <v>108</v>
      </c>
      <c r="AI9" s="168" t="s">
        <v>69</v>
      </c>
      <c r="AJ9" s="119"/>
    </row>
    <row r="10" spans="1:37" ht="18">
      <c r="A10" s="5">
        <v>8</v>
      </c>
      <c r="B10" s="183" t="s">
        <v>95</v>
      </c>
      <c r="C10" s="168">
        <v>0</v>
      </c>
      <c r="D10" s="168">
        <v>0</v>
      </c>
      <c r="E10" s="168">
        <f t="shared" si="0"/>
        <v>0</v>
      </c>
      <c r="F10" s="174" t="s">
        <v>108</v>
      </c>
      <c r="G10" s="171" t="s">
        <v>69</v>
      </c>
      <c r="H10" s="168" t="s">
        <v>69</v>
      </c>
      <c r="I10" s="168" t="s">
        <v>69</v>
      </c>
      <c r="J10" s="168" t="s">
        <v>69</v>
      </c>
      <c r="K10" s="168" t="s">
        <v>69</v>
      </c>
      <c r="L10" s="168" t="s">
        <v>69</v>
      </c>
      <c r="M10" s="175" t="s">
        <v>108</v>
      </c>
      <c r="N10" s="168" t="s">
        <v>69</v>
      </c>
      <c r="O10" s="168" t="s">
        <v>69</v>
      </c>
      <c r="P10" s="168" t="s">
        <v>69</v>
      </c>
      <c r="Q10" s="168" t="s">
        <v>69</v>
      </c>
      <c r="R10" s="168" t="s">
        <v>69</v>
      </c>
      <c r="S10" s="168" t="s">
        <v>69</v>
      </c>
      <c r="T10" s="175" t="s">
        <v>108</v>
      </c>
      <c r="U10" s="168" t="s">
        <v>69</v>
      </c>
      <c r="V10" s="168" t="s">
        <v>69</v>
      </c>
      <c r="W10" s="168" t="s">
        <v>69</v>
      </c>
      <c r="X10" s="168" t="s">
        <v>69</v>
      </c>
      <c r="Y10" s="168" t="s">
        <v>69</v>
      </c>
      <c r="Z10" s="168" t="s">
        <v>69</v>
      </c>
      <c r="AA10" s="175" t="s">
        <v>108</v>
      </c>
      <c r="AB10" s="168" t="s">
        <v>69</v>
      </c>
      <c r="AC10" s="168" t="s">
        <v>69</v>
      </c>
      <c r="AD10" s="168" t="s">
        <v>69</v>
      </c>
      <c r="AE10" s="168" t="s">
        <v>69</v>
      </c>
      <c r="AF10" s="168" t="s">
        <v>69</v>
      </c>
      <c r="AG10" s="168" t="s">
        <v>69</v>
      </c>
      <c r="AH10" s="177" t="s">
        <v>108</v>
      </c>
      <c r="AI10" s="168" t="s">
        <v>69</v>
      </c>
      <c r="AJ10" s="119"/>
    </row>
    <row r="11" spans="1:37" ht="18">
      <c r="A11" s="5">
        <v>9</v>
      </c>
      <c r="B11" s="183" t="s">
        <v>13</v>
      </c>
      <c r="C11" s="168">
        <v>1</v>
      </c>
      <c r="D11" s="168">
        <v>0</v>
      </c>
      <c r="E11" s="168">
        <f t="shared" si="0"/>
        <v>1</v>
      </c>
      <c r="F11" s="194" t="s">
        <v>108</v>
      </c>
      <c r="G11" s="171" t="s">
        <v>69</v>
      </c>
      <c r="H11" s="168" t="s">
        <v>69</v>
      </c>
      <c r="I11" s="121" t="s">
        <v>72</v>
      </c>
      <c r="J11" s="168" t="s">
        <v>69</v>
      </c>
      <c r="K11" s="168" t="s">
        <v>69</v>
      </c>
      <c r="L11" s="168" t="s">
        <v>69</v>
      </c>
      <c r="M11" s="174" t="s">
        <v>108</v>
      </c>
      <c r="N11" s="168" t="s">
        <v>69</v>
      </c>
      <c r="O11" s="168" t="s">
        <v>69</v>
      </c>
      <c r="P11" s="168" t="s">
        <v>69</v>
      </c>
      <c r="Q11" s="168" t="s">
        <v>69</v>
      </c>
      <c r="R11" s="168" t="s">
        <v>69</v>
      </c>
      <c r="S11" s="168" t="s">
        <v>69</v>
      </c>
      <c r="T11" s="175" t="s">
        <v>108</v>
      </c>
      <c r="U11" s="168" t="s">
        <v>69</v>
      </c>
      <c r="V11" s="168" t="s">
        <v>69</v>
      </c>
      <c r="W11" s="168" t="s">
        <v>69</v>
      </c>
      <c r="X11" s="168" t="s">
        <v>69</v>
      </c>
      <c r="Y11" s="168" t="s">
        <v>69</v>
      </c>
      <c r="Z11" s="168" t="s">
        <v>69</v>
      </c>
      <c r="AA11" s="174" t="s">
        <v>108</v>
      </c>
      <c r="AB11" s="168" t="s">
        <v>69</v>
      </c>
      <c r="AC11" s="168" t="s">
        <v>69</v>
      </c>
      <c r="AD11" s="168" t="s">
        <v>69</v>
      </c>
      <c r="AE11" s="168" t="s">
        <v>69</v>
      </c>
      <c r="AF11" s="168" t="s">
        <v>69</v>
      </c>
      <c r="AG11" s="168" t="s">
        <v>69</v>
      </c>
      <c r="AH11" s="177" t="s">
        <v>108</v>
      </c>
      <c r="AI11" s="168" t="s">
        <v>69</v>
      </c>
      <c r="AJ11" s="119"/>
    </row>
    <row r="12" spans="1:37" ht="18">
      <c r="A12" s="5">
        <v>10</v>
      </c>
      <c r="B12" s="183" t="s">
        <v>14</v>
      </c>
      <c r="C12" s="168">
        <v>1</v>
      </c>
      <c r="D12" s="168">
        <v>0</v>
      </c>
      <c r="E12" s="168">
        <f t="shared" si="0"/>
        <v>1</v>
      </c>
      <c r="F12" s="174" t="s">
        <v>108</v>
      </c>
      <c r="G12" s="171" t="s">
        <v>69</v>
      </c>
      <c r="H12" s="168" t="s">
        <v>69</v>
      </c>
      <c r="I12" s="168" t="s">
        <v>69</v>
      </c>
      <c r="J12" s="168" t="s">
        <v>69</v>
      </c>
      <c r="K12" s="168" t="s">
        <v>69</v>
      </c>
      <c r="L12" s="168" t="s">
        <v>69</v>
      </c>
      <c r="M12" s="175" t="s">
        <v>108</v>
      </c>
      <c r="N12" s="168" t="s">
        <v>69</v>
      </c>
      <c r="O12" s="168" t="s">
        <v>69</v>
      </c>
      <c r="P12" s="168" t="s">
        <v>69</v>
      </c>
      <c r="Q12" s="168" t="s">
        <v>69</v>
      </c>
      <c r="R12" s="168" t="s">
        <v>69</v>
      </c>
      <c r="S12" s="168" t="s">
        <v>69</v>
      </c>
      <c r="T12" s="175" t="s">
        <v>108</v>
      </c>
      <c r="U12" s="168" t="s">
        <v>69</v>
      </c>
      <c r="V12" s="168" t="s">
        <v>69</v>
      </c>
      <c r="W12" s="168" t="s">
        <v>69</v>
      </c>
      <c r="X12" s="121" t="s">
        <v>72</v>
      </c>
      <c r="Y12" s="168" t="s">
        <v>69</v>
      </c>
      <c r="Z12" s="168" t="s">
        <v>69</v>
      </c>
      <c r="AA12" s="175" t="s">
        <v>108</v>
      </c>
      <c r="AB12" s="168" t="s">
        <v>69</v>
      </c>
      <c r="AC12" s="168" t="s">
        <v>69</v>
      </c>
      <c r="AD12" s="130" t="s">
        <v>92</v>
      </c>
      <c r="AE12" s="168" t="s">
        <v>69</v>
      </c>
      <c r="AF12" s="168" t="s">
        <v>69</v>
      </c>
      <c r="AG12" s="168" t="s">
        <v>69</v>
      </c>
      <c r="AH12" s="177" t="s">
        <v>108</v>
      </c>
      <c r="AI12" s="130" t="s">
        <v>92</v>
      </c>
      <c r="AJ12" s="119"/>
    </row>
    <row r="13" spans="1:37" ht="18">
      <c r="A13" s="5">
        <v>11</v>
      </c>
      <c r="B13" s="183" t="s">
        <v>138</v>
      </c>
      <c r="C13" s="168">
        <v>28</v>
      </c>
      <c r="D13" s="168">
        <v>28</v>
      </c>
      <c r="E13" s="168">
        <f t="shared" si="0"/>
        <v>0</v>
      </c>
      <c r="F13" s="194" t="s">
        <v>108</v>
      </c>
      <c r="G13" s="144" t="s">
        <v>72</v>
      </c>
      <c r="H13" s="121" t="s">
        <v>72</v>
      </c>
      <c r="I13" s="121" t="s">
        <v>72</v>
      </c>
      <c r="J13" s="121" t="s">
        <v>72</v>
      </c>
      <c r="K13" s="121" t="s">
        <v>72</v>
      </c>
      <c r="L13" s="121" t="s">
        <v>72</v>
      </c>
      <c r="M13" s="174" t="s">
        <v>108</v>
      </c>
      <c r="N13" s="121" t="s">
        <v>72</v>
      </c>
      <c r="O13" s="121" t="s">
        <v>72</v>
      </c>
      <c r="P13" s="121" t="s">
        <v>72</v>
      </c>
      <c r="Q13" s="121" t="s">
        <v>72</v>
      </c>
      <c r="R13" s="121" t="s">
        <v>72</v>
      </c>
      <c r="S13" s="121" t="s">
        <v>72</v>
      </c>
      <c r="T13" s="175" t="s">
        <v>108</v>
      </c>
      <c r="U13" s="121" t="s">
        <v>72</v>
      </c>
      <c r="V13" s="121" t="s">
        <v>72</v>
      </c>
      <c r="W13" s="121" t="s">
        <v>72</v>
      </c>
      <c r="X13" s="121" t="s">
        <v>72</v>
      </c>
      <c r="Y13" s="121" t="s">
        <v>72</v>
      </c>
      <c r="Z13" s="121" t="s">
        <v>72</v>
      </c>
      <c r="AA13" s="174" t="s">
        <v>108</v>
      </c>
      <c r="AB13" s="121" t="s">
        <v>72</v>
      </c>
      <c r="AC13" s="121" t="s">
        <v>72</v>
      </c>
      <c r="AD13" s="168" t="s">
        <v>69</v>
      </c>
      <c r="AE13" s="190" t="s">
        <v>94</v>
      </c>
      <c r="AF13" s="190" t="s">
        <v>94</v>
      </c>
      <c r="AG13" s="121" t="s">
        <v>72</v>
      </c>
      <c r="AH13" s="177" t="s">
        <v>108</v>
      </c>
      <c r="AI13" s="121" t="s">
        <v>72</v>
      </c>
      <c r="AJ13" s="119"/>
    </row>
    <row r="14" spans="1:37" ht="18">
      <c r="A14" s="5">
        <v>12</v>
      </c>
      <c r="B14" s="225" t="s">
        <v>139</v>
      </c>
      <c r="C14" s="168">
        <v>25</v>
      </c>
      <c r="D14" s="168"/>
      <c r="E14" s="168"/>
      <c r="F14" s="194" t="s">
        <v>108</v>
      </c>
      <c r="G14" s="171" t="s">
        <v>69</v>
      </c>
      <c r="H14" s="168" t="s">
        <v>69</v>
      </c>
      <c r="I14" s="168" t="s">
        <v>69</v>
      </c>
      <c r="J14" s="168" t="s">
        <v>69</v>
      </c>
      <c r="K14" s="121" t="s">
        <v>72</v>
      </c>
      <c r="L14" s="121" t="s">
        <v>72</v>
      </c>
      <c r="M14" s="174" t="s">
        <v>108</v>
      </c>
      <c r="N14" s="168" t="s">
        <v>69</v>
      </c>
      <c r="O14" s="121" t="s">
        <v>76</v>
      </c>
      <c r="P14" s="121" t="s">
        <v>76</v>
      </c>
      <c r="Q14" s="121" t="s">
        <v>76</v>
      </c>
      <c r="R14" s="121" t="s">
        <v>76</v>
      </c>
      <c r="S14" s="121" t="s">
        <v>76</v>
      </c>
      <c r="T14" s="175" t="s">
        <v>108</v>
      </c>
      <c r="U14" s="121" t="s">
        <v>76</v>
      </c>
      <c r="V14" s="121" t="s">
        <v>76</v>
      </c>
      <c r="W14" s="121" t="s">
        <v>76</v>
      </c>
      <c r="X14" s="121" t="s">
        <v>76</v>
      </c>
      <c r="Y14" s="121" t="s">
        <v>76</v>
      </c>
      <c r="Z14" s="121" t="s">
        <v>76</v>
      </c>
      <c r="AA14" s="174" t="s">
        <v>108</v>
      </c>
      <c r="AB14" s="121" t="s">
        <v>76</v>
      </c>
      <c r="AC14" s="131" t="s">
        <v>76</v>
      </c>
      <c r="AD14" s="131" t="s">
        <v>76</v>
      </c>
      <c r="AE14" s="131" t="s">
        <v>76</v>
      </c>
      <c r="AF14" s="131" t="s">
        <v>76</v>
      </c>
      <c r="AG14" s="131" t="s">
        <v>76</v>
      </c>
      <c r="AH14" s="177" t="s">
        <v>108</v>
      </c>
      <c r="AI14" s="131" t="s">
        <v>76</v>
      </c>
      <c r="AJ14" s="119"/>
    </row>
    <row r="15" spans="1:37" ht="18">
      <c r="A15" s="5">
        <v>13</v>
      </c>
      <c r="B15" s="183" t="s">
        <v>16</v>
      </c>
      <c r="C15" s="168">
        <v>2</v>
      </c>
      <c r="D15" s="168">
        <v>0</v>
      </c>
      <c r="E15" s="168">
        <f t="shared" ref="E15:E46" si="1">C15-D15</f>
        <v>2</v>
      </c>
      <c r="F15" s="174" t="s">
        <v>108</v>
      </c>
      <c r="G15" s="171" t="s">
        <v>69</v>
      </c>
      <c r="H15" s="168" t="s">
        <v>69</v>
      </c>
      <c r="I15" s="168" t="s">
        <v>69</v>
      </c>
      <c r="J15" s="132" t="s">
        <v>94</v>
      </c>
      <c r="K15" s="168" t="s">
        <v>69</v>
      </c>
      <c r="L15" s="168" t="s">
        <v>69</v>
      </c>
      <c r="M15" s="175" t="s">
        <v>108</v>
      </c>
      <c r="N15" s="168" t="s">
        <v>69</v>
      </c>
      <c r="O15" s="168" t="s">
        <v>69</v>
      </c>
      <c r="P15" s="168" t="s">
        <v>69</v>
      </c>
      <c r="Q15" s="168" t="s">
        <v>69</v>
      </c>
      <c r="R15" s="168" t="s">
        <v>69</v>
      </c>
      <c r="S15" s="121" t="s">
        <v>72</v>
      </c>
      <c r="T15" s="175" t="s">
        <v>108</v>
      </c>
      <c r="U15" s="168" t="s">
        <v>69</v>
      </c>
      <c r="V15" s="168" t="s">
        <v>69</v>
      </c>
      <c r="W15" s="168" t="s">
        <v>69</v>
      </c>
      <c r="X15" s="132" t="s">
        <v>94</v>
      </c>
      <c r="Y15" s="168" t="s">
        <v>69</v>
      </c>
      <c r="Z15" s="168" t="s">
        <v>69</v>
      </c>
      <c r="AA15" s="175" t="s">
        <v>108</v>
      </c>
      <c r="AB15" s="134" t="s">
        <v>69</v>
      </c>
      <c r="AC15" s="134" t="s">
        <v>69</v>
      </c>
      <c r="AD15" s="134" t="s">
        <v>69</v>
      </c>
      <c r="AE15" s="134" t="s">
        <v>69</v>
      </c>
      <c r="AF15" s="134" t="s">
        <v>69</v>
      </c>
      <c r="AG15" s="121" t="s">
        <v>72</v>
      </c>
      <c r="AH15" s="177" t="s">
        <v>108</v>
      </c>
      <c r="AI15" s="168" t="s">
        <v>69</v>
      </c>
      <c r="AJ15" s="119"/>
    </row>
    <row r="16" spans="1:37" ht="18">
      <c r="A16" s="5">
        <v>14</v>
      </c>
      <c r="B16" s="183" t="s">
        <v>17</v>
      </c>
      <c r="C16" s="168">
        <v>2.5</v>
      </c>
      <c r="D16" s="168">
        <v>0</v>
      </c>
      <c r="E16" s="168">
        <f t="shared" si="1"/>
        <v>2.5</v>
      </c>
      <c r="F16" s="194" t="s">
        <v>108</v>
      </c>
      <c r="G16" s="171" t="s">
        <v>69</v>
      </c>
      <c r="H16" s="168" t="s">
        <v>69</v>
      </c>
      <c r="I16" s="168" t="s">
        <v>69</v>
      </c>
      <c r="J16" s="168" t="s">
        <v>69</v>
      </c>
      <c r="K16" s="168" t="s">
        <v>69</v>
      </c>
      <c r="L16" s="168" t="s">
        <v>69</v>
      </c>
      <c r="M16" s="174" t="s">
        <v>108</v>
      </c>
      <c r="N16" s="168" t="s">
        <v>69</v>
      </c>
      <c r="O16" s="168" t="s">
        <v>69</v>
      </c>
      <c r="P16" s="168" t="s">
        <v>69</v>
      </c>
      <c r="Q16" s="168" t="s">
        <v>69</v>
      </c>
      <c r="R16" s="168" t="s">
        <v>69</v>
      </c>
      <c r="S16" s="168" t="s">
        <v>69</v>
      </c>
      <c r="T16" s="175" t="s">
        <v>108</v>
      </c>
      <c r="U16" s="137" t="s">
        <v>78</v>
      </c>
      <c r="V16" s="168" t="s">
        <v>69</v>
      </c>
      <c r="W16" s="168" t="s">
        <v>69</v>
      </c>
      <c r="X16" s="168" t="s">
        <v>69</v>
      </c>
      <c r="Y16" s="168" t="s">
        <v>69</v>
      </c>
      <c r="Z16" s="168" t="s">
        <v>69</v>
      </c>
      <c r="AA16" s="174" t="s">
        <v>108</v>
      </c>
      <c r="AB16" s="168" t="s">
        <v>69</v>
      </c>
      <c r="AC16" s="168" t="s">
        <v>69</v>
      </c>
      <c r="AD16" s="130" t="s">
        <v>92</v>
      </c>
      <c r="AE16" s="132" t="s">
        <v>94</v>
      </c>
      <c r="AF16" s="121" t="s">
        <v>72</v>
      </c>
      <c r="AG16" s="121" t="s">
        <v>72</v>
      </c>
      <c r="AH16" s="177" t="s">
        <v>108</v>
      </c>
      <c r="AI16" s="168" t="s">
        <v>69</v>
      </c>
      <c r="AJ16" s="119"/>
    </row>
    <row r="17" spans="1:36" ht="18">
      <c r="A17" s="5">
        <v>15</v>
      </c>
      <c r="B17" s="184" t="s">
        <v>75</v>
      </c>
      <c r="C17" s="168">
        <v>0</v>
      </c>
      <c r="D17" s="168">
        <v>0</v>
      </c>
      <c r="E17" s="168">
        <f t="shared" si="1"/>
        <v>0</v>
      </c>
      <c r="F17" s="174" t="s">
        <v>108</v>
      </c>
      <c r="G17" s="171" t="s">
        <v>69</v>
      </c>
      <c r="H17" s="168" t="s">
        <v>69</v>
      </c>
      <c r="I17" s="168" t="s">
        <v>69</v>
      </c>
      <c r="J17" s="168" t="s">
        <v>69</v>
      </c>
      <c r="K17" s="168" t="s">
        <v>69</v>
      </c>
      <c r="L17" s="168" t="s">
        <v>69</v>
      </c>
      <c r="M17" s="175" t="s">
        <v>108</v>
      </c>
      <c r="N17" s="134" t="s">
        <v>69</v>
      </c>
      <c r="O17" s="134" t="s">
        <v>69</v>
      </c>
      <c r="P17" s="134" t="s">
        <v>69</v>
      </c>
      <c r="Q17" s="134" t="s">
        <v>69</v>
      </c>
      <c r="R17" s="134" t="s">
        <v>69</v>
      </c>
      <c r="S17" s="134" t="s">
        <v>69</v>
      </c>
      <c r="T17" s="175" t="s">
        <v>108</v>
      </c>
      <c r="U17" s="168" t="s">
        <v>69</v>
      </c>
      <c r="V17" s="168" t="s">
        <v>69</v>
      </c>
      <c r="W17" s="168" t="s">
        <v>69</v>
      </c>
      <c r="X17" s="168" t="s">
        <v>69</v>
      </c>
      <c r="Y17" s="168" t="s">
        <v>69</v>
      </c>
      <c r="Z17" s="168" t="s">
        <v>69</v>
      </c>
      <c r="AA17" s="175" t="s">
        <v>108</v>
      </c>
      <c r="AB17" s="168" t="s">
        <v>69</v>
      </c>
      <c r="AC17" s="168" t="s">
        <v>69</v>
      </c>
      <c r="AD17" s="168" t="s">
        <v>69</v>
      </c>
      <c r="AE17" s="168" t="s">
        <v>69</v>
      </c>
      <c r="AF17" s="168" t="s">
        <v>69</v>
      </c>
      <c r="AG17" s="168" t="s">
        <v>69</v>
      </c>
      <c r="AH17" s="177" t="s">
        <v>108</v>
      </c>
      <c r="AI17" s="168" t="s">
        <v>69</v>
      </c>
      <c r="AJ17" s="119"/>
    </row>
    <row r="18" spans="1:36" ht="18">
      <c r="A18" s="5">
        <v>16</v>
      </c>
      <c r="B18" s="183" t="s">
        <v>19</v>
      </c>
      <c r="C18" s="168">
        <v>2</v>
      </c>
      <c r="D18" s="168">
        <v>0.5</v>
      </c>
      <c r="E18" s="168">
        <f t="shared" si="1"/>
        <v>1.5</v>
      </c>
      <c r="F18" s="194" t="s">
        <v>108</v>
      </c>
      <c r="G18" s="171" t="s">
        <v>69</v>
      </c>
      <c r="H18" s="168" t="s">
        <v>69</v>
      </c>
      <c r="I18" s="168" t="s">
        <v>69</v>
      </c>
      <c r="J18" s="168" t="s">
        <v>69</v>
      </c>
      <c r="K18" s="168" t="s">
        <v>69</v>
      </c>
      <c r="L18" s="168" t="s">
        <v>69</v>
      </c>
      <c r="M18" s="174" t="s">
        <v>108</v>
      </c>
      <c r="N18" s="168" t="s">
        <v>69</v>
      </c>
      <c r="O18" s="121" t="s">
        <v>72</v>
      </c>
      <c r="P18" s="134" t="s">
        <v>69</v>
      </c>
      <c r="Q18" s="134" t="s">
        <v>69</v>
      </c>
      <c r="R18" s="134" t="s">
        <v>69</v>
      </c>
      <c r="S18" s="134" t="s">
        <v>69</v>
      </c>
      <c r="T18" s="175" t="s">
        <v>108</v>
      </c>
      <c r="U18" s="168" t="s">
        <v>69</v>
      </c>
      <c r="V18" s="168" t="s">
        <v>69</v>
      </c>
      <c r="W18" s="168" t="s">
        <v>69</v>
      </c>
      <c r="X18" s="168" t="s">
        <v>69</v>
      </c>
      <c r="Y18" s="168" t="s">
        <v>69</v>
      </c>
      <c r="Z18" s="168" t="s">
        <v>69</v>
      </c>
      <c r="AA18" s="174" t="s">
        <v>108</v>
      </c>
      <c r="AB18" s="168" t="s">
        <v>69</v>
      </c>
      <c r="AC18" s="168" t="s">
        <v>69</v>
      </c>
      <c r="AD18" s="168" t="s">
        <v>69</v>
      </c>
      <c r="AE18" s="168" t="s">
        <v>69</v>
      </c>
      <c r="AF18" s="168" t="s">
        <v>69</v>
      </c>
      <c r="AG18" s="168" t="s">
        <v>69</v>
      </c>
      <c r="AH18" s="177" t="s">
        <v>108</v>
      </c>
      <c r="AI18" s="121" t="s">
        <v>72</v>
      </c>
      <c r="AJ18" s="119"/>
    </row>
    <row r="19" spans="1:36" ht="18">
      <c r="A19" s="5">
        <v>17</v>
      </c>
      <c r="B19" s="183" t="s">
        <v>20</v>
      </c>
      <c r="C19" s="168">
        <v>3</v>
      </c>
      <c r="D19" s="168">
        <v>0</v>
      </c>
      <c r="E19" s="168">
        <f t="shared" si="1"/>
        <v>3</v>
      </c>
      <c r="F19" s="174" t="s">
        <v>108</v>
      </c>
      <c r="G19" s="171" t="s">
        <v>69</v>
      </c>
      <c r="H19" s="168" t="s">
        <v>69</v>
      </c>
      <c r="I19" s="168" t="s">
        <v>69</v>
      </c>
      <c r="J19" s="168" t="s">
        <v>69</v>
      </c>
      <c r="K19" s="130" t="s">
        <v>92</v>
      </c>
      <c r="L19" s="134" t="s">
        <v>69</v>
      </c>
      <c r="M19" s="175" t="s">
        <v>108</v>
      </c>
      <c r="N19" s="168" t="s">
        <v>69</v>
      </c>
      <c r="O19" s="168" t="s">
        <v>69</v>
      </c>
      <c r="P19" s="168" t="s">
        <v>69</v>
      </c>
      <c r="Q19" s="168" t="s">
        <v>69</v>
      </c>
      <c r="R19" s="168" t="s">
        <v>69</v>
      </c>
      <c r="S19" s="168" t="s">
        <v>69</v>
      </c>
      <c r="T19" s="175" t="s">
        <v>108</v>
      </c>
      <c r="U19" s="168" t="s">
        <v>69</v>
      </c>
      <c r="V19" s="121" t="s">
        <v>72</v>
      </c>
      <c r="W19" s="168" t="s">
        <v>69</v>
      </c>
      <c r="X19" s="121" t="s">
        <v>72</v>
      </c>
      <c r="Y19" s="132" t="s">
        <v>94</v>
      </c>
      <c r="Z19" s="132" t="s">
        <v>94</v>
      </c>
      <c r="AA19" s="175" t="s">
        <v>108</v>
      </c>
      <c r="AB19" s="168" t="s">
        <v>69</v>
      </c>
      <c r="AC19" s="168" t="s">
        <v>69</v>
      </c>
      <c r="AD19" s="168" t="s">
        <v>69</v>
      </c>
      <c r="AE19" s="168" t="s">
        <v>69</v>
      </c>
      <c r="AF19" s="168" t="s">
        <v>69</v>
      </c>
      <c r="AG19" s="168" t="s">
        <v>69</v>
      </c>
      <c r="AH19" s="177" t="s">
        <v>108</v>
      </c>
      <c r="AI19" s="168" t="s">
        <v>69</v>
      </c>
      <c r="AJ19" s="161"/>
    </row>
    <row r="20" spans="1:36" ht="18">
      <c r="A20" s="5">
        <v>18</v>
      </c>
      <c r="B20" s="183" t="s">
        <v>21</v>
      </c>
      <c r="C20" s="168">
        <v>1.5</v>
      </c>
      <c r="D20" s="168">
        <v>0</v>
      </c>
      <c r="E20" s="168">
        <f t="shared" si="1"/>
        <v>1.5</v>
      </c>
      <c r="F20" s="194" t="s">
        <v>108</v>
      </c>
      <c r="G20" s="171" t="s">
        <v>69</v>
      </c>
      <c r="H20" s="168" t="s">
        <v>69</v>
      </c>
      <c r="I20" s="168" t="s">
        <v>69</v>
      </c>
      <c r="J20" s="168" t="s">
        <v>69</v>
      </c>
      <c r="K20" s="168" t="s">
        <v>69</v>
      </c>
      <c r="L20" s="168" t="s">
        <v>69</v>
      </c>
      <c r="M20" s="174" t="s">
        <v>108</v>
      </c>
      <c r="N20" s="168" t="s">
        <v>69</v>
      </c>
      <c r="O20" s="168" t="s">
        <v>69</v>
      </c>
      <c r="P20" s="168" t="s">
        <v>69</v>
      </c>
      <c r="Q20" s="168" t="s">
        <v>69</v>
      </c>
      <c r="R20" s="168" t="s">
        <v>69</v>
      </c>
      <c r="S20" s="168" t="s">
        <v>69</v>
      </c>
      <c r="T20" s="175" t="s">
        <v>108</v>
      </c>
      <c r="U20" s="168" t="s">
        <v>69</v>
      </c>
      <c r="V20" s="132" t="s">
        <v>94</v>
      </c>
      <c r="W20" s="168" t="s">
        <v>69</v>
      </c>
      <c r="X20" s="168" t="s">
        <v>69</v>
      </c>
      <c r="Y20" s="168" t="s">
        <v>69</v>
      </c>
      <c r="Z20" s="168" t="s">
        <v>69</v>
      </c>
      <c r="AA20" s="174" t="s">
        <v>108</v>
      </c>
      <c r="AB20" s="168" t="s">
        <v>69</v>
      </c>
      <c r="AC20" s="168" t="s">
        <v>69</v>
      </c>
      <c r="AD20" s="168" t="s">
        <v>69</v>
      </c>
      <c r="AE20" s="168" t="s">
        <v>69</v>
      </c>
      <c r="AF20" s="168" t="s">
        <v>69</v>
      </c>
      <c r="AG20" s="121" t="s">
        <v>72</v>
      </c>
      <c r="AH20" s="177" t="s">
        <v>108</v>
      </c>
      <c r="AI20" s="168" t="s">
        <v>69</v>
      </c>
      <c r="AJ20" s="119"/>
    </row>
    <row r="21" spans="1:36" ht="18">
      <c r="A21" s="5">
        <v>19</v>
      </c>
      <c r="B21" s="183" t="s">
        <v>97</v>
      </c>
      <c r="C21" s="168">
        <v>2</v>
      </c>
      <c r="D21" s="168">
        <v>1</v>
      </c>
      <c r="E21" s="168">
        <f t="shared" si="1"/>
        <v>1</v>
      </c>
      <c r="F21" s="174" t="s">
        <v>108</v>
      </c>
      <c r="G21" s="171" t="s">
        <v>69</v>
      </c>
      <c r="H21" s="168" t="s">
        <v>69</v>
      </c>
      <c r="I21" s="168" t="s">
        <v>69</v>
      </c>
      <c r="J21" s="168" t="s">
        <v>69</v>
      </c>
      <c r="K21" s="168" t="s">
        <v>69</v>
      </c>
      <c r="L21" s="121" t="s">
        <v>72</v>
      </c>
      <c r="M21" s="175" t="s">
        <v>108</v>
      </c>
      <c r="N21" s="134" t="s">
        <v>69</v>
      </c>
      <c r="O21" s="134" t="s">
        <v>69</v>
      </c>
      <c r="P21" s="168" t="s">
        <v>69</v>
      </c>
      <c r="Q21" s="168" t="s">
        <v>69</v>
      </c>
      <c r="R21" s="168" t="s">
        <v>69</v>
      </c>
      <c r="S21" s="168" t="s">
        <v>69</v>
      </c>
      <c r="T21" s="175" t="s">
        <v>108</v>
      </c>
      <c r="U21" s="168" t="s">
        <v>69</v>
      </c>
      <c r="V21" s="168" t="s">
        <v>69</v>
      </c>
      <c r="W21" s="168" t="s">
        <v>69</v>
      </c>
      <c r="X21" s="168" t="s">
        <v>69</v>
      </c>
      <c r="Y21" s="168" t="s">
        <v>69</v>
      </c>
      <c r="Z21" s="168" t="s">
        <v>69</v>
      </c>
      <c r="AA21" s="175" t="s">
        <v>108</v>
      </c>
      <c r="AB21" s="121" t="s">
        <v>72</v>
      </c>
      <c r="AC21" s="168" t="s">
        <v>69</v>
      </c>
      <c r="AD21" s="168" t="s">
        <v>69</v>
      </c>
      <c r="AE21" s="168" t="s">
        <v>69</v>
      </c>
      <c r="AF21" s="168" t="s">
        <v>69</v>
      </c>
      <c r="AG21" s="168" t="s">
        <v>69</v>
      </c>
      <c r="AH21" s="177" t="s">
        <v>108</v>
      </c>
      <c r="AI21" s="168" t="s">
        <v>69</v>
      </c>
      <c r="AJ21" s="119"/>
    </row>
    <row r="22" spans="1:36" ht="18">
      <c r="A22" s="5">
        <v>20</v>
      </c>
      <c r="B22" s="183" t="s">
        <v>22</v>
      </c>
      <c r="C22" s="168">
        <v>1</v>
      </c>
      <c r="D22" s="168">
        <v>0</v>
      </c>
      <c r="E22" s="168">
        <f t="shared" si="1"/>
        <v>1</v>
      </c>
      <c r="F22" s="194" t="s">
        <v>108</v>
      </c>
      <c r="G22" s="171" t="s">
        <v>69</v>
      </c>
      <c r="H22" s="168" t="s">
        <v>69</v>
      </c>
      <c r="I22" s="168" t="s">
        <v>69</v>
      </c>
      <c r="J22" s="168" t="s">
        <v>69</v>
      </c>
      <c r="K22" s="168" t="s">
        <v>69</v>
      </c>
      <c r="L22" s="168" t="s">
        <v>69</v>
      </c>
      <c r="M22" s="174" t="s">
        <v>108</v>
      </c>
      <c r="N22" s="168" t="s">
        <v>69</v>
      </c>
      <c r="O22" s="168" t="s">
        <v>69</v>
      </c>
      <c r="P22" s="168" t="s">
        <v>69</v>
      </c>
      <c r="Q22" s="168" t="s">
        <v>69</v>
      </c>
      <c r="R22" s="168" t="s">
        <v>69</v>
      </c>
      <c r="S22" s="168" t="s">
        <v>69</v>
      </c>
      <c r="T22" s="175" t="s">
        <v>108</v>
      </c>
      <c r="U22" s="168" t="s">
        <v>69</v>
      </c>
      <c r="V22" s="168" t="s">
        <v>69</v>
      </c>
      <c r="W22" s="168" t="s">
        <v>69</v>
      </c>
      <c r="X22" s="168" t="s">
        <v>69</v>
      </c>
      <c r="Y22" s="168" t="s">
        <v>69</v>
      </c>
      <c r="Z22" s="168" t="s">
        <v>69</v>
      </c>
      <c r="AA22" s="174" t="s">
        <v>108</v>
      </c>
      <c r="AB22" s="168" t="s">
        <v>69</v>
      </c>
      <c r="AC22" s="168" t="s">
        <v>69</v>
      </c>
      <c r="AD22" s="168" t="s">
        <v>69</v>
      </c>
      <c r="AE22" s="168" t="s">
        <v>69</v>
      </c>
      <c r="AF22" s="121" t="s">
        <v>72</v>
      </c>
      <c r="AG22" s="168" t="s">
        <v>69</v>
      </c>
      <c r="AH22" s="177" t="s">
        <v>108</v>
      </c>
      <c r="AI22" s="168" t="s">
        <v>69</v>
      </c>
      <c r="AJ22" s="162"/>
    </row>
    <row r="23" spans="1:36" ht="18">
      <c r="A23" s="5">
        <v>21</v>
      </c>
      <c r="B23" s="183" t="s">
        <v>140</v>
      </c>
      <c r="C23" s="168">
        <v>0</v>
      </c>
      <c r="D23" s="168">
        <v>0</v>
      </c>
      <c r="E23" s="168">
        <f t="shared" si="1"/>
        <v>0</v>
      </c>
      <c r="F23" s="174" t="s">
        <v>108</v>
      </c>
      <c r="G23" s="171" t="s">
        <v>69</v>
      </c>
      <c r="H23" s="168" t="s">
        <v>69</v>
      </c>
      <c r="I23" s="168" t="s">
        <v>69</v>
      </c>
      <c r="J23" s="168" t="s">
        <v>69</v>
      </c>
      <c r="K23" s="168" t="s">
        <v>69</v>
      </c>
      <c r="L23" s="168" t="s">
        <v>69</v>
      </c>
      <c r="M23" s="175" t="s">
        <v>108</v>
      </c>
      <c r="N23" s="168" t="s">
        <v>69</v>
      </c>
      <c r="O23" s="168" t="s">
        <v>69</v>
      </c>
      <c r="P23" s="168" t="s">
        <v>69</v>
      </c>
      <c r="Q23" s="168" t="s">
        <v>69</v>
      </c>
      <c r="R23" s="168" t="s">
        <v>69</v>
      </c>
      <c r="S23" s="168" t="s">
        <v>69</v>
      </c>
      <c r="T23" s="175" t="s">
        <v>108</v>
      </c>
      <c r="U23" s="168" t="s">
        <v>69</v>
      </c>
      <c r="V23" s="168" t="s">
        <v>69</v>
      </c>
      <c r="W23" s="168" t="s">
        <v>69</v>
      </c>
      <c r="X23" s="168" t="s">
        <v>69</v>
      </c>
      <c r="Y23" s="168" t="s">
        <v>69</v>
      </c>
      <c r="Z23" s="168" t="s">
        <v>69</v>
      </c>
      <c r="AA23" s="175" t="s">
        <v>108</v>
      </c>
      <c r="AB23" s="134" t="s">
        <v>69</v>
      </c>
      <c r="AC23" s="134" t="s">
        <v>69</v>
      </c>
      <c r="AD23" s="134" t="s">
        <v>69</v>
      </c>
      <c r="AE23" s="134" t="s">
        <v>69</v>
      </c>
      <c r="AF23" s="134" t="s">
        <v>69</v>
      </c>
      <c r="AG23" s="134" t="s">
        <v>69</v>
      </c>
      <c r="AH23" s="177" t="s">
        <v>108</v>
      </c>
      <c r="AI23" s="168" t="s">
        <v>69</v>
      </c>
      <c r="AJ23" s="119"/>
    </row>
    <row r="24" spans="1:36" ht="18">
      <c r="A24" s="5">
        <v>22</v>
      </c>
      <c r="B24" s="184" t="s">
        <v>24</v>
      </c>
      <c r="C24" s="168">
        <v>1</v>
      </c>
      <c r="D24" s="168">
        <v>0</v>
      </c>
      <c r="E24" s="168">
        <f t="shared" si="1"/>
        <v>1</v>
      </c>
      <c r="F24" s="194" t="s">
        <v>108</v>
      </c>
      <c r="G24" s="171" t="s">
        <v>69</v>
      </c>
      <c r="H24" s="168" t="s">
        <v>69</v>
      </c>
      <c r="I24" s="168" t="s">
        <v>69</v>
      </c>
      <c r="J24" s="121" t="s">
        <v>72</v>
      </c>
      <c r="K24" s="168" t="s">
        <v>69</v>
      </c>
      <c r="L24" s="168" t="s">
        <v>69</v>
      </c>
      <c r="M24" s="174" t="s">
        <v>108</v>
      </c>
      <c r="N24" s="168" t="s">
        <v>69</v>
      </c>
      <c r="O24" s="168" t="s">
        <v>69</v>
      </c>
      <c r="P24" s="168" t="s">
        <v>69</v>
      </c>
      <c r="Q24" s="168" t="s">
        <v>69</v>
      </c>
      <c r="R24" s="168" t="s">
        <v>69</v>
      </c>
      <c r="S24" s="168" t="s">
        <v>69</v>
      </c>
      <c r="T24" s="175" t="s">
        <v>108</v>
      </c>
      <c r="U24" s="168" t="s">
        <v>69</v>
      </c>
      <c r="V24" s="168" t="s">
        <v>69</v>
      </c>
      <c r="W24" s="168" t="s">
        <v>69</v>
      </c>
      <c r="X24" s="168" t="s">
        <v>69</v>
      </c>
      <c r="Y24" s="168" t="s">
        <v>69</v>
      </c>
      <c r="Z24" s="168" t="s">
        <v>69</v>
      </c>
      <c r="AA24" s="174" t="s">
        <v>108</v>
      </c>
      <c r="AB24" s="168" t="s">
        <v>69</v>
      </c>
      <c r="AC24" s="168" t="s">
        <v>69</v>
      </c>
      <c r="AD24" s="168" t="s">
        <v>69</v>
      </c>
      <c r="AE24" s="168" t="s">
        <v>69</v>
      </c>
      <c r="AF24" s="168" t="s">
        <v>69</v>
      </c>
      <c r="AG24" s="168" t="s">
        <v>69</v>
      </c>
      <c r="AH24" s="177" t="s">
        <v>108</v>
      </c>
      <c r="AI24" s="168" t="s">
        <v>69</v>
      </c>
      <c r="AJ24" s="119"/>
    </row>
    <row r="25" spans="1:36" ht="18">
      <c r="A25" s="5">
        <v>23</v>
      </c>
      <c r="B25" s="183" t="s">
        <v>114</v>
      </c>
      <c r="C25" s="168">
        <v>3</v>
      </c>
      <c r="D25" s="168">
        <v>2</v>
      </c>
      <c r="E25" s="168">
        <f t="shared" si="1"/>
        <v>1</v>
      </c>
      <c r="F25" s="174" t="s">
        <v>108</v>
      </c>
      <c r="G25" s="171" t="s">
        <v>69</v>
      </c>
      <c r="H25" s="168" t="s">
        <v>69</v>
      </c>
      <c r="I25" s="121" t="s">
        <v>72</v>
      </c>
      <c r="J25" s="121" t="s">
        <v>72</v>
      </c>
      <c r="K25" s="121" t="s">
        <v>72</v>
      </c>
      <c r="L25" s="168" t="s">
        <v>69</v>
      </c>
      <c r="M25" s="175" t="s">
        <v>108</v>
      </c>
      <c r="N25" s="168" t="s">
        <v>69</v>
      </c>
      <c r="O25" s="168" t="s">
        <v>69</v>
      </c>
      <c r="P25" s="168" t="s">
        <v>69</v>
      </c>
      <c r="Q25" s="168" t="s">
        <v>69</v>
      </c>
      <c r="R25" s="168" t="s">
        <v>69</v>
      </c>
      <c r="S25" s="168" t="s">
        <v>69</v>
      </c>
      <c r="T25" s="175" t="s">
        <v>108</v>
      </c>
      <c r="U25" s="168" t="s">
        <v>69</v>
      </c>
      <c r="V25" s="168" t="s">
        <v>69</v>
      </c>
      <c r="W25" s="168" t="s">
        <v>69</v>
      </c>
      <c r="X25" s="168" t="s">
        <v>69</v>
      </c>
      <c r="Y25" s="168" t="s">
        <v>69</v>
      </c>
      <c r="Z25" s="168" t="s">
        <v>69</v>
      </c>
      <c r="AA25" s="175" t="s">
        <v>108</v>
      </c>
      <c r="AB25" s="168" t="s">
        <v>69</v>
      </c>
      <c r="AC25" s="168" t="s">
        <v>69</v>
      </c>
      <c r="AD25" s="168" t="s">
        <v>69</v>
      </c>
      <c r="AE25" s="168" t="s">
        <v>69</v>
      </c>
      <c r="AF25" s="168" t="s">
        <v>69</v>
      </c>
      <c r="AG25" s="168" t="s">
        <v>69</v>
      </c>
      <c r="AH25" s="177" t="s">
        <v>108</v>
      </c>
      <c r="AI25" s="168" t="s">
        <v>69</v>
      </c>
      <c r="AJ25" s="119"/>
    </row>
    <row r="26" spans="1:36" ht="18">
      <c r="A26" s="5">
        <v>24</v>
      </c>
      <c r="B26" s="183" t="s">
        <v>26</v>
      </c>
      <c r="C26" s="168">
        <v>0</v>
      </c>
      <c r="D26" s="168">
        <v>0</v>
      </c>
      <c r="E26" s="168">
        <f t="shared" si="1"/>
        <v>0</v>
      </c>
      <c r="F26" s="194" t="s">
        <v>108</v>
      </c>
      <c r="G26" s="171" t="s">
        <v>69</v>
      </c>
      <c r="H26" s="168" t="s">
        <v>69</v>
      </c>
      <c r="I26" s="168" t="s">
        <v>69</v>
      </c>
      <c r="J26" s="168" t="s">
        <v>69</v>
      </c>
      <c r="K26" s="168" t="s">
        <v>69</v>
      </c>
      <c r="L26" s="168" t="s">
        <v>69</v>
      </c>
      <c r="M26" s="174" t="s">
        <v>108</v>
      </c>
      <c r="N26" s="168" t="s">
        <v>69</v>
      </c>
      <c r="O26" s="168" t="s">
        <v>69</v>
      </c>
      <c r="P26" s="168" t="s">
        <v>69</v>
      </c>
      <c r="Q26" s="168" t="s">
        <v>69</v>
      </c>
      <c r="R26" s="168" t="s">
        <v>69</v>
      </c>
      <c r="S26" s="168" t="s">
        <v>69</v>
      </c>
      <c r="T26" s="175" t="s">
        <v>108</v>
      </c>
      <c r="U26" s="168" t="s">
        <v>69</v>
      </c>
      <c r="V26" s="168" t="s">
        <v>69</v>
      </c>
      <c r="W26" s="168" t="s">
        <v>69</v>
      </c>
      <c r="X26" s="168" t="s">
        <v>69</v>
      </c>
      <c r="Y26" s="168" t="s">
        <v>69</v>
      </c>
      <c r="Z26" s="168" t="s">
        <v>69</v>
      </c>
      <c r="AA26" s="174" t="s">
        <v>108</v>
      </c>
      <c r="AB26" s="168" t="s">
        <v>69</v>
      </c>
      <c r="AC26" s="168" t="s">
        <v>69</v>
      </c>
      <c r="AD26" s="168" t="s">
        <v>69</v>
      </c>
      <c r="AE26" s="168" t="s">
        <v>69</v>
      </c>
      <c r="AF26" s="168" t="s">
        <v>69</v>
      </c>
      <c r="AG26" s="168" t="s">
        <v>69</v>
      </c>
      <c r="AH26" s="177" t="s">
        <v>108</v>
      </c>
      <c r="AI26" s="168" t="s">
        <v>69</v>
      </c>
      <c r="AJ26" s="119"/>
    </row>
    <row r="27" spans="1:36" ht="18">
      <c r="A27" s="5">
        <v>25</v>
      </c>
      <c r="B27" s="183" t="s">
        <v>27</v>
      </c>
      <c r="C27" s="168">
        <v>2</v>
      </c>
      <c r="D27" s="168">
        <v>0</v>
      </c>
      <c r="E27" s="168">
        <f t="shared" si="1"/>
        <v>2</v>
      </c>
      <c r="F27" s="174" t="s">
        <v>108</v>
      </c>
      <c r="G27" s="171" t="s">
        <v>69</v>
      </c>
      <c r="H27" s="168" t="s">
        <v>69</v>
      </c>
      <c r="I27" s="168" t="s">
        <v>69</v>
      </c>
      <c r="J27" s="168" t="s">
        <v>69</v>
      </c>
      <c r="K27" s="168" t="s">
        <v>69</v>
      </c>
      <c r="L27" s="121" t="s">
        <v>72</v>
      </c>
      <c r="M27" s="175" t="s">
        <v>108</v>
      </c>
      <c r="N27" s="168" t="s">
        <v>69</v>
      </c>
      <c r="O27" s="168" t="s">
        <v>69</v>
      </c>
      <c r="P27" s="168" t="s">
        <v>69</v>
      </c>
      <c r="Q27" s="168" t="s">
        <v>69</v>
      </c>
      <c r="R27" s="168" t="s">
        <v>69</v>
      </c>
      <c r="S27" s="168" t="s">
        <v>69</v>
      </c>
      <c r="T27" s="175" t="s">
        <v>108</v>
      </c>
      <c r="U27" s="168" t="s">
        <v>69</v>
      </c>
      <c r="V27" s="168" t="s">
        <v>69</v>
      </c>
      <c r="W27" s="168" t="s">
        <v>69</v>
      </c>
      <c r="X27" s="168" t="s">
        <v>69</v>
      </c>
      <c r="Y27" s="182" t="s">
        <v>92</v>
      </c>
      <c r="Z27" s="169" t="s">
        <v>70</v>
      </c>
      <c r="AA27" s="175" t="s">
        <v>108</v>
      </c>
      <c r="AB27" s="169" t="s">
        <v>69</v>
      </c>
      <c r="AC27" s="169" t="s">
        <v>69</v>
      </c>
      <c r="AD27" s="169" t="s">
        <v>69</v>
      </c>
      <c r="AE27" s="169" t="s">
        <v>69</v>
      </c>
      <c r="AF27" s="169" t="s">
        <v>69</v>
      </c>
      <c r="AG27" s="169" t="s">
        <v>69</v>
      </c>
      <c r="AH27" s="177" t="s">
        <v>108</v>
      </c>
      <c r="AI27" s="121" t="s">
        <v>72</v>
      </c>
      <c r="AJ27" s="119"/>
    </row>
    <row r="28" spans="1:36" ht="18">
      <c r="A28" s="5">
        <v>26</v>
      </c>
      <c r="B28" s="224" t="s">
        <v>141</v>
      </c>
      <c r="C28" s="168">
        <v>25</v>
      </c>
      <c r="D28" s="168"/>
      <c r="E28" s="168">
        <f t="shared" si="1"/>
        <v>25</v>
      </c>
      <c r="F28" s="194" t="s">
        <v>108</v>
      </c>
      <c r="G28" s="171" t="s">
        <v>69</v>
      </c>
      <c r="H28" s="168" t="s">
        <v>69</v>
      </c>
      <c r="I28" s="168" t="s">
        <v>69</v>
      </c>
      <c r="J28" s="168" t="s">
        <v>69</v>
      </c>
      <c r="K28" s="168" t="s">
        <v>69</v>
      </c>
      <c r="L28" s="121" t="s">
        <v>72</v>
      </c>
      <c r="M28" s="174" t="s">
        <v>108</v>
      </c>
      <c r="N28" s="121" t="s">
        <v>72</v>
      </c>
      <c r="O28" s="121" t="s">
        <v>72</v>
      </c>
      <c r="P28" s="121" t="s">
        <v>76</v>
      </c>
      <c r="Q28" s="121" t="s">
        <v>76</v>
      </c>
      <c r="R28" s="121" t="s">
        <v>76</v>
      </c>
      <c r="S28" s="121" t="s">
        <v>76</v>
      </c>
      <c r="T28" s="175" t="s">
        <v>108</v>
      </c>
      <c r="U28" s="121" t="s">
        <v>76</v>
      </c>
      <c r="V28" s="121" t="s">
        <v>76</v>
      </c>
      <c r="W28" s="121" t="s">
        <v>76</v>
      </c>
      <c r="X28" s="121" t="s">
        <v>76</v>
      </c>
      <c r="Y28" s="121" t="s">
        <v>76</v>
      </c>
      <c r="Z28" s="121" t="s">
        <v>76</v>
      </c>
      <c r="AA28" s="174" t="s">
        <v>108</v>
      </c>
      <c r="AB28" s="152" t="s">
        <v>76</v>
      </c>
      <c r="AC28" s="152" t="s">
        <v>76</v>
      </c>
      <c r="AD28" s="152" t="s">
        <v>76</v>
      </c>
      <c r="AE28" s="152" t="s">
        <v>76</v>
      </c>
      <c r="AF28" s="152" t="s">
        <v>76</v>
      </c>
      <c r="AG28" s="152" t="s">
        <v>76</v>
      </c>
      <c r="AH28" s="177" t="s">
        <v>108</v>
      </c>
      <c r="AI28" s="121" t="s">
        <v>76</v>
      </c>
      <c r="AJ28" s="119"/>
    </row>
    <row r="29" spans="1:36" ht="18">
      <c r="A29" s="5">
        <v>27</v>
      </c>
      <c r="B29" s="183" t="s">
        <v>28</v>
      </c>
      <c r="C29" s="168">
        <v>2</v>
      </c>
      <c r="D29" s="168">
        <v>0</v>
      </c>
      <c r="E29" s="168">
        <f t="shared" si="1"/>
        <v>2</v>
      </c>
      <c r="F29" s="174" t="s">
        <v>108</v>
      </c>
      <c r="G29" s="171" t="s">
        <v>69</v>
      </c>
      <c r="H29" s="168" t="s">
        <v>69</v>
      </c>
      <c r="I29" s="168" t="s">
        <v>69</v>
      </c>
      <c r="J29" s="168" t="s">
        <v>69</v>
      </c>
      <c r="K29" s="168" t="s">
        <v>69</v>
      </c>
      <c r="L29" s="168" t="s">
        <v>69</v>
      </c>
      <c r="M29" s="175" t="s">
        <v>108</v>
      </c>
      <c r="N29" s="130" t="s">
        <v>92</v>
      </c>
      <c r="O29" s="168" t="s">
        <v>69</v>
      </c>
      <c r="P29" s="168" t="s">
        <v>69</v>
      </c>
      <c r="Q29" s="168" t="s">
        <v>69</v>
      </c>
      <c r="R29" s="168" t="s">
        <v>69</v>
      </c>
      <c r="S29" s="168" t="s">
        <v>69</v>
      </c>
      <c r="T29" s="175" t="s">
        <v>108</v>
      </c>
      <c r="U29" s="168" t="s">
        <v>69</v>
      </c>
      <c r="V29" s="168" t="s">
        <v>69</v>
      </c>
      <c r="W29" s="168" t="s">
        <v>69</v>
      </c>
      <c r="X29" s="168" t="s">
        <v>69</v>
      </c>
      <c r="Y29" s="168" t="s">
        <v>69</v>
      </c>
      <c r="Z29" s="168" t="s">
        <v>69</v>
      </c>
      <c r="AA29" s="175" t="s">
        <v>108</v>
      </c>
      <c r="AB29" s="188" t="s">
        <v>72</v>
      </c>
      <c r="AC29" s="169" t="s">
        <v>69</v>
      </c>
      <c r="AD29" s="169" t="s">
        <v>69</v>
      </c>
      <c r="AE29" s="169" t="s">
        <v>69</v>
      </c>
      <c r="AF29" s="169" t="s">
        <v>69</v>
      </c>
      <c r="AG29" s="121" t="s">
        <v>72</v>
      </c>
      <c r="AH29" s="177" t="s">
        <v>108</v>
      </c>
      <c r="AI29" s="168" t="s">
        <v>69</v>
      </c>
      <c r="AJ29" s="119"/>
    </row>
    <row r="30" spans="1:36" ht="18">
      <c r="A30" s="5">
        <v>28</v>
      </c>
      <c r="B30" s="183" t="s">
        <v>29</v>
      </c>
      <c r="C30" s="168">
        <v>0.5</v>
      </c>
      <c r="D30" s="168">
        <v>0</v>
      </c>
      <c r="E30" s="168">
        <f t="shared" si="1"/>
        <v>0.5</v>
      </c>
      <c r="F30" s="194" t="s">
        <v>108</v>
      </c>
      <c r="G30" s="219" t="s">
        <v>94</v>
      </c>
      <c r="H30" s="168" t="s">
        <v>69</v>
      </c>
      <c r="I30" s="168" t="s">
        <v>69</v>
      </c>
      <c r="J30" s="168" t="s">
        <v>69</v>
      </c>
      <c r="K30" s="168" t="s">
        <v>69</v>
      </c>
      <c r="L30" s="168" t="s">
        <v>69</v>
      </c>
      <c r="M30" s="174" t="s">
        <v>108</v>
      </c>
      <c r="N30" s="134" t="s">
        <v>69</v>
      </c>
      <c r="O30" s="134" t="s">
        <v>69</v>
      </c>
      <c r="P30" s="134" t="s">
        <v>69</v>
      </c>
      <c r="Q30" s="134" t="s">
        <v>69</v>
      </c>
      <c r="R30" s="134" t="s">
        <v>69</v>
      </c>
      <c r="S30" s="134" t="s">
        <v>69</v>
      </c>
      <c r="T30" s="175" t="s">
        <v>108</v>
      </c>
      <c r="U30" s="168" t="s">
        <v>69</v>
      </c>
      <c r="V30" s="168" t="s">
        <v>69</v>
      </c>
      <c r="W30" s="168" t="s">
        <v>69</v>
      </c>
      <c r="X30" s="168" t="s">
        <v>69</v>
      </c>
      <c r="Y30" s="168" t="s">
        <v>69</v>
      </c>
      <c r="Z30" s="168" t="s">
        <v>69</v>
      </c>
      <c r="AA30" s="174" t="s">
        <v>108</v>
      </c>
      <c r="AB30" s="168" t="s">
        <v>69</v>
      </c>
      <c r="AC30" s="168" t="s">
        <v>69</v>
      </c>
      <c r="AD30" s="168" t="s">
        <v>69</v>
      </c>
      <c r="AE30" s="168" t="s">
        <v>69</v>
      </c>
      <c r="AF30" s="168" t="s">
        <v>69</v>
      </c>
      <c r="AG30" s="168" t="s">
        <v>69</v>
      </c>
      <c r="AH30" s="177" t="s">
        <v>108</v>
      </c>
      <c r="AI30" s="168" t="s">
        <v>69</v>
      </c>
      <c r="AJ30" s="119"/>
    </row>
    <row r="31" spans="1:36" ht="18">
      <c r="A31" s="5">
        <v>29</v>
      </c>
      <c r="B31" s="183" t="s">
        <v>30</v>
      </c>
      <c r="C31" s="168">
        <v>0</v>
      </c>
      <c r="D31" s="168">
        <v>0</v>
      </c>
      <c r="E31" s="168">
        <f t="shared" si="1"/>
        <v>0</v>
      </c>
      <c r="F31" s="174" t="s">
        <v>108</v>
      </c>
      <c r="G31" s="171" t="s">
        <v>69</v>
      </c>
      <c r="H31" s="168" t="s">
        <v>69</v>
      </c>
      <c r="I31" s="168" t="s">
        <v>69</v>
      </c>
      <c r="J31" s="168" t="s">
        <v>69</v>
      </c>
      <c r="K31" s="168" t="s">
        <v>69</v>
      </c>
      <c r="L31" s="130" t="s">
        <v>92</v>
      </c>
      <c r="M31" s="175" t="s">
        <v>108</v>
      </c>
      <c r="N31" s="168" t="s">
        <v>69</v>
      </c>
      <c r="O31" s="168" t="s">
        <v>69</v>
      </c>
      <c r="P31" s="168" t="s">
        <v>69</v>
      </c>
      <c r="Q31" s="168" t="s">
        <v>69</v>
      </c>
      <c r="R31" s="168" t="s">
        <v>69</v>
      </c>
      <c r="S31" s="168" t="s">
        <v>69</v>
      </c>
      <c r="T31" s="175" t="s">
        <v>108</v>
      </c>
      <c r="U31" s="168" t="s">
        <v>69</v>
      </c>
      <c r="V31" s="168" t="s">
        <v>69</v>
      </c>
      <c r="W31" s="168" t="s">
        <v>69</v>
      </c>
      <c r="X31" s="168" t="s">
        <v>69</v>
      </c>
      <c r="Y31" s="168" t="s">
        <v>69</v>
      </c>
      <c r="Z31" s="168" t="s">
        <v>69</v>
      </c>
      <c r="AA31" s="175" t="s">
        <v>108</v>
      </c>
      <c r="AB31" s="168" t="s">
        <v>69</v>
      </c>
      <c r="AC31" s="168" t="s">
        <v>69</v>
      </c>
      <c r="AD31" s="168" t="s">
        <v>69</v>
      </c>
      <c r="AE31" s="168" t="s">
        <v>69</v>
      </c>
      <c r="AF31" s="168" t="s">
        <v>69</v>
      </c>
      <c r="AG31" s="168" t="s">
        <v>69</v>
      </c>
      <c r="AH31" s="177" t="s">
        <v>108</v>
      </c>
      <c r="AI31" s="168" t="s">
        <v>69</v>
      </c>
      <c r="AJ31" s="119"/>
    </row>
    <row r="32" spans="1:36" ht="18">
      <c r="A32" s="5">
        <v>30</v>
      </c>
      <c r="B32" s="183" t="s">
        <v>31</v>
      </c>
      <c r="C32" s="168">
        <v>1</v>
      </c>
      <c r="D32" s="168">
        <v>0</v>
      </c>
      <c r="E32" s="168">
        <f t="shared" si="1"/>
        <v>1</v>
      </c>
      <c r="F32" s="194" t="s">
        <v>108</v>
      </c>
      <c r="G32" s="207" t="s">
        <v>69</v>
      </c>
      <c r="H32" s="134" t="s">
        <v>69</v>
      </c>
      <c r="I32" s="134" t="s">
        <v>69</v>
      </c>
      <c r="J32" s="134" t="s">
        <v>69</v>
      </c>
      <c r="K32" s="134" t="s">
        <v>69</v>
      </c>
      <c r="L32" s="134" t="s">
        <v>69</v>
      </c>
      <c r="M32" s="174" t="s">
        <v>108</v>
      </c>
      <c r="N32" s="121" t="s">
        <v>72</v>
      </c>
      <c r="O32" s="134" t="s">
        <v>69</v>
      </c>
      <c r="P32" s="134" t="s">
        <v>69</v>
      </c>
      <c r="Q32" s="134" t="s">
        <v>69</v>
      </c>
      <c r="R32" s="134" t="s">
        <v>69</v>
      </c>
      <c r="S32" s="134" t="s">
        <v>69</v>
      </c>
      <c r="T32" s="175" t="s">
        <v>108</v>
      </c>
      <c r="U32" s="168" t="s">
        <v>69</v>
      </c>
      <c r="V32" s="168" t="s">
        <v>69</v>
      </c>
      <c r="W32" s="168" t="s">
        <v>69</v>
      </c>
      <c r="X32" s="168" t="s">
        <v>69</v>
      </c>
      <c r="Y32" s="168" t="s">
        <v>69</v>
      </c>
      <c r="Z32" s="168" t="s">
        <v>69</v>
      </c>
      <c r="AA32" s="174" t="s">
        <v>108</v>
      </c>
      <c r="AB32" s="168" t="s">
        <v>69</v>
      </c>
      <c r="AC32" s="168" t="s">
        <v>69</v>
      </c>
      <c r="AD32" s="168" t="s">
        <v>69</v>
      </c>
      <c r="AE32" s="168" t="s">
        <v>69</v>
      </c>
      <c r="AF32" s="168" t="s">
        <v>69</v>
      </c>
      <c r="AG32" s="168" t="s">
        <v>69</v>
      </c>
      <c r="AH32" s="177" t="s">
        <v>108</v>
      </c>
      <c r="AI32" s="168" t="s">
        <v>69</v>
      </c>
      <c r="AJ32" s="119"/>
    </row>
    <row r="33" spans="1:36" ht="18">
      <c r="A33" s="5">
        <v>31</v>
      </c>
      <c r="B33" s="184" t="s">
        <v>33</v>
      </c>
      <c r="C33" s="168">
        <v>1</v>
      </c>
      <c r="D33" s="168">
        <v>0</v>
      </c>
      <c r="E33" s="168">
        <f t="shared" si="1"/>
        <v>1</v>
      </c>
      <c r="F33" s="174" t="s">
        <v>108</v>
      </c>
      <c r="G33" s="171" t="s">
        <v>69</v>
      </c>
      <c r="H33" s="168" t="s">
        <v>69</v>
      </c>
      <c r="I33" s="168" t="s">
        <v>69</v>
      </c>
      <c r="J33" s="168" t="s">
        <v>69</v>
      </c>
      <c r="K33" s="168" t="s">
        <v>69</v>
      </c>
      <c r="L33" s="134" t="s">
        <v>121</v>
      </c>
      <c r="M33" s="175" t="s">
        <v>108</v>
      </c>
      <c r="N33" s="168" t="s">
        <v>69</v>
      </c>
      <c r="O33" s="168" t="s">
        <v>69</v>
      </c>
      <c r="P33" s="168" t="s">
        <v>69</v>
      </c>
      <c r="Q33" s="168" t="s">
        <v>69</v>
      </c>
      <c r="R33" s="168" t="s">
        <v>69</v>
      </c>
      <c r="S33" s="168" t="s">
        <v>69</v>
      </c>
      <c r="T33" s="175" t="s">
        <v>108</v>
      </c>
      <c r="U33" s="168" t="s">
        <v>69</v>
      </c>
      <c r="V33" s="168" t="s">
        <v>69</v>
      </c>
      <c r="W33" s="168" t="s">
        <v>69</v>
      </c>
      <c r="X33" s="168" t="s">
        <v>69</v>
      </c>
      <c r="Y33" s="168" t="s">
        <v>69</v>
      </c>
      <c r="Z33" s="168" t="s">
        <v>69</v>
      </c>
      <c r="AA33" s="175" t="s">
        <v>108</v>
      </c>
      <c r="AB33" s="168" t="s">
        <v>69</v>
      </c>
      <c r="AC33" s="153" t="s">
        <v>72</v>
      </c>
      <c r="AD33" s="172" t="s">
        <v>69</v>
      </c>
      <c r="AE33" s="172" t="s">
        <v>69</v>
      </c>
      <c r="AF33" s="172" t="s">
        <v>69</v>
      </c>
      <c r="AG33" s="172" t="s">
        <v>69</v>
      </c>
      <c r="AH33" s="177" t="s">
        <v>108</v>
      </c>
      <c r="AI33" s="168" t="s">
        <v>69</v>
      </c>
      <c r="AJ33" s="119"/>
    </row>
    <row r="34" spans="1:36" ht="18">
      <c r="A34" s="5">
        <v>32</v>
      </c>
      <c r="B34" s="184" t="s">
        <v>142</v>
      </c>
      <c r="C34" s="168">
        <v>16</v>
      </c>
      <c r="D34" s="168">
        <v>16</v>
      </c>
      <c r="E34" s="168">
        <f t="shared" si="1"/>
        <v>0</v>
      </c>
      <c r="F34" s="194" t="s">
        <v>108</v>
      </c>
      <c r="G34" s="218" t="s">
        <v>72</v>
      </c>
      <c r="H34" s="131" t="s">
        <v>72</v>
      </c>
      <c r="I34" s="131" t="s">
        <v>72</v>
      </c>
      <c r="J34" s="131" t="s">
        <v>72</v>
      </c>
      <c r="K34" s="131" t="s">
        <v>72</v>
      </c>
      <c r="L34" s="131" t="s">
        <v>72</v>
      </c>
      <c r="M34" s="174" t="s">
        <v>108</v>
      </c>
      <c r="N34" s="131" t="s">
        <v>72</v>
      </c>
      <c r="O34" s="131" t="s">
        <v>72</v>
      </c>
      <c r="P34" s="131" t="s">
        <v>72</v>
      </c>
      <c r="Q34" s="131" t="s">
        <v>72</v>
      </c>
      <c r="R34" s="131" t="s">
        <v>72</v>
      </c>
      <c r="S34" s="131" t="s">
        <v>72</v>
      </c>
      <c r="T34" s="175" t="s">
        <v>108</v>
      </c>
      <c r="U34" s="121" t="s">
        <v>72</v>
      </c>
      <c r="V34" s="168" t="s">
        <v>69</v>
      </c>
      <c r="W34" s="168" t="s">
        <v>69</v>
      </c>
      <c r="X34" s="168" t="s">
        <v>69</v>
      </c>
      <c r="Y34" s="168" t="s">
        <v>69</v>
      </c>
      <c r="Z34" s="168" t="s">
        <v>69</v>
      </c>
      <c r="AA34" s="174" t="s">
        <v>108</v>
      </c>
      <c r="AB34" s="168" t="s">
        <v>69</v>
      </c>
      <c r="AC34" s="168" t="s">
        <v>69</v>
      </c>
      <c r="AD34" s="168" t="s">
        <v>69</v>
      </c>
      <c r="AE34" s="168" t="s">
        <v>69</v>
      </c>
      <c r="AF34" s="168" t="s">
        <v>69</v>
      </c>
      <c r="AG34" s="168"/>
      <c r="AH34" s="177" t="s">
        <v>108</v>
      </c>
      <c r="AI34" s="168" t="s">
        <v>69</v>
      </c>
      <c r="AJ34" s="119"/>
    </row>
    <row r="35" spans="1:36" ht="18">
      <c r="A35" s="5">
        <v>33</v>
      </c>
      <c r="B35" s="185" t="s">
        <v>77</v>
      </c>
      <c r="C35" s="168">
        <v>3</v>
      </c>
      <c r="D35" s="168">
        <v>0</v>
      </c>
      <c r="E35" s="168">
        <f t="shared" si="1"/>
        <v>3</v>
      </c>
      <c r="F35" s="194" t="s">
        <v>108</v>
      </c>
      <c r="G35" s="171" t="s">
        <v>69</v>
      </c>
      <c r="H35" s="168" t="s">
        <v>69</v>
      </c>
      <c r="I35" s="168" t="s">
        <v>69</v>
      </c>
      <c r="J35" s="168" t="s">
        <v>69</v>
      </c>
      <c r="K35" s="168" t="s">
        <v>69</v>
      </c>
      <c r="L35" s="121" t="s">
        <v>72</v>
      </c>
      <c r="M35" s="174" t="s">
        <v>108</v>
      </c>
      <c r="N35" s="168" t="s">
        <v>69</v>
      </c>
      <c r="O35" s="168" t="s">
        <v>69</v>
      </c>
      <c r="P35" s="168" t="s">
        <v>69</v>
      </c>
      <c r="Q35" s="168" t="s">
        <v>69</v>
      </c>
      <c r="R35" s="168" t="s">
        <v>69</v>
      </c>
      <c r="S35" s="168" t="s">
        <v>69</v>
      </c>
      <c r="T35" s="175" t="s">
        <v>108</v>
      </c>
      <c r="U35" s="168" t="s">
        <v>69</v>
      </c>
      <c r="V35" s="168" t="s">
        <v>69</v>
      </c>
      <c r="W35" s="121" t="s">
        <v>72</v>
      </c>
      <c r="X35" s="168" t="s">
        <v>69</v>
      </c>
      <c r="Y35" s="168" t="s">
        <v>69</v>
      </c>
      <c r="Z35" s="168" t="s">
        <v>69</v>
      </c>
      <c r="AA35" s="174" t="s">
        <v>108</v>
      </c>
      <c r="AB35" s="121" t="s">
        <v>72</v>
      </c>
      <c r="AC35" s="168" t="s">
        <v>69</v>
      </c>
      <c r="AD35" s="168" t="s">
        <v>69</v>
      </c>
      <c r="AE35" s="168" t="s">
        <v>69</v>
      </c>
      <c r="AF35" s="168" t="s">
        <v>69</v>
      </c>
      <c r="AG35" s="168" t="s">
        <v>69</v>
      </c>
      <c r="AH35" s="177" t="s">
        <v>108</v>
      </c>
      <c r="AI35" s="168" t="s">
        <v>69</v>
      </c>
      <c r="AJ35" s="119"/>
    </row>
    <row r="36" spans="1:36" ht="18">
      <c r="A36" s="5">
        <v>34</v>
      </c>
      <c r="B36" s="184" t="s">
        <v>35</v>
      </c>
      <c r="C36" s="168">
        <v>2.5</v>
      </c>
      <c r="D36" s="168">
        <v>1</v>
      </c>
      <c r="E36" s="168">
        <f t="shared" si="1"/>
        <v>1.5</v>
      </c>
      <c r="F36" s="174" t="s">
        <v>108</v>
      </c>
      <c r="G36" s="171" t="s">
        <v>69</v>
      </c>
      <c r="H36" s="168" t="s">
        <v>69</v>
      </c>
      <c r="I36" s="168" t="s">
        <v>69</v>
      </c>
      <c r="J36" s="168" t="s">
        <v>69</v>
      </c>
      <c r="K36" s="168" t="s">
        <v>69</v>
      </c>
      <c r="L36" s="121" t="s">
        <v>72</v>
      </c>
      <c r="M36" s="175" t="s">
        <v>108</v>
      </c>
      <c r="N36" s="168" t="s">
        <v>69</v>
      </c>
      <c r="O36" s="168" t="s">
        <v>69</v>
      </c>
      <c r="P36" s="168" t="s">
        <v>69</v>
      </c>
      <c r="Q36" s="168" t="s">
        <v>69</v>
      </c>
      <c r="R36" s="121" t="s">
        <v>72</v>
      </c>
      <c r="S36" s="168" t="s">
        <v>69</v>
      </c>
      <c r="T36" s="175" t="s">
        <v>108</v>
      </c>
      <c r="U36" s="168" t="s">
        <v>69</v>
      </c>
      <c r="V36" s="168" t="s">
        <v>69</v>
      </c>
      <c r="W36" s="168" t="s">
        <v>69</v>
      </c>
      <c r="X36" s="168" t="s">
        <v>69</v>
      </c>
      <c r="Y36" s="168" t="s">
        <v>69</v>
      </c>
      <c r="Z36" s="168" t="s">
        <v>69</v>
      </c>
      <c r="AA36" s="175" t="s">
        <v>108</v>
      </c>
      <c r="AB36" s="168" t="s">
        <v>69</v>
      </c>
      <c r="AC36" s="168" t="s">
        <v>69</v>
      </c>
      <c r="AD36" s="168" t="s">
        <v>69</v>
      </c>
      <c r="AE36" s="168" t="s">
        <v>69</v>
      </c>
      <c r="AF36" s="132" t="s">
        <v>94</v>
      </c>
      <c r="AG36" s="168" t="s">
        <v>69</v>
      </c>
      <c r="AH36" s="177" t="s">
        <v>108</v>
      </c>
      <c r="AI36" s="168" t="s">
        <v>69</v>
      </c>
      <c r="AJ36" s="119"/>
    </row>
    <row r="37" spans="1:36" ht="18">
      <c r="A37" s="5">
        <v>35</v>
      </c>
      <c r="B37" s="184" t="s">
        <v>118</v>
      </c>
      <c r="C37" s="168">
        <v>0</v>
      </c>
      <c r="D37" s="168">
        <v>0</v>
      </c>
      <c r="E37" s="168">
        <f t="shared" si="1"/>
        <v>0</v>
      </c>
      <c r="F37" s="194" t="s">
        <v>108</v>
      </c>
      <c r="G37" s="171" t="s">
        <v>69</v>
      </c>
      <c r="H37" s="168" t="s">
        <v>69</v>
      </c>
      <c r="I37" s="168" t="s">
        <v>69</v>
      </c>
      <c r="J37" s="168" t="s">
        <v>69</v>
      </c>
      <c r="K37" s="168" t="s">
        <v>69</v>
      </c>
      <c r="L37" s="168" t="s">
        <v>69</v>
      </c>
      <c r="M37" s="174" t="s">
        <v>108</v>
      </c>
      <c r="N37" s="134" t="s">
        <v>69</v>
      </c>
      <c r="O37" s="134" t="s">
        <v>69</v>
      </c>
      <c r="P37" s="134" t="s">
        <v>69</v>
      </c>
      <c r="Q37" s="134" t="s">
        <v>69</v>
      </c>
      <c r="R37" s="134" t="s">
        <v>69</v>
      </c>
      <c r="S37" s="134" t="s">
        <v>69</v>
      </c>
      <c r="T37" s="175" t="s">
        <v>108</v>
      </c>
      <c r="U37" s="168" t="s">
        <v>69</v>
      </c>
      <c r="V37" s="168" t="s">
        <v>69</v>
      </c>
      <c r="W37" s="168" t="s">
        <v>69</v>
      </c>
      <c r="X37" s="168" t="s">
        <v>69</v>
      </c>
      <c r="Y37" s="168" t="s">
        <v>69</v>
      </c>
      <c r="Z37" s="168" t="s">
        <v>69</v>
      </c>
      <c r="AA37" s="174" t="s">
        <v>108</v>
      </c>
      <c r="AB37" s="168" t="s">
        <v>69</v>
      </c>
      <c r="AC37" s="168" t="s">
        <v>69</v>
      </c>
      <c r="AD37" s="168" t="s">
        <v>69</v>
      </c>
      <c r="AE37" s="168" t="s">
        <v>69</v>
      </c>
      <c r="AF37" s="168" t="s">
        <v>69</v>
      </c>
      <c r="AG37" s="168" t="s">
        <v>69</v>
      </c>
      <c r="AH37" s="177" t="s">
        <v>108</v>
      </c>
      <c r="AI37" s="168" t="s">
        <v>69</v>
      </c>
      <c r="AJ37" s="119"/>
    </row>
    <row r="38" spans="1:36" ht="18">
      <c r="A38" s="5">
        <v>36</v>
      </c>
      <c r="B38" s="184" t="s">
        <v>36</v>
      </c>
      <c r="C38" s="168">
        <v>1</v>
      </c>
      <c r="D38" s="168">
        <v>0</v>
      </c>
      <c r="E38" s="168">
        <f t="shared" si="1"/>
        <v>1</v>
      </c>
      <c r="F38" s="174" t="s">
        <v>108</v>
      </c>
      <c r="G38" s="171" t="s">
        <v>69</v>
      </c>
      <c r="H38" s="168" t="s">
        <v>69</v>
      </c>
      <c r="I38" s="168" t="s">
        <v>69</v>
      </c>
      <c r="J38" s="168" t="s">
        <v>69</v>
      </c>
      <c r="K38" s="168" t="s">
        <v>69</v>
      </c>
      <c r="L38" s="168" t="s">
        <v>69</v>
      </c>
      <c r="M38" s="175" t="s">
        <v>108</v>
      </c>
      <c r="N38" s="134" t="s">
        <v>69</v>
      </c>
      <c r="O38" s="134" t="s">
        <v>69</v>
      </c>
      <c r="P38" s="134" t="s">
        <v>69</v>
      </c>
      <c r="Q38" s="134" t="s">
        <v>69</v>
      </c>
      <c r="R38" s="134" t="s">
        <v>69</v>
      </c>
      <c r="S38" s="134" t="s">
        <v>69</v>
      </c>
      <c r="T38" s="175" t="s">
        <v>108</v>
      </c>
      <c r="U38" s="168" t="s">
        <v>69</v>
      </c>
      <c r="V38" s="168" t="s">
        <v>69</v>
      </c>
      <c r="W38" s="168" t="s">
        <v>69</v>
      </c>
      <c r="X38" s="168" t="s">
        <v>69</v>
      </c>
      <c r="Y38" s="168" t="s">
        <v>69</v>
      </c>
      <c r="Z38" s="168" t="s">
        <v>69</v>
      </c>
      <c r="AA38" s="175" t="s">
        <v>108</v>
      </c>
      <c r="AB38" s="121" t="s">
        <v>72</v>
      </c>
      <c r="AC38" s="168" t="s">
        <v>69</v>
      </c>
      <c r="AD38" s="168" t="s">
        <v>69</v>
      </c>
      <c r="AE38" s="168" t="s">
        <v>69</v>
      </c>
      <c r="AF38" s="168" t="s">
        <v>69</v>
      </c>
      <c r="AG38" s="168" t="s">
        <v>69</v>
      </c>
      <c r="AH38" s="177" t="s">
        <v>108</v>
      </c>
      <c r="AI38" s="168" t="s">
        <v>69</v>
      </c>
      <c r="AJ38" s="119"/>
    </row>
    <row r="39" spans="1:36" ht="18">
      <c r="A39" s="5">
        <v>37</v>
      </c>
      <c r="B39" s="184" t="s">
        <v>143</v>
      </c>
      <c r="C39" s="168">
        <v>3</v>
      </c>
      <c r="D39" s="168">
        <v>3</v>
      </c>
      <c r="E39" s="168">
        <f t="shared" si="1"/>
        <v>0</v>
      </c>
      <c r="F39" s="194" t="s">
        <v>108</v>
      </c>
      <c r="G39" s="218" t="s">
        <v>72</v>
      </c>
      <c r="H39" s="131" t="s">
        <v>72</v>
      </c>
      <c r="I39" s="131" t="s">
        <v>72</v>
      </c>
      <c r="J39" s="168" t="s">
        <v>69</v>
      </c>
      <c r="K39" s="168" t="s">
        <v>69</v>
      </c>
      <c r="L39" s="168" t="s">
        <v>69</v>
      </c>
      <c r="M39" s="174" t="s">
        <v>108</v>
      </c>
      <c r="N39" s="134" t="s">
        <v>69</v>
      </c>
      <c r="O39" s="134" t="s">
        <v>69</v>
      </c>
      <c r="P39" s="134" t="s">
        <v>69</v>
      </c>
      <c r="Q39" s="134" t="s">
        <v>69</v>
      </c>
      <c r="R39" s="134" t="s">
        <v>69</v>
      </c>
      <c r="S39" s="134" t="s">
        <v>69</v>
      </c>
      <c r="T39" s="175" t="s">
        <v>108</v>
      </c>
      <c r="U39" s="168" t="s">
        <v>69</v>
      </c>
      <c r="V39" s="168" t="s">
        <v>69</v>
      </c>
      <c r="W39" s="168" t="s">
        <v>69</v>
      </c>
      <c r="X39" s="168" t="s">
        <v>69</v>
      </c>
      <c r="Y39" s="168" t="s">
        <v>69</v>
      </c>
      <c r="Z39" s="168" t="s">
        <v>69</v>
      </c>
      <c r="AA39" s="174" t="s">
        <v>108</v>
      </c>
      <c r="AB39" s="170" t="s">
        <v>69</v>
      </c>
      <c r="AC39" s="170" t="s">
        <v>69</v>
      </c>
      <c r="AD39" s="168" t="s">
        <v>69</v>
      </c>
      <c r="AE39" s="168" t="s">
        <v>69</v>
      </c>
      <c r="AF39" s="168" t="s">
        <v>69</v>
      </c>
      <c r="AG39" s="168" t="s">
        <v>69</v>
      </c>
      <c r="AH39" s="177" t="s">
        <v>108</v>
      </c>
      <c r="AI39" s="168" t="s">
        <v>69</v>
      </c>
      <c r="AJ39" s="119"/>
    </row>
    <row r="40" spans="1:36" ht="18">
      <c r="A40" s="5">
        <v>38</v>
      </c>
      <c r="B40" s="183" t="s">
        <v>38</v>
      </c>
      <c r="C40" s="168">
        <v>2</v>
      </c>
      <c r="D40" s="168">
        <v>0</v>
      </c>
      <c r="E40" s="168">
        <f t="shared" si="1"/>
        <v>2</v>
      </c>
      <c r="F40" s="194" t="s">
        <v>108</v>
      </c>
      <c r="G40" s="171" t="s">
        <v>69</v>
      </c>
      <c r="H40" s="168" t="s">
        <v>69</v>
      </c>
      <c r="I40" s="168" t="s">
        <v>69</v>
      </c>
      <c r="J40" s="168" t="s">
        <v>69</v>
      </c>
      <c r="K40" s="121" t="s">
        <v>72</v>
      </c>
      <c r="L40" s="121" t="s">
        <v>72</v>
      </c>
      <c r="M40" s="174" t="s">
        <v>108</v>
      </c>
      <c r="N40" s="168" t="s">
        <v>69</v>
      </c>
      <c r="O40" s="168" t="s">
        <v>69</v>
      </c>
      <c r="P40" s="168" t="s">
        <v>69</v>
      </c>
      <c r="Q40" s="168" t="s">
        <v>69</v>
      </c>
      <c r="R40" s="168" t="s">
        <v>69</v>
      </c>
      <c r="S40" s="168" t="s">
        <v>69</v>
      </c>
      <c r="T40" s="175" t="s">
        <v>108</v>
      </c>
      <c r="U40" s="168" t="s">
        <v>69</v>
      </c>
      <c r="V40" s="168" t="s">
        <v>69</v>
      </c>
      <c r="W40" s="168" t="s">
        <v>69</v>
      </c>
      <c r="X40" s="168" t="s">
        <v>69</v>
      </c>
      <c r="Y40" s="168" t="s">
        <v>69</v>
      </c>
      <c r="Z40" s="168" t="s">
        <v>69</v>
      </c>
      <c r="AA40" s="174" t="s">
        <v>108</v>
      </c>
      <c r="AB40" s="168" t="s">
        <v>69</v>
      </c>
      <c r="AC40" s="168" t="s">
        <v>69</v>
      </c>
      <c r="AD40" s="168" t="s">
        <v>69</v>
      </c>
      <c r="AE40" s="168" t="s">
        <v>69</v>
      </c>
      <c r="AF40" s="168" t="s">
        <v>69</v>
      </c>
      <c r="AG40" s="168" t="s">
        <v>69</v>
      </c>
      <c r="AH40" s="177" t="s">
        <v>108</v>
      </c>
      <c r="AI40" s="168" t="s">
        <v>69</v>
      </c>
      <c r="AJ40" s="119"/>
    </row>
    <row r="41" spans="1:36" ht="18">
      <c r="A41" s="5">
        <v>39</v>
      </c>
      <c r="B41" s="183" t="s">
        <v>39</v>
      </c>
      <c r="C41" s="168">
        <v>2</v>
      </c>
      <c r="D41" s="168">
        <v>0</v>
      </c>
      <c r="E41" s="168">
        <f t="shared" si="1"/>
        <v>2</v>
      </c>
      <c r="F41" s="174" t="s">
        <v>108</v>
      </c>
      <c r="G41" s="171" t="s">
        <v>69</v>
      </c>
      <c r="H41" s="168" t="s">
        <v>69</v>
      </c>
      <c r="I41" s="168" t="s">
        <v>69</v>
      </c>
      <c r="J41" s="168" t="s">
        <v>69</v>
      </c>
      <c r="K41" s="168" t="s">
        <v>69</v>
      </c>
      <c r="L41" s="168" t="s">
        <v>69</v>
      </c>
      <c r="M41" s="175" t="s">
        <v>108</v>
      </c>
      <c r="N41" s="168" t="s">
        <v>69</v>
      </c>
      <c r="O41" s="168" t="s">
        <v>69</v>
      </c>
      <c r="P41" s="168" t="s">
        <v>69</v>
      </c>
      <c r="Q41" s="168" t="s">
        <v>69</v>
      </c>
      <c r="R41" s="168" t="s">
        <v>69</v>
      </c>
      <c r="S41" s="168" t="s">
        <v>69</v>
      </c>
      <c r="T41" s="175" t="s">
        <v>108</v>
      </c>
      <c r="U41" s="168" t="s">
        <v>69</v>
      </c>
      <c r="V41" s="168" t="s">
        <v>69</v>
      </c>
      <c r="W41" s="168" t="s">
        <v>69</v>
      </c>
      <c r="X41" s="168" t="s">
        <v>69</v>
      </c>
      <c r="Y41" s="168" t="s">
        <v>69</v>
      </c>
      <c r="Z41" s="168" t="s">
        <v>69</v>
      </c>
      <c r="AA41" s="175" t="s">
        <v>108</v>
      </c>
      <c r="AB41" s="168" t="s">
        <v>69</v>
      </c>
      <c r="AC41" s="168" t="s">
        <v>69</v>
      </c>
      <c r="AD41" s="168" t="s">
        <v>69</v>
      </c>
      <c r="AE41" s="168" t="s">
        <v>69</v>
      </c>
      <c r="AF41" s="168" t="s">
        <v>69</v>
      </c>
      <c r="AG41" s="121" t="s">
        <v>72</v>
      </c>
      <c r="AH41" s="177" t="s">
        <v>108</v>
      </c>
      <c r="AI41" s="121" t="s">
        <v>72</v>
      </c>
      <c r="AJ41" s="119"/>
    </row>
    <row r="42" spans="1:36" ht="18">
      <c r="A42" s="5">
        <v>40</v>
      </c>
      <c r="B42" s="186" t="s">
        <v>101</v>
      </c>
      <c r="C42" s="168">
        <v>2</v>
      </c>
      <c r="D42" s="168">
        <v>1</v>
      </c>
      <c r="E42" s="168">
        <f t="shared" si="1"/>
        <v>1</v>
      </c>
      <c r="F42" s="194" t="s">
        <v>108</v>
      </c>
      <c r="G42" s="171" t="s">
        <v>69</v>
      </c>
      <c r="H42" s="168" t="s">
        <v>69</v>
      </c>
      <c r="I42" s="168" t="s">
        <v>69</v>
      </c>
      <c r="J42" s="168" t="s">
        <v>69</v>
      </c>
      <c r="K42" s="168" t="s">
        <v>69</v>
      </c>
      <c r="L42" s="168" t="s">
        <v>69</v>
      </c>
      <c r="M42" s="174" t="s">
        <v>108</v>
      </c>
      <c r="N42" s="168" t="s">
        <v>69</v>
      </c>
      <c r="O42" s="168" t="s">
        <v>69</v>
      </c>
      <c r="P42" s="168" t="s">
        <v>69</v>
      </c>
      <c r="Q42" s="121" t="s">
        <v>72</v>
      </c>
      <c r="R42" s="181" t="s">
        <v>92</v>
      </c>
      <c r="S42" s="134" t="s">
        <v>69</v>
      </c>
      <c r="T42" s="175" t="s">
        <v>108</v>
      </c>
      <c r="U42" s="168" t="s">
        <v>69</v>
      </c>
      <c r="V42" s="168" t="s">
        <v>69</v>
      </c>
      <c r="W42" s="168" t="s">
        <v>69</v>
      </c>
      <c r="X42" s="168" t="s">
        <v>69</v>
      </c>
      <c r="Y42" s="168" t="s">
        <v>69</v>
      </c>
      <c r="Z42" s="121" t="s">
        <v>72</v>
      </c>
      <c r="AA42" s="174" t="s">
        <v>108</v>
      </c>
      <c r="AB42" s="134" t="s">
        <v>69</v>
      </c>
      <c r="AC42" s="134" t="s">
        <v>69</v>
      </c>
      <c r="AD42" s="134" t="s">
        <v>69</v>
      </c>
      <c r="AE42" s="134" t="s">
        <v>69</v>
      </c>
      <c r="AF42" s="134" t="s">
        <v>69</v>
      </c>
      <c r="AG42" s="134" t="s">
        <v>69</v>
      </c>
      <c r="AH42" s="177" t="s">
        <v>108</v>
      </c>
      <c r="AI42" s="168" t="s">
        <v>69</v>
      </c>
      <c r="AJ42" s="119"/>
    </row>
    <row r="43" spans="1:36" ht="18">
      <c r="A43" s="5">
        <v>41</v>
      </c>
      <c r="B43" s="183" t="s">
        <v>40</v>
      </c>
      <c r="C43" s="168">
        <v>2</v>
      </c>
      <c r="D43" s="168">
        <v>0</v>
      </c>
      <c r="E43" s="168">
        <f t="shared" si="1"/>
        <v>2</v>
      </c>
      <c r="F43" s="174" t="s">
        <v>108</v>
      </c>
      <c r="G43" s="171" t="s">
        <v>69</v>
      </c>
      <c r="H43" s="168" t="s">
        <v>69</v>
      </c>
      <c r="I43" s="168" t="s">
        <v>69</v>
      </c>
      <c r="J43" s="147" t="s">
        <v>92</v>
      </c>
      <c r="K43" s="168" t="s">
        <v>69</v>
      </c>
      <c r="L43" s="168" t="s">
        <v>69</v>
      </c>
      <c r="M43" s="175" t="s">
        <v>108</v>
      </c>
      <c r="N43" s="168" t="s">
        <v>69</v>
      </c>
      <c r="O43" s="168" t="s">
        <v>69</v>
      </c>
      <c r="P43" s="168" t="s">
        <v>69</v>
      </c>
      <c r="Q43" s="168" t="s">
        <v>69</v>
      </c>
      <c r="R43" s="168" t="s">
        <v>69</v>
      </c>
      <c r="S43" s="168" t="s">
        <v>69</v>
      </c>
      <c r="T43" s="175" t="s">
        <v>108</v>
      </c>
      <c r="U43" s="168" t="s">
        <v>69</v>
      </c>
      <c r="V43" s="168" t="s">
        <v>69</v>
      </c>
      <c r="W43" s="168" t="s">
        <v>69</v>
      </c>
      <c r="X43" s="168" t="s">
        <v>69</v>
      </c>
      <c r="Y43" s="168" t="s">
        <v>69</v>
      </c>
      <c r="Z43" s="168" t="s">
        <v>69</v>
      </c>
      <c r="AA43" s="175" t="s">
        <v>108</v>
      </c>
      <c r="AB43" s="168" t="s">
        <v>69</v>
      </c>
      <c r="AC43" s="121" t="s">
        <v>72</v>
      </c>
      <c r="AD43" s="168" t="s">
        <v>69</v>
      </c>
      <c r="AE43" s="121" t="s">
        <v>72</v>
      </c>
      <c r="AF43" s="134" t="s">
        <v>69</v>
      </c>
      <c r="AG43" s="134" t="s">
        <v>69</v>
      </c>
      <c r="AH43" s="177" t="s">
        <v>108</v>
      </c>
      <c r="AI43" s="221" t="s">
        <v>92</v>
      </c>
      <c r="AJ43" s="162"/>
    </row>
    <row r="44" spans="1:36" ht="18">
      <c r="A44" s="5">
        <v>42</v>
      </c>
      <c r="B44" s="184" t="s">
        <v>41</v>
      </c>
      <c r="C44" s="168">
        <v>1</v>
      </c>
      <c r="D44" s="168">
        <v>0</v>
      </c>
      <c r="E44" s="168">
        <f t="shared" si="1"/>
        <v>1</v>
      </c>
      <c r="F44" s="194" t="s">
        <v>108</v>
      </c>
      <c r="G44" s="171" t="s">
        <v>69</v>
      </c>
      <c r="H44" s="168" t="s">
        <v>69</v>
      </c>
      <c r="I44" s="168" t="s">
        <v>69</v>
      </c>
      <c r="J44" s="168" t="s">
        <v>69</v>
      </c>
      <c r="K44" s="134" t="s">
        <v>69</v>
      </c>
      <c r="L44" s="134" t="s">
        <v>69</v>
      </c>
      <c r="M44" s="174" t="s">
        <v>108</v>
      </c>
      <c r="N44" s="134" t="s">
        <v>69</v>
      </c>
      <c r="O44" s="134" t="s">
        <v>69</v>
      </c>
      <c r="P44" s="134" t="s">
        <v>69</v>
      </c>
      <c r="Q44" s="134" t="s">
        <v>69</v>
      </c>
      <c r="R44" s="134" t="s">
        <v>69</v>
      </c>
      <c r="S44" s="134" t="s">
        <v>69</v>
      </c>
      <c r="T44" s="175" t="s">
        <v>108</v>
      </c>
      <c r="U44" s="168" t="s">
        <v>69</v>
      </c>
      <c r="V44" s="168" t="s">
        <v>69</v>
      </c>
      <c r="W44" s="168" t="s">
        <v>69</v>
      </c>
      <c r="X44" s="168" t="s">
        <v>69</v>
      </c>
      <c r="Y44" s="168" t="s">
        <v>69</v>
      </c>
      <c r="Z44" s="168" t="s">
        <v>69</v>
      </c>
      <c r="AA44" s="174" t="s">
        <v>108</v>
      </c>
      <c r="AB44" s="168" t="s">
        <v>69</v>
      </c>
      <c r="AC44" s="168" t="s">
        <v>69</v>
      </c>
      <c r="AD44" s="168" t="s">
        <v>69</v>
      </c>
      <c r="AE44" s="168" t="s">
        <v>69</v>
      </c>
      <c r="AF44" s="168" t="s">
        <v>69</v>
      </c>
      <c r="AG44" s="121" t="s">
        <v>72</v>
      </c>
      <c r="AH44" s="177" t="s">
        <v>108</v>
      </c>
      <c r="AI44" s="134" t="s">
        <v>69</v>
      </c>
      <c r="AJ44" s="161"/>
    </row>
    <row r="45" spans="1:36" ht="18">
      <c r="A45" s="5">
        <v>43</v>
      </c>
      <c r="B45" s="183" t="s">
        <v>42</v>
      </c>
      <c r="C45" s="168">
        <v>2</v>
      </c>
      <c r="D45" s="168">
        <v>0</v>
      </c>
      <c r="E45" s="168">
        <f t="shared" si="1"/>
        <v>2</v>
      </c>
      <c r="F45" s="174" t="s">
        <v>108</v>
      </c>
      <c r="G45" s="171" t="s">
        <v>69</v>
      </c>
      <c r="H45" s="168" t="s">
        <v>69</v>
      </c>
      <c r="I45" s="168" t="s">
        <v>69</v>
      </c>
      <c r="J45" s="168" t="s">
        <v>69</v>
      </c>
      <c r="K45" s="168" t="s">
        <v>69</v>
      </c>
      <c r="L45" s="168" t="s">
        <v>69</v>
      </c>
      <c r="M45" s="175" t="s">
        <v>108</v>
      </c>
      <c r="N45" s="134" t="s">
        <v>69</v>
      </c>
      <c r="O45" s="134" t="s">
        <v>69</v>
      </c>
      <c r="P45" s="134" t="s">
        <v>69</v>
      </c>
      <c r="Q45" s="134" t="s">
        <v>69</v>
      </c>
      <c r="R45" s="134" t="s">
        <v>69</v>
      </c>
      <c r="S45" s="134" t="s">
        <v>69</v>
      </c>
      <c r="T45" s="175" t="s">
        <v>108</v>
      </c>
      <c r="U45" s="121" t="s">
        <v>72</v>
      </c>
      <c r="V45" s="168" t="s">
        <v>69</v>
      </c>
      <c r="W45" s="168" t="s">
        <v>69</v>
      </c>
      <c r="X45" s="168" t="s">
        <v>69</v>
      </c>
      <c r="Y45" s="168" t="s">
        <v>69</v>
      </c>
      <c r="Z45" s="168" t="s">
        <v>69</v>
      </c>
      <c r="AA45" s="175" t="s">
        <v>108</v>
      </c>
      <c r="AB45" s="134" t="s">
        <v>69</v>
      </c>
      <c r="AC45" s="134" t="s">
        <v>69</v>
      </c>
      <c r="AD45" s="121" t="s">
        <v>72</v>
      </c>
      <c r="AE45" s="134" t="s">
        <v>69</v>
      </c>
      <c r="AF45" s="134" t="s">
        <v>69</v>
      </c>
      <c r="AG45" s="134" t="s">
        <v>69</v>
      </c>
      <c r="AH45" s="177" t="s">
        <v>108</v>
      </c>
      <c r="AI45" s="168" t="s">
        <v>69</v>
      </c>
      <c r="AJ45" s="119"/>
    </row>
    <row r="46" spans="1:36" ht="18">
      <c r="A46" s="5">
        <v>44</v>
      </c>
      <c r="B46" s="184" t="s">
        <v>44</v>
      </c>
      <c r="C46" s="168">
        <v>4</v>
      </c>
      <c r="D46" s="168">
        <v>3</v>
      </c>
      <c r="E46" s="168">
        <f t="shared" si="1"/>
        <v>1</v>
      </c>
      <c r="F46" s="194" t="s">
        <v>108</v>
      </c>
      <c r="G46" s="207" t="s">
        <v>69</v>
      </c>
      <c r="H46" s="134" t="s">
        <v>69</v>
      </c>
      <c r="I46" s="134" t="s">
        <v>69</v>
      </c>
      <c r="J46" s="134" t="s">
        <v>69</v>
      </c>
      <c r="K46" s="134" t="s">
        <v>69</v>
      </c>
      <c r="L46" s="121" t="s">
        <v>72</v>
      </c>
      <c r="M46" s="174" t="s">
        <v>108</v>
      </c>
      <c r="N46" s="134" t="s">
        <v>69</v>
      </c>
      <c r="O46" s="134" t="s">
        <v>69</v>
      </c>
      <c r="P46" s="134" t="s">
        <v>69</v>
      </c>
      <c r="Q46" s="134" t="s">
        <v>69</v>
      </c>
      <c r="R46" s="121" t="s">
        <v>72</v>
      </c>
      <c r="S46" s="134" t="s">
        <v>69</v>
      </c>
      <c r="T46" s="175" t="s">
        <v>108</v>
      </c>
      <c r="U46" s="121" t="s">
        <v>72</v>
      </c>
      <c r="V46" s="168" t="s">
        <v>69</v>
      </c>
      <c r="W46" s="168" t="s">
        <v>69</v>
      </c>
      <c r="X46" s="168" t="s">
        <v>69</v>
      </c>
      <c r="Y46" s="168" t="s">
        <v>69</v>
      </c>
      <c r="Z46" s="168" t="s">
        <v>69</v>
      </c>
      <c r="AA46" s="174" t="s">
        <v>108</v>
      </c>
      <c r="AB46" s="121" t="s">
        <v>72</v>
      </c>
      <c r="AC46" s="168" t="s">
        <v>69</v>
      </c>
      <c r="AD46" s="168" t="s">
        <v>69</v>
      </c>
      <c r="AE46" s="168" t="s">
        <v>69</v>
      </c>
      <c r="AF46" s="168" t="s">
        <v>69</v>
      </c>
      <c r="AG46" s="168" t="s">
        <v>69</v>
      </c>
      <c r="AH46" s="177" t="s">
        <v>108</v>
      </c>
      <c r="AI46" s="168" t="s">
        <v>69</v>
      </c>
      <c r="AJ46" s="161"/>
    </row>
    <row r="47" spans="1:36" ht="18">
      <c r="A47" s="5">
        <v>45</v>
      </c>
      <c r="B47" s="224" t="s">
        <v>144</v>
      </c>
      <c r="C47" s="168"/>
      <c r="D47" s="168"/>
      <c r="E47" s="168">
        <f t="shared" ref="E47:E78" si="2">C47-D47</f>
        <v>0</v>
      </c>
      <c r="F47" s="174" t="s">
        <v>108</v>
      </c>
      <c r="G47" s="144" t="s">
        <v>72</v>
      </c>
      <c r="H47" s="121" t="s">
        <v>72</v>
      </c>
      <c r="I47" s="121" t="s">
        <v>72</v>
      </c>
      <c r="J47" s="121" t="s">
        <v>72</v>
      </c>
      <c r="K47" s="121" t="s">
        <v>72</v>
      </c>
      <c r="L47" s="121" t="s">
        <v>72</v>
      </c>
      <c r="M47" s="175" t="s">
        <v>108</v>
      </c>
      <c r="N47" s="121" t="s">
        <v>72</v>
      </c>
      <c r="O47" s="121" t="s">
        <v>72</v>
      </c>
      <c r="P47" s="121" t="s">
        <v>72</v>
      </c>
      <c r="Q47" s="121" t="s">
        <v>72</v>
      </c>
      <c r="R47" s="121" t="s">
        <v>72</v>
      </c>
      <c r="S47" s="121" t="s">
        <v>72</v>
      </c>
      <c r="T47" s="175" t="s">
        <v>108</v>
      </c>
      <c r="U47" s="121" t="s">
        <v>72</v>
      </c>
      <c r="V47" s="121" t="s">
        <v>72</v>
      </c>
      <c r="W47" s="121" t="s">
        <v>72</v>
      </c>
      <c r="X47" s="121" t="s">
        <v>72</v>
      </c>
      <c r="Y47" s="121" t="s">
        <v>72</v>
      </c>
      <c r="Z47" s="121" t="s">
        <v>72</v>
      </c>
      <c r="AA47" s="175" t="s">
        <v>108</v>
      </c>
      <c r="AB47" s="121" t="s">
        <v>72</v>
      </c>
      <c r="AC47" s="121" t="s">
        <v>72</v>
      </c>
      <c r="AD47" s="131" t="s">
        <v>76</v>
      </c>
      <c r="AE47" s="131" t="s">
        <v>76</v>
      </c>
      <c r="AF47" s="131" t="s">
        <v>76</v>
      </c>
      <c r="AG47" s="131" t="s">
        <v>76</v>
      </c>
      <c r="AH47" s="177" t="s">
        <v>108</v>
      </c>
      <c r="AI47" s="121" t="s">
        <v>76</v>
      </c>
      <c r="AJ47" s="161"/>
    </row>
    <row r="48" spans="1:36" ht="18">
      <c r="A48" s="5">
        <v>46</v>
      </c>
      <c r="B48" s="183" t="s">
        <v>47</v>
      </c>
      <c r="C48" s="168">
        <v>8</v>
      </c>
      <c r="D48" s="168">
        <v>6.5</v>
      </c>
      <c r="E48" s="168">
        <f t="shared" si="2"/>
        <v>1.5</v>
      </c>
      <c r="F48" s="194" t="s">
        <v>108</v>
      </c>
      <c r="G48" s="171" t="s">
        <v>69</v>
      </c>
      <c r="H48" s="168" t="s">
        <v>69</v>
      </c>
      <c r="I48" s="168" t="s">
        <v>69</v>
      </c>
      <c r="J48" s="168" t="s">
        <v>69</v>
      </c>
      <c r="K48" s="168" t="s">
        <v>69</v>
      </c>
      <c r="L48" s="168" t="s">
        <v>69</v>
      </c>
      <c r="M48" s="174" t="s">
        <v>108</v>
      </c>
      <c r="N48" s="132" t="s">
        <v>94</v>
      </c>
      <c r="O48" s="168" t="s">
        <v>69</v>
      </c>
      <c r="P48" s="168" t="s">
        <v>69</v>
      </c>
      <c r="Q48" s="121" t="s">
        <v>72</v>
      </c>
      <c r="R48" s="121" t="s">
        <v>72</v>
      </c>
      <c r="S48" s="121" t="s">
        <v>72</v>
      </c>
      <c r="T48" s="175" t="s">
        <v>108</v>
      </c>
      <c r="U48" s="131" t="s">
        <v>72</v>
      </c>
      <c r="V48" s="131" t="s">
        <v>72</v>
      </c>
      <c r="W48" s="131" t="s">
        <v>72</v>
      </c>
      <c r="X48" s="168" t="s">
        <v>69</v>
      </c>
      <c r="Y48" s="168" t="s">
        <v>69</v>
      </c>
      <c r="Z48" s="168" t="s">
        <v>69</v>
      </c>
      <c r="AA48" s="174" t="s">
        <v>108</v>
      </c>
      <c r="AB48" s="168" t="s">
        <v>69</v>
      </c>
      <c r="AC48" s="168" t="s">
        <v>69</v>
      </c>
      <c r="AD48" s="121" t="s">
        <v>72</v>
      </c>
      <c r="AE48" s="121" t="s">
        <v>72</v>
      </c>
      <c r="AF48" s="134" t="s">
        <v>69</v>
      </c>
      <c r="AG48" s="134" t="s">
        <v>69</v>
      </c>
      <c r="AH48" s="177" t="s">
        <v>108</v>
      </c>
      <c r="AI48" s="168" t="s">
        <v>69</v>
      </c>
      <c r="AJ48" s="119"/>
    </row>
    <row r="49" spans="1:36" ht="18">
      <c r="A49" s="5">
        <v>47</v>
      </c>
      <c r="B49" s="183" t="s">
        <v>48</v>
      </c>
      <c r="C49" s="168">
        <v>6</v>
      </c>
      <c r="D49" s="168">
        <v>0</v>
      </c>
      <c r="E49" s="168">
        <f t="shared" si="2"/>
        <v>6</v>
      </c>
      <c r="F49" s="174" t="s">
        <v>108</v>
      </c>
      <c r="G49" s="218" t="s">
        <v>72</v>
      </c>
      <c r="H49" s="131" t="s">
        <v>72</v>
      </c>
      <c r="I49" s="168" t="s">
        <v>69</v>
      </c>
      <c r="J49" s="168" t="s">
        <v>69</v>
      </c>
      <c r="K49" s="168" t="s">
        <v>69</v>
      </c>
      <c r="L49" s="168" t="s">
        <v>69</v>
      </c>
      <c r="M49" s="175" t="s">
        <v>108</v>
      </c>
      <c r="N49" s="168" t="s">
        <v>69</v>
      </c>
      <c r="O49" s="168" t="s">
        <v>69</v>
      </c>
      <c r="P49" s="168" t="s">
        <v>69</v>
      </c>
      <c r="Q49" s="168" t="s">
        <v>69</v>
      </c>
      <c r="R49" s="168" t="s">
        <v>69</v>
      </c>
      <c r="S49" s="121" t="s">
        <v>72</v>
      </c>
      <c r="T49" s="175" t="s">
        <v>108</v>
      </c>
      <c r="U49" s="131" t="s">
        <v>72</v>
      </c>
      <c r="V49" s="131" t="s">
        <v>72</v>
      </c>
      <c r="W49" s="131" t="s">
        <v>72</v>
      </c>
      <c r="X49" s="168" t="s">
        <v>69</v>
      </c>
      <c r="Y49" s="168" t="s">
        <v>69</v>
      </c>
      <c r="Z49" s="168" t="s">
        <v>69</v>
      </c>
      <c r="AA49" s="175" t="s">
        <v>108</v>
      </c>
      <c r="AB49" s="168" t="s">
        <v>69</v>
      </c>
      <c r="AC49" s="168" t="s">
        <v>69</v>
      </c>
      <c r="AD49" s="168" t="s">
        <v>69</v>
      </c>
      <c r="AE49" s="168" t="s">
        <v>69</v>
      </c>
      <c r="AF49" s="168" t="s">
        <v>69</v>
      </c>
      <c r="AG49" s="168" t="s">
        <v>69</v>
      </c>
      <c r="AH49" s="177" t="s">
        <v>108</v>
      </c>
      <c r="AI49" s="168" t="s">
        <v>69</v>
      </c>
      <c r="AJ49" s="119"/>
    </row>
    <row r="50" spans="1:36" ht="18">
      <c r="A50" s="5">
        <v>48</v>
      </c>
      <c r="B50" s="187" t="s">
        <v>49</v>
      </c>
      <c r="C50" s="168">
        <v>6</v>
      </c>
      <c r="D50" s="168">
        <v>0</v>
      </c>
      <c r="E50" s="168">
        <f t="shared" si="2"/>
        <v>6</v>
      </c>
      <c r="F50" s="194" t="s">
        <v>108</v>
      </c>
      <c r="G50" s="171" t="s">
        <v>69</v>
      </c>
      <c r="H50" s="168" t="s">
        <v>69</v>
      </c>
      <c r="I50" s="168" t="s">
        <v>69</v>
      </c>
      <c r="J50" s="168" t="s">
        <v>69</v>
      </c>
      <c r="K50" s="147" t="s">
        <v>92</v>
      </c>
      <c r="L50" s="168" t="s">
        <v>69</v>
      </c>
      <c r="M50" s="174" t="s">
        <v>108</v>
      </c>
      <c r="N50" s="132" t="s">
        <v>94</v>
      </c>
      <c r="O50" s="121" t="s">
        <v>72</v>
      </c>
      <c r="P50" s="168" t="s">
        <v>69</v>
      </c>
      <c r="Q50" s="168" t="s">
        <v>69</v>
      </c>
      <c r="R50" s="168" t="s">
        <v>69</v>
      </c>
      <c r="S50" s="168" t="s">
        <v>69</v>
      </c>
      <c r="T50" s="175" t="s">
        <v>108</v>
      </c>
      <c r="U50" s="168" t="s">
        <v>69</v>
      </c>
      <c r="V50" s="168" t="s">
        <v>69</v>
      </c>
      <c r="W50" s="168" t="s">
        <v>69</v>
      </c>
      <c r="X50" s="130" t="s">
        <v>92</v>
      </c>
      <c r="Y50" s="121" t="s">
        <v>72</v>
      </c>
      <c r="Z50" s="132" t="s">
        <v>94</v>
      </c>
      <c r="AA50" s="174" t="s">
        <v>108</v>
      </c>
      <c r="AB50" s="168" t="s">
        <v>69</v>
      </c>
      <c r="AC50" s="168" t="s">
        <v>69</v>
      </c>
      <c r="AD50" s="168" t="s">
        <v>69</v>
      </c>
      <c r="AE50" s="121" t="s">
        <v>72</v>
      </c>
      <c r="AF50" s="121" t="s">
        <v>72</v>
      </c>
      <c r="AG50" s="121" t="s">
        <v>72</v>
      </c>
      <c r="AH50" s="177" t="s">
        <v>108</v>
      </c>
      <c r="AI50" s="168" t="s">
        <v>69</v>
      </c>
      <c r="AJ50" s="119"/>
    </row>
    <row r="51" spans="1:36" ht="18">
      <c r="A51" s="5">
        <v>49</v>
      </c>
      <c r="B51" s="183" t="s">
        <v>50</v>
      </c>
      <c r="C51" s="168">
        <v>1</v>
      </c>
      <c r="D51" s="168">
        <v>0</v>
      </c>
      <c r="E51" s="168">
        <f t="shared" si="2"/>
        <v>1</v>
      </c>
      <c r="F51" s="174" t="s">
        <v>108</v>
      </c>
      <c r="G51" s="171" t="s">
        <v>69</v>
      </c>
      <c r="H51" s="168" t="s">
        <v>69</v>
      </c>
      <c r="I51" s="168" t="s">
        <v>69</v>
      </c>
      <c r="J51" s="168" t="s">
        <v>69</v>
      </c>
      <c r="K51" s="168" t="s">
        <v>69</v>
      </c>
      <c r="L51" s="168" t="s">
        <v>69</v>
      </c>
      <c r="M51" s="175" t="s">
        <v>108</v>
      </c>
      <c r="N51" s="168" t="s">
        <v>69</v>
      </c>
      <c r="O51" s="168" t="s">
        <v>69</v>
      </c>
      <c r="P51" s="168" t="s">
        <v>69</v>
      </c>
      <c r="Q51" s="168" t="s">
        <v>69</v>
      </c>
      <c r="R51" s="168" t="s">
        <v>69</v>
      </c>
      <c r="S51" s="168" t="s">
        <v>69</v>
      </c>
      <c r="T51" s="175" t="s">
        <v>108</v>
      </c>
      <c r="U51" s="168" t="s">
        <v>69</v>
      </c>
      <c r="V51" s="168" t="s">
        <v>69</v>
      </c>
      <c r="W51" s="168" t="s">
        <v>69</v>
      </c>
      <c r="X51" s="168" t="s">
        <v>69</v>
      </c>
      <c r="Y51" s="168" t="s">
        <v>69</v>
      </c>
      <c r="Z51" s="168" t="s">
        <v>69</v>
      </c>
      <c r="AA51" s="175" t="s">
        <v>108</v>
      </c>
      <c r="AB51" s="121" t="s">
        <v>72</v>
      </c>
      <c r="AC51" s="168" t="s">
        <v>69</v>
      </c>
      <c r="AD51" s="168" t="s">
        <v>69</v>
      </c>
      <c r="AE51" s="168" t="s">
        <v>69</v>
      </c>
      <c r="AF51" s="168" t="s">
        <v>69</v>
      </c>
      <c r="AG51" s="168" t="s">
        <v>69</v>
      </c>
      <c r="AH51" s="177" t="s">
        <v>108</v>
      </c>
      <c r="AI51" s="168" t="s">
        <v>69</v>
      </c>
      <c r="AJ51" s="119"/>
    </row>
    <row r="52" spans="1:36" ht="18">
      <c r="A52" s="5">
        <v>50</v>
      </c>
      <c r="B52" s="186" t="s">
        <v>104</v>
      </c>
      <c r="C52" s="168">
        <v>1</v>
      </c>
      <c r="D52" s="168">
        <v>0</v>
      </c>
      <c r="E52" s="168">
        <f t="shared" si="2"/>
        <v>1</v>
      </c>
      <c r="F52" s="194" t="s">
        <v>108</v>
      </c>
      <c r="G52" s="171" t="s">
        <v>69</v>
      </c>
      <c r="H52" s="168" t="s">
        <v>69</v>
      </c>
      <c r="I52" s="168" t="s">
        <v>69</v>
      </c>
      <c r="J52" s="168" t="s">
        <v>69</v>
      </c>
      <c r="K52" s="168" t="s">
        <v>69</v>
      </c>
      <c r="L52" s="168" t="s">
        <v>69</v>
      </c>
      <c r="M52" s="174" t="s">
        <v>108</v>
      </c>
      <c r="N52" s="168" t="s">
        <v>69</v>
      </c>
      <c r="O52" s="168" t="s">
        <v>69</v>
      </c>
      <c r="P52" s="168" t="s">
        <v>69</v>
      </c>
      <c r="Q52" s="168" t="s">
        <v>69</v>
      </c>
      <c r="R52" s="168" t="s">
        <v>69</v>
      </c>
      <c r="S52" s="168" t="s">
        <v>69</v>
      </c>
      <c r="T52" s="175" t="s">
        <v>108</v>
      </c>
      <c r="U52" s="168" t="s">
        <v>69</v>
      </c>
      <c r="V52" s="168" t="s">
        <v>69</v>
      </c>
      <c r="W52" s="168" t="s">
        <v>69</v>
      </c>
      <c r="X52" s="168" t="s">
        <v>69</v>
      </c>
      <c r="Y52" s="168" t="s">
        <v>69</v>
      </c>
      <c r="Z52" s="168" t="s">
        <v>69</v>
      </c>
      <c r="AA52" s="174" t="s">
        <v>108</v>
      </c>
      <c r="AB52" s="168" t="s">
        <v>69</v>
      </c>
      <c r="AC52" s="153" t="s">
        <v>72</v>
      </c>
      <c r="AD52" s="104" t="s">
        <v>69</v>
      </c>
      <c r="AE52" s="104" t="s">
        <v>69</v>
      </c>
      <c r="AF52" s="104" t="s">
        <v>69</v>
      </c>
      <c r="AG52" s="104" t="s">
        <v>69</v>
      </c>
      <c r="AH52" s="177" t="s">
        <v>108</v>
      </c>
      <c r="AI52" s="134" t="s">
        <v>69</v>
      </c>
      <c r="AJ52" s="119"/>
    </row>
    <row r="53" spans="1:36" ht="18">
      <c r="A53" s="5">
        <v>51</v>
      </c>
      <c r="B53" s="225" t="s">
        <v>145</v>
      </c>
      <c r="C53" s="168"/>
      <c r="D53" s="168"/>
      <c r="E53" s="168">
        <f t="shared" si="2"/>
        <v>0</v>
      </c>
      <c r="F53" s="194" t="s">
        <v>108</v>
      </c>
      <c r="G53" s="218" t="s">
        <v>72</v>
      </c>
      <c r="H53" s="131" t="s">
        <v>72</v>
      </c>
      <c r="I53" s="131" t="s">
        <v>72</v>
      </c>
      <c r="J53" s="131" t="s">
        <v>72</v>
      </c>
      <c r="K53" s="131" t="s">
        <v>72</v>
      </c>
      <c r="L53" s="131" t="s">
        <v>72</v>
      </c>
      <c r="M53" s="175" t="s">
        <v>108</v>
      </c>
      <c r="N53" s="131" t="s">
        <v>72</v>
      </c>
      <c r="O53" s="131" t="s">
        <v>72</v>
      </c>
      <c r="P53" s="131" t="s">
        <v>72</v>
      </c>
      <c r="Q53" s="131" t="s">
        <v>72</v>
      </c>
      <c r="R53" s="131" t="s">
        <v>72</v>
      </c>
      <c r="S53" s="131" t="s">
        <v>72</v>
      </c>
      <c r="T53" s="175" t="s">
        <v>108</v>
      </c>
      <c r="U53" s="168" t="s">
        <v>69</v>
      </c>
      <c r="V53" s="168" t="s">
        <v>69</v>
      </c>
      <c r="W53" s="168" t="s">
        <v>69</v>
      </c>
      <c r="X53" s="168" t="s">
        <v>69</v>
      </c>
      <c r="Y53" s="168" t="s">
        <v>69</v>
      </c>
      <c r="Z53" s="168" t="s">
        <v>69</v>
      </c>
      <c r="AA53" s="175" t="s">
        <v>108</v>
      </c>
      <c r="AB53" s="132" t="s">
        <v>94</v>
      </c>
      <c r="AC53" s="153" t="s">
        <v>72</v>
      </c>
      <c r="AD53" s="153" t="s">
        <v>72</v>
      </c>
      <c r="AE53" s="153" t="s">
        <v>72</v>
      </c>
      <c r="AF53" s="121" t="s">
        <v>76</v>
      </c>
      <c r="AG53" s="121" t="s">
        <v>76</v>
      </c>
      <c r="AH53" s="177" t="s">
        <v>108</v>
      </c>
      <c r="AI53" s="121" t="s">
        <v>76</v>
      </c>
      <c r="AJ53" s="119"/>
    </row>
    <row r="54" spans="1:36" ht="18">
      <c r="A54" s="5">
        <v>52</v>
      </c>
      <c r="B54" s="183" t="s">
        <v>52</v>
      </c>
      <c r="C54" s="168">
        <v>3</v>
      </c>
      <c r="D54" s="168">
        <v>0</v>
      </c>
      <c r="E54" s="168">
        <f t="shared" si="2"/>
        <v>3</v>
      </c>
      <c r="F54" s="174" t="s">
        <v>108</v>
      </c>
      <c r="G54" s="171" t="s">
        <v>69</v>
      </c>
      <c r="H54" s="168" t="s">
        <v>69</v>
      </c>
      <c r="I54" s="121" t="s">
        <v>72</v>
      </c>
      <c r="J54" s="168" t="s">
        <v>69</v>
      </c>
      <c r="K54" s="168" t="s">
        <v>69</v>
      </c>
      <c r="L54" s="121" t="s">
        <v>72</v>
      </c>
      <c r="M54" s="175" t="s">
        <v>108</v>
      </c>
      <c r="N54" s="168" t="s">
        <v>69</v>
      </c>
      <c r="O54" s="168" t="s">
        <v>69</v>
      </c>
      <c r="P54" s="168" t="s">
        <v>69</v>
      </c>
      <c r="Q54" s="168" t="s">
        <v>69</v>
      </c>
      <c r="R54" s="168" t="s">
        <v>69</v>
      </c>
      <c r="S54" s="168" t="s">
        <v>69</v>
      </c>
      <c r="T54" s="175" t="s">
        <v>108</v>
      </c>
      <c r="U54" s="168" t="s">
        <v>69</v>
      </c>
      <c r="V54" s="168" t="s">
        <v>69</v>
      </c>
      <c r="W54" s="168" t="s">
        <v>69</v>
      </c>
      <c r="X54" s="168" t="s">
        <v>69</v>
      </c>
      <c r="Y54" s="168" t="s">
        <v>69</v>
      </c>
      <c r="Z54" s="168" t="s">
        <v>69</v>
      </c>
      <c r="AA54" s="175" t="s">
        <v>108</v>
      </c>
      <c r="AB54" s="168" t="s">
        <v>69</v>
      </c>
      <c r="AC54" s="168" t="s">
        <v>69</v>
      </c>
      <c r="AD54" s="168" t="s">
        <v>69</v>
      </c>
      <c r="AE54" s="168" t="s">
        <v>69</v>
      </c>
      <c r="AF54" s="121" t="s">
        <v>72</v>
      </c>
      <c r="AG54" s="168" t="s">
        <v>69</v>
      </c>
      <c r="AH54" s="177" t="s">
        <v>108</v>
      </c>
      <c r="AI54" s="168" t="s">
        <v>69</v>
      </c>
      <c r="AJ54" s="119"/>
    </row>
    <row r="55" spans="1:36" ht="18">
      <c r="A55" s="5">
        <v>53</v>
      </c>
      <c r="B55" s="183" t="s">
        <v>53</v>
      </c>
      <c r="C55" s="168">
        <v>3.5</v>
      </c>
      <c r="D55" s="168">
        <v>0</v>
      </c>
      <c r="E55" s="168">
        <f t="shared" si="2"/>
        <v>3.5</v>
      </c>
      <c r="F55" s="194" t="s">
        <v>108</v>
      </c>
      <c r="G55" s="171" t="s">
        <v>69</v>
      </c>
      <c r="H55" s="168" t="s">
        <v>69</v>
      </c>
      <c r="I55" s="168" t="s">
        <v>69</v>
      </c>
      <c r="J55" s="132" t="s">
        <v>94</v>
      </c>
      <c r="K55" s="121" t="s">
        <v>72</v>
      </c>
      <c r="L55" s="121" t="s">
        <v>72</v>
      </c>
      <c r="M55" s="174" t="s">
        <v>108</v>
      </c>
      <c r="N55" s="168" t="s">
        <v>69</v>
      </c>
      <c r="O55" s="168" t="s">
        <v>69</v>
      </c>
      <c r="P55" s="168" t="s">
        <v>69</v>
      </c>
      <c r="Q55" s="168" t="s">
        <v>69</v>
      </c>
      <c r="R55" s="168" t="s">
        <v>69</v>
      </c>
      <c r="S55" s="168" t="s">
        <v>69</v>
      </c>
      <c r="T55" s="175" t="s">
        <v>108</v>
      </c>
      <c r="U55" s="168" t="s">
        <v>69</v>
      </c>
      <c r="V55" s="168" t="s">
        <v>69</v>
      </c>
      <c r="W55" s="168" t="s">
        <v>69</v>
      </c>
      <c r="X55" s="168" t="s">
        <v>69</v>
      </c>
      <c r="Y55" s="168" t="s">
        <v>69</v>
      </c>
      <c r="Z55" s="168" t="s">
        <v>69</v>
      </c>
      <c r="AA55" s="174" t="s">
        <v>108</v>
      </c>
      <c r="AB55" s="168" t="s">
        <v>69</v>
      </c>
      <c r="AC55" s="168" t="s">
        <v>69</v>
      </c>
      <c r="AD55" s="168" t="s">
        <v>69</v>
      </c>
      <c r="AE55" s="168" t="s">
        <v>69</v>
      </c>
      <c r="AF55" s="121" t="s">
        <v>72</v>
      </c>
      <c r="AG55" s="168" t="s">
        <v>69</v>
      </c>
      <c r="AH55" s="177" t="s">
        <v>108</v>
      </c>
      <c r="AI55" s="168" t="s">
        <v>69</v>
      </c>
      <c r="AJ55" s="119"/>
    </row>
    <row r="56" spans="1:36" ht="18">
      <c r="A56" s="5">
        <v>54</v>
      </c>
      <c r="B56" s="183" t="s">
        <v>146</v>
      </c>
      <c r="C56" s="168">
        <v>14.5</v>
      </c>
      <c r="D56" s="168">
        <v>14.5</v>
      </c>
      <c r="E56" s="168">
        <f t="shared" si="2"/>
        <v>0</v>
      </c>
      <c r="F56" s="174" t="s">
        <v>108</v>
      </c>
      <c r="G56" s="218" t="s">
        <v>72</v>
      </c>
      <c r="H56" s="131" t="s">
        <v>72</v>
      </c>
      <c r="I56" s="131" t="s">
        <v>72</v>
      </c>
      <c r="J56" s="131" t="s">
        <v>72</v>
      </c>
      <c r="K56" s="131" t="s">
        <v>72</v>
      </c>
      <c r="L56" s="131" t="s">
        <v>72</v>
      </c>
      <c r="M56" s="175" t="s">
        <v>108</v>
      </c>
      <c r="N56" s="131" t="s">
        <v>72</v>
      </c>
      <c r="O56" s="131" t="s">
        <v>72</v>
      </c>
      <c r="P56" s="121" t="s">
        <v>72</v>
      </c>
      <c r="Q56" s="168" t="s">
        <v>69</v>
      </c>
      <c r="R56" s="168" t="s">
        <v>69</v>
      </c>
      <c r="S56" s="168" t="s">
        <v>69</v>
      </c>
      <c r="T56" s="175" t="s">
        <v>108</v>
      </c>
      <c r="U56" s="168" t="s">
        <v>69</v>
      </c>
      <c r="V56" s="168" t="s">
        <v>69</v>
      </c>
      <c r="W56" s="168" t="s">
        <v>69</v>
      </c>
      <c r="X56" s="168" t="s">
        <v>69</v>
      </c>
      <c r="Y56" s="130" t="s">
        <v>92</v>
      </c>
      <c r="Z56" s="168" t="s">
        <v>69</v>
      </c>
      <c r="AA56" s="175" t="s">
        <v>108</v>
      </c>
      <c r="AB56" s="168" t="s">
        <v>69</v>
      </c>
      <c r="AC56" s="168" t="s">
        <v>69</v>
      </c>
      <c r="AD56" s="191" t="s">
        <v>94</v>
      </c>
      <c r="AE56" s="139" t="s">
        <v>92</v>
      </c>
      <c r="AF56" s="121" t="s">
        <v>72</v>
      </c>
      <c r="AG56" s="121" t="s">
        <v>72</v>
      </c>
      <c r="AH56" s="177" t="s">
        <v>108</v>
      </c>
      <c r="AI56" s="121" t="s">
        <v>72</v>
      </c>
      <c r="AJ56" s="119"/>
    </row>
    <row r="57" spans="1:36" ht="18">
      <c r="A57" s="5">
        <v>55</v>
      </c>
      <c r="B57" s="183" t="s">
        <v>55</v>
      </c>
      <c r="C57" s="168">
        <v>0</v>
      </c>
      <c r="D57" s="168">
        <v>0</v>
      </c>
      <c r="E57" s="168">
        <f t="shared" si="2"/>
        <v>0</v>
      </c>
      <c r="F57" s="174" t="s">
        <v>108</v>
      </c>
      <c r="G57" s="171" t="s">
        <v>69</v>
      </c>
      <c r="H57" s="168" t="s">
        <v>69</v>
      </c>
      <c r="I57" s="168" t="s">
        <v>69</v>
      </c>
      <c r="J57" s="168" t="s">
        <v>69</v>
      </c>
      <c r="K57" s="168" t="s">
        <v>69</v>
      </c>
      <c r="L57" s="130" t="s">
        <v>92</v>
      </c>
      <c r="M57" s="175" t="s">
        <v>108</v>
      </c>
      <c r="N57" s="168" t="s">
        <v>69</v>
      </c>
      <c r="O57" s="168" t="s">
        <v>69</v>
      </c>
      <c r="P57" s="168" t="s">
        <v>69</v>
      </c>
      <c r="Q57" s="168" t="s">
        <v>69</v>
      </c>
      <c r="R57" s="168" t="s">
        <v>69</v>
      </c>
      <c r="S57" s="168" t="s">
        <v>69</v>
      </c>
      <c r="T57" s="175" t="s">
        <v>108</v>
      </c>
      <c r="U57" s="168" t="s">
        <v>69</v>
      </c>
      <c r="V57" s="168" t="s">
        <v>69</v>
      </c>
      <c r="W57" s="168" t="s">
        <v>69</v>
      </c>
      <c r="X57" s="168" t="s">
        <v>69</v>
      </c>
      <c r="Y57" s="130" t="s">
        <v>92</v>
      </c>
      <c r="Z57" s="168" t="s">
        <v>69</v>
      </c>
      <c r="AA57" s="175" t="s">
        <v>108</v>
      </c>
      <c r="AB57" s="168" t="s">
        <v>69</v>
      </c>
      <c r="AC57" s="168" t="s">
        <v>69</v>
      </c>
      <c r="AD57" s="168" t="s">
        <v>69</v>
      </c>
      <c r="AE57" s="168" t="s">
        <v>69</v>
      </c>
      <c r="AF57" s="168" t="s">
        <v>69</v>
      </c>
      <c r="AG57" s="168" t="s">
        <v>69</v>
      </c>
      <c r="AH57" s="177" t="s">
        <v>108</v>
      </c>
      <c r="AI57" s="168" t="s">
        <v>69</v>
      </c>
      <c r="AJ57" s="119"/>
    </row>
    <row r="58" spans="1:36" ht="18">
      <c r="A58" s="5">
        <v>56</v>
      </c>
      <c r="B58" s="183" t="s">
        <v>57</v>
      </c>
      <c r="C58" s="168">
        <v>4.5</v>
      </c>
      <c r="D58" s="168">
        <v>3</v>
      </c>
      <c r="E58" s="168">
        <f t="shared" si="2"/>
        <v>1.5</v>
      </c>
      <c r="F58" s="194" t="s">
        <v>108</v>
      </c>
      <c r="G58" s="171" t="s">
        <v>69</v>
      </c>
      <c r="H58" s="168" t="s">
        <v>69</v>
      </c>
      <c r="I58" s="168" t="s">
        <v>69</v>
      </c>
      <c r="J58" s="168" t="s">
        <v>69</v>
      </c>
      <c r="K58" s="168" t="s">
        <v>69</v>
      </c>
      <c r="L58" s="168" t="s">
        <v>69</v>
      </c>
      <c r="M58" s="174" t="s">
        <v>108</v>
      </c>
      <c r="N58" s="121" t="s">
        <v>72</v>
      </c>
      <c r="O58" s="121" t="s">
        <v>72</v>
      </c>
      <c r="P58" s="121" t="s">
        <v>72</v>
      </c>
      <c r="Q58" s="168" t="s">
        <v>69</v>
      </c>
      <c r="R58" s="168" t="s">
        <v>69</v>
      </c>
      <c r="S58" s="168" t="s">
        <v>69</v>
      </c>
      <c r="T58" s="134" t="s">
        <v>69</v>
      </c>
      <c r="U58" s="168" t="s">
        <v>69</v>
      </c>
      <c r="V58" s="168" t="s">
        <v>69</v>
      </c>
      <c r="W58" s="168" t="s">
        <v>69</v>
      </c>
      <c r="X58" s="168" t="s">
        <v>69</v>
      </c>
      <c r="Y58" s="168" t="s">
        <v>69</v>
      </c>
      <c r="Z58" s="168" t="s">
        <v>69</v>
      </c>
      <c r="AA58" s="174" t="s">
        <v>108</v>
      </c>
      <c r="AB58" s="168" t="s">
        <v>69</v>
      </c>
      <c r="AC58" s="168" t="s">
        <v>69</v>
      </c>
      <c r="AD58" s="168" t="s">
        <v>69</v>
      </c>
      <c r="AE58" s="168" t="s">
        <v>69</v>
      </c>
      <c r="AF58" s="168" t="s">
        <v>69</v>
      </c>
      <c r="AG58" s="121" t="s">
        <v>72</v>
      </c>
      <c r="AH58" s="177" t="s">
        <v>108</v>
      </c>
      <c r="AI58" s="132" t="s">
        <v>94</v>
      </c>
      <c r="AJ58" s="119"/>
    </row>
    <row r="59" spans="1:36" ht="18">
      <c r="A59" s="5">
        <v>57</v>
      </c>
      <c r="B59" s="183" t="s">
        <v>147</v>
      </c>
      <c r="C59" s="168">
        <v>13</v>
      </c>
      <c r="D59" s="168">
        <v>13</v>
      </c>
      <c r="E59" s="168">
        <f t="shared" si="2"/>
        <v>0</v>
      </c>
      <c r="F59" s="174" t="s">
        <v>108</v>
      </c>
      <c r="G59" s="218" t="s">
        <v>72</v>
      </c>
      <c r="H59" s="131" t="s">
        <v>72</v>
      </c>
      <c r="I59" s="131" t="s">
        <v>72</v>
      </c>
      <c r="J59" s="131" t="s">
        <v>72</v>
      </c>
      <c r="K59" s="131" t="s">
        <v>72</v>
      </c>
      <c r="L59" s="131" t="s">
        <v>72</v>
      </c>
      <c r="M59" s="175" t="s">
        <v>108</v>
      </c>
      <c r="N59" s="121" t="s">
        <v>72</v>
      </c>
      <c r="O59" s="121" t="s">
        <v>72</v>
      </c>
      <c r="P59" s="121" t="s">
        <v>72</v>
      </c>
      <c r="Q59" s="168" t="s">
        <v>69</v>
      </c>
      <c r="R59" s="168" t="s">
        <v>69</v>
      </c>
      <c r="S59" s="121" t="s">
        <v>72</v>
      </c>
      <c r="T59" s="175" t="s">
        <v>108</v>
      </c>
      <c r="U59" s="168" t="s">
        <v>69</v>
      </c>
      <c r="V59" s="168" t="s">
        <v>69</v>
      </c>
      <c r="W59" s="168" t="s">
        <v>69</v>
      </c>
      <c r="X59" s="168" t="s">
        <v>69</v>
      </c>
      <c r="Y59" s="168" t="s">
        <v>69</v>
      </c>
      <c r="Z59" s="121" t="s">
        <v>72</v>
      </c>
      <c r="AA59" s="175" t="s">
        <v>108</v>
      </c>
      <c r="AB59" s="168" t="s">
        <v>69</v>
      </c>
      <c r="AC59" s="168" t="s">
        <v>69</v>
      </c>
      <c r="AD59" s="168" t="s">
        <v>69</v>
      </c>
      <c r="AE59" s="168" t="s">
        <v>69</v>
      </c>
      <c r="AF59" s="168" t="s">
        <v>69</v>
      </c>
      <c r="AG59" s="168" t="s">
        <v>69</v>
      </c>
      <c r="AH59" s="177" t="s">
        <v>108</v>
      </c>
      <c r="AI59" s="168" t="s">
        <v>69</v>
      </c>
      <c r="AJ59" s="119"/>
    </row>
    <row r="60" spans="1:36" ht="18">
      <c r="A60" s="5">
        <v>58</v>
      </c>
      <c r="B60" s="183" t="s">
        <v>80</v>
      </c>
      <c r="C60" s="168">
        <v>1</v>
      </c>
      <c r="D60" s="168">
        <v>0</v>
      </c>
      <c r="E60" s="168">
        <f t="shared" si="2"/>
        <v>1</v>
      </c>
      <c r="F60" s="174" t="s">
        <v>108</v>
      </c>
      <c r="G60" s="171" t="s">
        <v>69</v>
      </c>
      <c r="H60" s="168" t="s">
        <v>69</v>
      </c>
      <c r="I60" s="168" t="s">
        <v>69</v>
      </c>
      <c r="J60" s="168" t="s">
        <v>69</v>
      </c>
      <c r="K60" s="168" t="s">
        <v>69</v>
      </c>
      <c r="L60" s="168" t="s">
        <v>69</v>
      </c>
      <c r="M60" s="175" t="s">
        <v>108</v>
      </c>
      <c r="N60" s="168" t="s">
        <v>69</v>
      </c>
      <c r="O60" s="168" t="s">
        <v>69</v>
      </c>
      <c r="P60" s="168" t="s">
        <v>69</v>
      </c>
      <c r="Q60" s="168" t="s">
        <v>69</v>
      </c>
      <c r="R60" s="121" t="s">
        <v>72</v>
      </c>
      <c r="S60" s="168" t="s">
        <v>69</v>
      </c>
      <c r="T60" s="175" t="s">
        <v>108</v>
      </c>
      <c r="U60" s="168" t="s">
        <v>69</v>
      </c>
      <c r="V60" s="168" t="s">
        <v>69</v>
      </c>
      <c r="W60" s="168" t="s">
        <v>69</v>
      </c>
      <c r="X60" s="168" t="s">
        <v>69</v>
      </c>
      <c r="Y60" s="132" t="s">
        <v>94</v>
      </c>
      <c r="Z60" s="168" t="s">
        <v>69</v>
      </c>
      <c r="AA60" s="175" t="s">
        <v>108</v>
      </c>
      <c r="AB60" s="134" t="s">
        <v>69</v>
      </c>
      <c r="AC60" s="134" t="s">
        <v>69</v>
      </c>
      <c r="AD60" s="134" t="s">
        <v>69</v>
      </c>
      <c r="AE60" s="134" t="s">
        <v>69</v>
      </c>
      <c r="AF60" s="134" t="s">
        <v>69</v>
      </c>
      <c r="AG60" s="134" t="s">
        <v>69</v>
      </c>
      <c r="AH60" s="177" t="s">
        <v>108</v>
      </c>
      <c r="AI60" s="168" t="s">
        <v>69</v>
      </c>
      <c r="AJ60" s="119"/>
    </row>
    <row r="61" spans="1:36" ht="18">
      <c r="A61" s="5">
        <v>59</v>
      </c>
      <c r="B61" s="183" t="s">
        <v>58</v>
      </c>
      <c r="C61" s="168">
        <v>4</v>
      </c>
      <c r="D61" s="168">
        <v>0</v>
      </c>
      <c r="E61" s="168">
        <f t="shared" si="2"/>
        <v>4</v>
      </c>
      <c r="F61" s="194" t="s">
        <v>108</v>
      </c>
      <c r="G61" s="171" t="s">
        <v>69</v>
      </c>
      <c r="H61" s="168" t="s">
        <v>69</v>
      </c>
      <c r="I61" s="168" t="s">
        <v>69</v>
      </c>
      <c r="J61" s="121" t="s">
        <v>72</v>
      </c>
      <c r="K61" s="168" t="s">
        <v>69</v>
      </c>
      <c r="L61" s="168" t="s">
        <v>69</v>
      </c>
      <c r="M61" s="174" t="s">
        <v>108</v>
      </c>
      <c r="N61" s="168" t="s">
        <v>69</v>
      </c>
      <c r="O61" s="168" t="s">
        <v>69</v>
      </c>
      <c r="P61" s="121" t="s">
        <v>72</v>
      </c>
      <c r="Q61" s="121" t="s">
        <v>72</v>
      </c>
      <c r="R61" s="168" t="s">
        <v>69</v>
      </c>
      <c r="S61" s="168" t="s">
        <v>69</v>
      </c>
      <c r="T61" s="175" t="s">
        <v>108</v>
      </c>
      <c r="U61" s="168" t="s">
        <v>69</v>
      </c>
      <c r="V61" s="168" t="s">
        <v>69</v>
      </c>
      <c r="W61" s="168" t="s">
        <v>69</v>
      </c>
      <c r="X61" s="168" t="s">
        <v>69</v>
      </c>
      <c r="Y61" s="130" t="s">
        <v>92</v>
      </c>
      <c r="Z61" s="168" t="s">
        <v>69</v>
      </c>
      <c r="AA61" s="174" t="s">
        <v>108</v>
      </c>
      <c r="AB61" s="134" t="s">
        <v>69</v>
      </c>
      <c r="AC61" s="134" t="s">
        <v>69</v>
      </c>
      <c r="AD61" s="134" t="s">
        <v>69</v>
      </c>
      <c r="AE61" s="134" t="s">
        <v>69</v>
      </c>
      <c r="AF61" s="189" t="s">
        <v>72</v>
      </c>
      <c r="AG61" s="170" t="s">
        <v>69</v>
      </c>
      <c r="AH61" s="177" t="s">
        <v>108</v>
      </c>
      <c r="AI61" s="168" t="s">
        <v>69</v>
      </c>
      <c r="AJ61" s="163"/>
    </row>
    <row r="62" spans="1:36" ht="18">
      <c r="A62" s="5">
        <v>60</v>
      </c>
      <c r="B62" s="184" t="s">
        <v>60</v>
      </c>
      <c r="C62" s="168">
        <v>2</v>
      </c>
      <c r="D62" s="168">
        <v>1</v>
      </c>
      <c r="E62" s="168">
        <f t="shared" si="2"/>
        <v>1</v>
      </c>
      <c r="F62" s="174" t="s">
        <v>108</v>
      </c>
      <c r="G62" s="171" t="s">
        <v>69</v>
      </c>
      <c r="H62" s="168" t="s">
        <v>69</v>
      </c>
      <c r="I62" s="168" t="s">
        <v>69</v>
      </c>
      <c r="J62" s="168" t="s">
        <v>69</v>
      </c>
      <c r="K62" s="168" t="s">
        <v>69</v>
      </c>
      <c r="L62" s="121" t="s">
        <v>72</v>
      </c>
      <c r="M62" s="175" t="s">
        <v>108</v>
      </c>
      <c r="N62" s="168" t="s">
        <v>69</v>
      </c>
      <c r="O62" s="168" t="s">
        <v>69</v>
      </c>
      <c r="P62" s="168" t="s">
        <v>69</v>
      </c>
      <c r="Q62" s="168" t="s">
        <v>69</v>
      </c>
      <c r="R62" s="121" t="s">
        <v>72</v>
      </c>
      <c r="S62" s="168" t="s">
        <v>69</v>
      </c>
      <c r="T62" s="175" t="s">
        <v>108</v>
      </c>
      <c r="U62" s="168" t="s">
        <v>69</v>
      </c>
      <c r="V62" s="130" t="s">
        <v>74</v>
      </c>
      <c r="W62" s="168" t="s">
        <v>69</v>
      </c>
      <c r="X62" s="168" t="s">
        <v>69</v>
      </c>
      <c r="Y62" s="168" t="s">
        <v>69</v>
      </c>
      <c r="Z62" s="168" t="s">
        <v>69</v>
      </c>
      <c r="AA62" s="175" t="s">
        <v>108</v>
      </c>
      <c r="AB62" s="168" t="s">
        <v>69</v>
      </c>
      <c r="AC62" s="168" t="s">
        <v>69</v>
      </c>
      <c r="AD62" s="168" t="s">
        <v>69</v>
      </c>
      <c r="AE62" s="168" t="s">
        <v>69</v>
      </c>
      <c r="AF62" s="168" t="s">
        <v>69</v>
      </c>
      <c r="AG62" s="168" t="s">
        <v>69</v>
      </c>
      <c r="AH62" s="177" t="s">
        <v>108</v>
      </c>
      <c r="AI62" s="168" t="s">
        <v>69</v>
      </c>
      <c r="AJ62" s="119"/>
    </row>
    <row r="63" spans="1:36" ht="18">
      <c r="A63" s="5">
        <v>61</v>
      </c>
      <c r="B63" s="183" t="s">
        <v>61</v>
      </c>
      <c r="C63" s="168">
        <v>1</v>
      </c>
      <c r="D63" s="168">
        <v>0</v>
      </c>
      <c r="E63" s="168">
        <f t="shared" si="2"/>
        <v>1</v>
      </c>
      <c r="F63" s="194" t="s">
        <v>108</v>
      </c>
      <c r="G63" s="171" t="s">
        <v>69</v>
      </c>
      <c r="H63" s="168" t="s">
        <v>69</v>
      </c>
      <c r="I63" s="168" t="s">
        <v>69</v>
      </c>
      <c r="J63" s="168" t="s">
        <v>69</v>
      </c>
      <c r="K63" s="168" t="s">
        <v>69</v>
      </c>
      <c r="L63" s="168" t="s">
        <v>69</v>
      </c>
      <c r="M63" s="174" t="s">
        <v>108</v>
      </c>
      <c r="N63" s="168" t="s">
        <v>69</v>
      </c>
      <c r="O63" s="168" t="s">
        <v>69</v>
      </c>
      <c r="P63" s="130" t="s">
        <v>92</v>
      </c>
      <c r="Q63" s="168" t="s">
        <v>69</v>
      </c>
      <c r="R63" s="168" t="s">
        <v>69</v>
      </c>
      <c r="S63" s="168" t="s">
        <v>69</v>
      </c>
      <c r="T63" s="175" t="s">
        <v>108</v>
      </c>
      <c r="U63" s="168" t="s">
        <v>69</v>
      </c>
      <c r="V63" s="168" t="s">
        <v>69</v>
      </c>
      <c r="W63" s="121" t="s">
        <v>72</v>
      </c>
      <c r="X63" s="168" t="s">
        <v>69</v>
      </c>
      <c r="Y63" s="130" t="s">
        <v>92</v>
      </c>
      <c r="Z63" s="168" t="s">
        <v>69</v>
      </c>
      <c r="AA63" s="174" t="s">
        <v>108</v>
      </c>
      <c r="AB63" s="168" t="s">
        <v>69</v>
      </c>
      <c r="AC63" s="168" t="s">
        <v>69</v>
      </c>
      <c r="AD63" s="168" t="s">
        <v>69</v>
      </c>
      <c r="AE63" s="168" t="s">
        <v>69</v>
      </c>
      <c r="AF63" s="168" t="s">
        <v>69</v>
      </c>
      <c r="AG63" s="168" t="s">
        <v>69</v>
      </c>
      <c r="AH63" s="177" t="s">
        <v>108</v>
      </c>
      <c r="AI63" s="168" t="s">
        <v>69</v>
      </c>
      <c r="AJ63" s="119"/>
    </row>
    <row r="64" spans="1:36" ht="18">
      <c r="A64" s="5">
        <v>62</v>
      </c>
      <c r="B64" s="183" t="s">
        <v>62</v>
      </c>
      <c r="C64" s="168">
        <v>1.5</v>
      </c>
      <c r="D64" s="168">
        <v>0</v>
      </c>
      <c r="E64" s="168">
        <f t="shared" si="2"/>
        <v>1.5</v>
      </c>
      <c r="F64" s="174" t="s">
        <v>108</v>
      </c>
      <c r="G64" s="171" t="s">
        <v>69</v>
      </c>
      <c r="H64" s="168" t="s">
        <v>69</v>
      </c>
      <c r="I64" s="168" t="s">
        <v>69</v>
      </c>
      <c r="J64" s="121" t="s">
        <v>72</v>
      </c>
      <c r="K64" s="134" t="s">
        <v>69</v>
      </c>
      <c r="L64" s="134" t="s">
        <v>69</v>
      </c>
      <c r="M64" s="175" t="s">
        <v>108</v>
      </c>
      <c r="N64" s="168" t="s">
        <v>69</v>
      </c>
      <c r="O64" s="168" t="s">
        <v>69</v>
      </c>
      <c r="P64" s="168" t="s">
        <v>69</v>
      </c>
      <c r="Q64" s="168" t="s">
        <v>69</v>
      </c>
      <c r="R64" s="168" t="s">
        <v>69</v>
      </c>
      <c r="S64" s="168" t="s">
        <v>69</v>
      </c>
      <c r="T64" s="175" t="s">
        <v>108</v>
      </c>
      <c r="U64" s="168" t="s">
        <v>69</v>
      </c>
      <c r="V64" s="168" t="s">
        <v>69</v>
      </c>
      <c r="W64" s="168" t="s">
        <v>69</v>
      </c>
      <c r="X64" s="168" t="s">
        <v>69</v>
      </c>
      <c r="Y64" s="132" t="s">
        <v>94</v>
      </c>
      <c r="Z64" s="134" t="s">
        <v>69</v>
      </c>
      <c r="AA64" s="175" t="s">
        <v>108</v>
      </c>
      <c r="AB64" s="168" t="s">
        <v>69</v>
      </c>
      <c r="AC64" s="168" t="s">
        <v>69</v>
      </c>
      <c r="AD64" s="168" t="s">
        <v>69</v>
      </c>
      <c r="AE64" s="168" t="s">
        <v>69</v>
      </c>
      <c r="AF64" s="168" t="s">
        <v>69</v>
      </c>
      <c r="AG64" s="168" t="s">
        <v>69</v>
      </c>
      <c r="AH64" s="177" t="s">
        <v>108</v>
      </c>
      <c r="AI64" s="168" t="s">
        <v>69</v>
      </c>
      <c r="AJ64" s="119"/>
    </row>
    <row r="65" spans="2:35">
      <c r="B65" s="155" t="s">
        <v>125</v>
      </c>
      <c r="AI65"/>
    </row>
    <row r="66" spans="2:35">
      <c r="B66" s="155" t="s">
        <v>126</v>
      </c>
      <c r="AI66"/>
    </row>
    <row r="67" spans="2:35">
      <c r="B67" s="42" t="s">
        <v>127</v>
      </c>
      <c r="AI67"/>
    </row>
    <row r="68" spans="2:35">
      <c r="B68" s="42" t="s">
        <v>128</v>
      </c>
      <c r="AI68"/>
    </row>
    <row r="69" spans="2:35">
      <c r="B69" s="42" t="s">
        <v>129</v>
      </c>
      <c r="AI69"/>
    </row>
    <row r="70" spans="2:35">
      <c r="B70" s="42" t="s">
        <v>130</v>
      </c>
      <c r="AI70"/>
    </row>
    <row r="71" spans="2:35">
      <c r="B71" s="42" t="s">
        <v>131</v>
      </c>
      <c r="AI71"/>
    </row>
    <row r="72" spans="2:35">
      <c r="B72" s="42" t="s">
        <v>132</v>
      </c>
      <c r="AI72"/>
    </row>
    <row r="73" spans="2:35">
      <c r="AI73"/>
    </row>
    <row r="74" spans="2:35">
      <c r="AI74"/>
    </row>
    <row r="75" spans="2:35">
      <c r="AI75"/>
    </row>
    <row r="76" spans="2:35">
      <c r="AI76"/>
    </row>
    <row r="77" spans="2:35">
      <c r="AI77"/>
    </row>
    <row r="78" spans="2:35">
      <c r="AI78"/>
    </row>
    <row r="79" spans="2:35">
      <c r="AI79"/>
    </row>
    <row r="80" spans="2:35">
      <c r="AI80"/>
    </row>
    <row r="81" spans="35:35">
      <c r="AI81"/>
    </row>
    <row r="82" spans="35:35">
      <c r="AI82"/>
    </row>
    <row r="83" spans="35:35">
      <c r="AI83"/>
    </row>
    <row r="84" spans="35:35">
      <c r="AI84"/>
    </row>
    <row r="85" spans="35:35">
      <c r="AI85"/>
    </row>
    <row r="86" spans="35:35">
      <c r="AI86"/>
    </row>
    <row r="87" spans="35:35">
      <c r="AI87"/>
    </row>
    <row r="88" spans="35:35">
      <c r="AI88"/>
    </row>
    <row r="89" spans="35:35">
      <c r="AI89"/>
    </row>
    <row r="90" spans="35:35">
      <c r="AI90"/>
    </row>
    <row r="91" spans="35:35">
      <c r="AI91"/>
    </row>
    <row r="92" spans="35:35">
      <c r="AI92"/>
    </row>
    <row r="93" spans="35:35">
      <c r="AI93"/>
    </row>
    <row r="94" spans="35:35">
      <c r="AI94"/>
    </row>
    <row r="95" spans="35:35">
      <c r="AI95"/>
    </row>
    <row r="96" spans="35:35">
      <c r="AI96"/>
    </row>
    <row r="97" spans="35:35">
      <c r="AI97"/>
    </row>
    <row r="98" spans="35:35">
      <c r="AI98"/>
    </row>
    <row r="99" spans="35:35">
      <c r="AI99"/>
    </row>
    <row r="100" spans="35:35">
      <c r="AI100"/>
    </row>
    <row r="101" spans="35:35">
      <c r="AI101"/>
    </row>
    <row r="102" spans="35:35">
      <c r="AI102"/>
    </row>
    <row r="103" spans="35:35">
      <c r="AI103"/>
    </row>
    <row r="104" spans="35:35">
      <c r="AI104"/>
    </row>
    <row r="105" spans="35:35">
      <c r="AI105"/>
    </row>
    <row r="106" spans="35:35">
      <c r="AI106"/>
    </row>
    <row r="107" spans="35:35">
      <c r="AI107"/>
    </row>
    <row r="108" spans="35:35">
      <c r="AI108"/>
    </row>
    <row r="109" spans="35:35">
      <c r="AI109"/>
    </row>
    <row r="110" spans="35:35">
      <c r="AI110"/>
    </row>
    <row r="111" spans="35:35">
      <c r="AI111"/>
    </row>
    <row r="112" spans="35:35">
      <c r="AI112"/>
    </row>
    <row r="113" spans="35:35">
      <c r="AI113"/>
    </row>
    <row r="114" spans="35:35">
      <c r="AI114"/>
    </row>
    <row r="115" spans="35:35">
      <c r="AI115"/>
    </row>
    <row r="116" spans="35:35">
      <c r="AI116"/>
    </row>
    <row r="117" spans="35:35">
      <c r="AI117"/>
    </row>
    <row r="118" spans="35:35">
      <c r="AI118"/>
    </row>
    <row r="119" spans="35:35">
      <c r="AI119"/>
    </row>
    <row r="120" spans="35:35">
      <c r="AI120"/>
    </row>
    <row r="121" spans="35:35">
      <c r="AI121"/>
    </row>
    <row r="122" spans="35:35">
      <c r="AI122"/>
    </row>
    <row r="123" spans="35:35">
      <c r="AI123"/>
    </row>
    <row r="124" spans="35:35">
      <c r="AI124"/>
    </row>
    <row r="125" spans="35:35">
      <c r="AI125"/>
    </row>
    <row r="126" spans="35:35">
      <c r="AI126"/>
    </row>
    <row r="127" spans="35:35">
      <c r="AI127"/>
    </row>
    <row r="128" spans="35:35">
      <c r="AI128"/>
    </row>
    <row r="129" spans="35:35">
      <c r="AI129"/>
    </row>
    <row r="130" spans="35:35">
      <c r="AI130"/>
    </row>
    <row r="131" spans="35:35">
      <c r="AI131"/>
    </row>
    <row r="132" spans="35:35">
      <c r="AI132"/>
    </row>
    <row r="133" spans="35:35">
      <c r="AI133"/>
    </row>
    <row r="134" spans="35:35">
      <c r="AI134"/>
    </row>
    <row r="135" spans="35:35">
      <c r="AI135"/>
    </row>
    <row r="136" spans="35:35">
      <c r="AI136"/>
    </row>
    <row r="137" spans="35:35">
      <c r="AI137"/>
    </row>
    <row r="138" spans="35:35">
      <c r="AI138"/>
    </row>
    <row r="139" spans="35:35">
      <c r="AI139"/>
    </row>
    <row r="140" spans="35:35">
      <c r="AI140"/>
    </row>
    <row r="141" spans="35:35">
      <c r="AI141"/>
    </row>
    <row r="142" spans="35:35">
      <c r="AI142"/>
    </row>
    <row r="143" spans="35:35">
      <c r="AI143"/>
    </row>
    <row r="144" spans="35:35">
      <c r="AI144"/>
    </row>
    <row r="145" spans="35:35">
      <c r="AI145"/>
    </row>
    <row r="146" spans="35:35">
      <c r="AI146"/>
    </row>
    <row r="147" spans="35:35">
      <c r="AI147"/>
    </row>
    <row r="148" spans="35:35">
      <c r="AI148"/>
    </row>
    <row r="149" spans="35:35">
      <c r="AI149"/>
    </row>
    <row r="150" spans="35:35">
      <c r="AI150"/>
    </row>
    <row r="151" spans="35:35">
      <c r="AI151"/>
    </row>
    <row r="152" spans="35:35">
      <c r="AI152"/>
    </row>
    <row r="153" spans="35:35">
      <c r="AI153"/>
    </row>
    <row r="154" spans="35:35">
      <c r="AI154"/>
    </row>
    <row r="155" spans="35:35">
      <c r="AI155"/>
    </row>
    <row r="156" spans="35:35">
      <c r="AI156"/>
    </row>
    <row r="157" spans="35:35">
      <c r="AI157"/>
    </row>
    <row r="158" spans="35:35">
      <c r="AI158"/>
    </row>
    <row r="159" spans="35:35">
      <c r="AI159"/>
    </row>
    <row r="160" spans="35:35">
      <c r="AI160"/>
    </row>
    <row r="161" spans="35:35">
      <c r="AI161"/>
    </row>
    <row r="162" spans="35:35">
      <c r="AI162"/>
    </row>
    <row r="163" spans="35:35">
      <c r="AI163"/>
    </row>
    <row r="164" spans="35:35">
      <c r="AI164"/>
    </row>
    <row r="165" spans="35:35">
      <c r="AI165"/>
    </row>
    <row r="166" spans="35:35">
      <c r="AI166"/>
    </row>
    <row r="167" spans="35:35">
      <c r="AI167"/>
    </row>
    <row r="168" spans="35:35">
      <c r="AI168"/>
    </row>
    <row r="169" spans="35:35">
      <c r="AI169"/>
    </row>
    <row r="170" spans="35:35">
      <c r="AI170"/>
    </row>
    <row r="171" spans="35:35">
      <c r="AI171"/>
    </row>
    <row r="172" spans="35:35">
      <c r="AI172"/>
    </row>
    <row r="173" spans="35:35">
      <c r="AI173"/>
    </row>
    <row r="174" spans="35:35">
      <c r="AI174"/>
    </row>
    <row r="175" spans="35:35">
      <c r="AI175"/>
    </row>
    <row r="176" spans="35:35">
      <c r="AI176"/>
    </row>
    <row r="177" spans="35:35">
      <c r="AI177"/>
    </row>
    <row r="178" spans="35:35">
      <c r="AI178"/>
    </row>
    <row r="179" spans="35:35">
      <c r="AI179"/>
    </row>
    <row r="180" spans="35:35">
      <c r="AI180"/>
    </row>
    <row r="181" spans="35:35">
      <c r="AI181"/>
    </row>
    <row r="182" spans="35:35">
      <c r="AI182"/>
    </row>
    <row r="183" spans="35:35">
      <c r="AI183"/>
    </row>
    <row r="184" spans="35:35">
      <c r="AI184"/>
    </row>
    <row r="185" spans="35:35">
      <c r="AI185"/>
    </row>
    <row r="186" spans="35:35">
      <c r="AI186"/>
    </row>
    <row r="187" spans="35:35">
      <c r="AI187"/>
    </row>
    <row r="188" spans="35:35">
      <c r="AI188"/>
    </row>
    <row r="189" spans="35:35">
      <c r="AI189"/>
    </row>
    <row r="190" spans="35:35">
      <c r="AI190"/>
    </row>
    <row r="191" spans="35:35">
      <c r="AI191" s="173"/>
    </row>
  </sheetData>
  <autoFilter ref="A1:AK1" xr:uid="{264A0257-520C-4F25-9E75-E521EE636B48}"/>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5719-F89A-44CB-A5A0-906FCA71DE94}">
  <dimension ref="A1:AL70"/>
  <sheetViews>
    <sheetView workbookViewId="0">
      <pane xSplit="2" topLeftCell="Y1" activePane="topRight" state="frozen"/>
      <selection pane="topRight" activeCell="AM20" sqref="AM20"/>
    </sheetView>
  </sheetViews>
  <sheetFormatPr defaultRowHeight="14.25"/>
  <cols>
    <col min="2" max="4" width="35.1328125" customWidth="1"/>
    <col min="5" max="5" width="13.3984375" style="31" customWidth="1"/>
    <col min="6" max="6" width="10.86328125" customWidth="1"/>
  </cols>
  <sheetData>
    <row r="1" spans="1:37" ht="18">
      <c r="A1" s="29" t="s">
        <v>64</v>
      </c>
      <c r="B1" s="29" t="s">
        <v>65</v>
      </c>
      <c r="C1" s="165" t="s">
        <v>68</v>
      </c>
      <c r="D1" s="165"/>
      <c r="E1" s="29" t="s">
        <v>148</v>
      </c>
      <c r="F1" s="29" t="s">
        <v>149</v>
      </c>
      <c r="G1" s="165">
        <v>1</v>
      </c>
      <c r="H1" s="165">
        <v>2</v>
      </c>
      <c r="I1" s="165">
        <v>3</v>
      </c>
      <c r="J1" s="165">
        <v>4</v>
      </c>
      <c r="K1" s="165">
        <v>5</v>
      </c>
      <c r="L1" s="165">
        <v>6</v>
      </c>
      <c r="M1" s="165">
        <v>7</v>
      </c>
      <c r="N1" s="122">
        <v>8</v>
      </c>
      <c r="O1" s="165">
        <v>9</v>
      </c>
      <c r="P1" s="165">
        <v>10</v>
      </c>
      <c r="Q1" s="165">
        <v>11</v>
      </c>
      <c r="R1" s="165">
        <v>12</v>
      </c>
      <c r="S1" s="165">
        <v>13</v>
      </c>
      <c r="T1" s="165">
        <v>14</v>
      </c>
      <c r="U1" s="165">
        <v>15</v>
      </c>
      <c r="V1" s="165">
        <v>16</v>
      </c>
      <c r="W1" s="165">
        <v>17</v>
      </c>
      <c r="X1" s="165">
        <v>18</v>
      </c>
      <c r="Y1" s="165">
        <v>19</v>
      </c>
      <c r="Z1" s="165">
        <v>20</v>
      </c>
      <c r="AA1" s="165">
        <v>21</v>
      </c>
      <c r="AB1" s="165">
        <v>22</v>
      </c>
      <c r="AC1" s="165">
        <v>23</v>
      </c>
      <c r="AD1" s="165">
        <v>24</v>
      </c>
      <c r="AE1" s="165">
        <v>25</v>
      </c>
      <c r="AF1" s="165">
        <v>26</v>
      </c>
      <c r="AG1" s="165">
        <v>27</v>
      </c>
      <c r="AH1" s="165">
        <v>28</v>
      </c>
      <c r="AI1" s="166">
        <v>29</v>
      </c>
      <c r="AJ1" s="243">
        <v>30</v>
      </c>
      <c r="AK1" s="167">
        <v>31</v>
      </c>
    </row>
    <row r="2" spans="1:37" ht="18">
      <c r="A2" s="5">
        <v>1</v>
      </c>
      <c r="B2" s="196" t="s">
        <v>6</v>
      </c>
      <c r="C2" s="169">
        <v>1.5</v>
      </c>
      <c r="D2" s="169"/>
      <c r="E2" s="260">
        <v>1.5</v>
      </c>
      <c r="F2" s="259">
        <f>C2-E2</f>
        <v>0</v>
      </c>
      <c r="G2" s="205" t="s">
        <v>69</v>
      </c>
      <c r="H2" s="205" t="s">
        <v>69</v>
      </c>
      <c r="I2" s="205" t="s">
        <v>69</v>
      </c>
      <c r="J2" s="205" t="s">
        <v>69</v>
      </c>
      <c r="K2" s="121" t="s">
        <v>72</v>
      </c>
      <c r="L2" s="175" t="s">
        <v>108</v>
      </c>
      <c r="M2" s="168" t="s">
        <v>69</v>
      </c>
      <c r="N2" s="168" t="s">
        <v>69</v>
      </c>
      <c r="O2" s="168" t="s">
        <v>69</v>
      </c>
      <c r="P2" s="168" t="s">
        <v>69</v>
      </c>
      <c r="Q2" s="168" t="s">
        <v>69</v>
      </c>
      <c r="R2" s="168" t="s">
        <v>69</v>
      </c>
      <c r="S2" s="174" t="s">
        <v>108</v>
      </c>
      <c r="T2" s="134" t="s">
        <v>69</v>
      </c>
      <c r="U2" s="134" t="s">
        <v>69</v>
      </c>
      <c r="V2" s="134" t="s">
        <v>69</v>
      </c>
      <c r="W2" s="134" t="s">
        <v>69</v>
      </c>
      <c r="X2" s="134" t="s">
        <v>69</v>
      </c>
      <c r="Y2" s="134" t="s">
        <v>69</v>
      </c>
      <c r="Z2" s="174" t="s">
        <v>108</v>
      </c>
      <c r="AA2" s="134" t="s">
        <v>69</v>
      </c>
      <c r="AB2" s="134" t="s">
        <v>69</v>
      </c>
      <c r="AC2" s="134" t="s">
        <v>69</v>
      </c>
      <c r="AD2" s="134" t="s">
        <v>69</v>
      </c>
      <c r="AE2" s="134" t="s">
        <v>69</v>
      </c>
      <c r="AF2" s="132" t="s">
        <v>94</v>
      </c>
      <c r="AG2" s="174" t="s">
        <v>108</v>
      </c>
      <c r="AH2" s="168" t="s">
        <v>69</v>
      </c>
      <c r="AI2" s="168" t="s">
        <v>69</v>
      </c>
      <c r="AJ2" s="169" t="s">
        <v>69</v>
      </c>
      <c r="AK2" s="168" t="s">
        <v>69</v>
      </c>
    </row>
    <row r="3" spans="1:37" ht="18">
      <c r="A3" s="5">
        <v>2</v>
      </c>
      <c r="B3" s="196" t="s">
        <v>7</v>
      </c>
      <c r="C3" s="169">
        <v>4.5</v>
      </c>
      <c r="D3" s="169"/>
      <c r="E3" s="260">
        <v>4.5</v>
      </c>
      <c r="F3" s="259">
        <f t="shared" ref="F3:F5" si="0">C3-E3</f>
        <v>0</v>
      </c>
      <c r="G3" s="205" t="s">
        <v>69</v>
      </c>
      <c r="H3" s="205" t="s">
        <v>69</v>
      </c>
      <c r="I3" s="205" t="s">
        <v>69</v>
      </c>
      <c r="J3" s="205" t="s">
        <v>69</v>
      </c>
      <c r="K3" s="205" t="s">
        <v>69</v>
      </c>
      <c r="L3" s="174" t="s">
        <v>108</v>
      </c>
      <c r="M3" s="121" t="s">
        <v>72</v>
      </c>
      <c r="N3" s="121" t="s">
        <v>72</v>
      </c>
      <c r="O3" s="121" t="s">
        <v>72</v>
      </c>
      <c r="P3" s="168" t="s">
        <v>69</v>
      </c>
      <c r="Q3" s="168" t="s">
        <v>69</v>
      </c>
      <c r="R3" s="132" t="s">
        <v>94</v>
      </c>
      <c r="S3" s="194" t="s">
        <v>108</v>
      </c>
      <c r="T3" s="168" t="s">
        <v>69</v>
      </c>
      <c r="U3" s="168" t="s">
        <v>69</v>
      </c>
      <c r="V3" s="168" t="s">
        <v>69</v>
      </c>
      <c r="W3" s="168" t="s">
        <v>69</v>
      </c>
      <c r="X3" s="121" t="s">
        <v>72</v>
      </c>
      <c r="Y3" s="168" t="s">
        <v>69</v>
      </c>
      <c r="Z3" s="194" t="s">
        <v>108</v>
      </c>
      <c r="AA3" s="134" t="s">
        <v>69</v>
      </c>
      <c r="AB3" s="134" t="s">
        <v>69</v>
      </c>
      <c r="AC3" s="134" t="s">
        <v>69</v>
      </c>
      <c r="AD3" s="134" t="s">
        <v>69</v>
      </c>
      <c r="AE3" s="134" t="s">
        <v>69</v>
      </c>
      <c r="AF3" s="147" t="s">
        <v>92</v>
      </c>
      <c r="AG3" s="194" t="s">
        <v>108</v>
      </c>
      <c r="AH3" s="168" t="s">
        <v>69</v>
      </c>
      <c r="AI3" s="168" t="s">
        <v>69</v>
      </c>
      <c r="AJ3" s="169" t="s">
        <v>69</v>
      </c>
      <c r="AK3" s="168" t="s">
        <v>69</v>
      </c>
    </row>
    <row r="4" spans="1:37" ht="18">
      <c r="A4" s="5">
        <v>3</v>
      </c>
      <c r="B4" s="196" t="s">
        <v>8</v>
      </c>
      <c r="C4" s="169">
        <v>3.5</v>
      </c>
      <c r="D4" s="169"/>
      <c r="E4" s="260">
        <v>3.5</v>
      </c>
      <c r="F4" s="259">
        <f t="shared" si="0"/>
        <v>0</v>
      </c>
      <c r="G4" s="205" t="s">
        <v>69</v>
      </c>
      <c r="H4" s="205" t="s">
        <v>69</v>
      </c>
      <c r="I4" s="205" t="s">
        <v>69</v>
      </c>
      <c r="J4" s="205" t="s">
        <v>69</v>
      </c>
      <c r="K4" s="205" t="s">
        <v>69</v>
      </c>
      <c r="L4" s="175" t="s">
        <v>108</v>
      </c>
      <c r="M4" s="168" t="s">
        <v>69</v>
      </c>
      <c r="N4" s="168" t="s">
        <v>69</v>
      </c>
      <c r="O4" s="168" t="s">
        <v>69</v>
      </c>
      <c r="P4" s="121" t="s">
        <v>72</v>
      </c>
      <c r="Q4" s="168" t="s">
        <v>69</v>
      </c>
      <c r="R4" s="168" t="s">
        <v>69</v>
      </c>
      <c r="S4" s="174" t="s">
        <v>108</v>
      </c>
      <c r="T4" s="168" t="s">
        <v>69</v>
      </c>
      <c r="U4" s="132" t="s">
        <v>94</v>
      </c>
      <c r="V4" s="168" t="s">
        <v>69</v>
      </c>
      <c r="W4" s="168" t="s">
        <v>69</v>
      </c>
      <c r="X4" s="168" t="s">
        <v>69</v>
      </c>
      <c r="Y4" s="168" t="s">
        <v>69</v>
      </c>
      <c r="Z4" s="174" t="s">
        <v>108</v>
      </c>
      <c r="AA4" s="121" t="s">
        <v>72</v>
      </c>
      <c r="AB4" s="134" t="s">
        <v>69</v>
      </c>
      <c r="AC4" s="134" t="s">
        <v>69</v>
      </c>
      <c r="AD4" s="134" t="s">
        <v>69</v>
      </c>
      <c r="AE4" s="134" t="s">
        <v>69</v>
      </c>
      <c r="AF4" s="134" t="s">
        <v>69</v>
      </c>
      <c r="AG4" s="174" t="s">
        <v>108</v>
      </c>
      <c r="AH4" s="168" t="s">
        <v>69</v>
      </c>
      <c r="AI4" s="168" t="s">
        <v>69</v>
      </c>
      <c r="AJ4" s="169" t="s">
        <v>69</v>
      </c>
      <c r="AK4" s="121" t="s">
        <v>72</v>
      </c>
    </row>
    <row r="5" spans="1:37" ht="18">
      <c r="A5" s="5">
        <v>4</v>
      </c>
      <c r="B5" s="196" t="s">
        <v>11</v>
      </c>
      <c r="C5" s="169">
        <v>6</v>
      </c>
      <c r="D5" s="169"/>
      <c r="E5" s="260">
        <v>2.5</v>
      </c>
      <c r="F5" s="259">
        <f t="shared" si="0"/>
        <v>3.5</v>
      </c>
      <c r="G5" s="205" t="s">
        <v>69</v>
      </c>
      <c r="H5" s="205" t="s">
        <v>69</v>
      </c>
      <c r="I5" s="205" t="s">
        <v>69</v>
      </c>
      <c r="J5" s="205" t="s">
        <v>69</v>
      </c>
      <c r="K5" s="205" t="s">
        <v>69</v>
      </c>
      <c r="L5" s="174" t="s">
        <v>108</v>
      </c>
      <c r="M5" s="121" t="s">
        <v>72</v>
      </c>
      <c r="N5" s="134" t="s">
        <v>69</v>
      </c>
      <c r="O5" s="134" t="s">
        <v>69</v>
      </c>
      <c r="P5" s="134" t="s">
        <v>69</v>
      </c>
      <c r="Q5" s="134" t="s">
        <v>69</v>
      </c>
      <c r="R5" s="134" t="s">
        <v>69</v>
      </c>
      <c r="S5" s="194" t="s">
        <v>108</v>
      </c>
      <c r="T5" s="132" t="s">
        <v>94</v>
      </c>
      <c r="U5" s="134" t="s">
        <v>69</v>
      </c>
      <c r="V5" s="132" t="s">
        <v>94</v>
      </c>
      <c r="W5" s="121" t="s">
        <v>72</v>
      </c>
      <c r="X5" s="132" t="s">
        <v>94</v>
      </c>
      <c r="Y5" s="168" t="s">
        <v>69</v>
      </c>
      <c r="Z5" s="194" t="s">
        <v>108</v>
      </c>
      <c r="AA5" s="132" t="s">
        <v>94</v>
      </c>
      <c r="AB5" s="134" t="s">
        <v>69</v>
      </c>
      <c r="AC5" s="132" t="s">
        <v>94</v>
      </c>
      <c r="AD5" s="121" t="s">
        <v>72</v>
      </c>
      <c r="AE5" s="134" t="s">
        <v>69</v>
      </c>
      <c r="AF5" s="134" t="s">
        <v>69</v>
      </c>
      <c r="AG5" s="194" t="s">
        <v>108</v>
      </c>
      <c r="AH5" s="168" t="s">
        <v>69</v>
      </c>
      <c r="AI5" s="215" t="s">
        <v>94</v>
      </c>
      <c r="AJ5" s="169" t="s">
        <v>69</v>
      </c>
      <c r="AK5" s="168" t="s">
        <v>69</v>
      </c>
    </row>
    <row r="6" spans="1:37" ht="18">
      <c r="A6" s="5">
        <v>6</v>
      </c>
      <c r="B6" s="69" t="s">
        <v>150</v>
      </c>
      <c r="C6" s="168"/>
      <c r="D6" s="168"/>
      <c r="E6" s="69"/>
      <c r="F6" s="69"/>
      <c r="G6" s="208" t="s">
        <v>151</v>
      </c>
      <c r="H6" s="206" t="s">
        <v>69</v>
      </c>
      <c r="I6" s="206" t="s">
        <v>69</v>
      </c>
      <c r="J6" s="206" t="s">
        <v>69</v>
      </c>
      <c r="K6" s="206" t="s">
        <v>69</v>
      </c>
      <c r="L6" s="175" t="s">
        <v>108</v>
      </c>
      <c r="M6" s="168" t="s">
        <v>69</v>
      </c>
      <c r="N6" s="168" t="s">
        <v>69</v>
      </c>
      <c r="O6" s="121" t="s">
        <v>72</v>
      </c>
      <c r="P6" s="121" t="s">
        <v>72</v>
      </c>
      <c r="Q6" s="121" t="s">
        <v>76</v>
      </c>
      <c r="R6" s="121" t="s">
        <v>76</v>
      </c>
      <c r="S6" s="174" t="s">
        <v>108</v>
      </c>
      <c r="T6" s="121" t="s">
        <v>76</v>
      </c>
      <c r="U6" s="121" t="s">
        <v>76</v>
      </c>
      <c r="V6" s="121" t="s">
        <v>76</v>
      </c>
      <c r="W6" s="121" t="s">
        <v>76</v>
      </c>
      <c r="X6" s="121" t="s">
        <v>76</v>
      </c>
      <c r="Y6" s="121" t="s">
        <v>76</v>
      </c>
      <c r="Z6" s="174" t="s">
        <v>108</v>
      </c>
      <c r="AA6" s="131" t="s">
        <v>76</v>
      </c>
      <c r="AB6" s="131" t="s">
        <v>76</v>
      </c>
      <c r="AC6" s="131" t="s">
        <v>76</v>
      </c>
      <c r="AD6" s="131" t="s">
        <v>76</v>
      </c>
      <c r="AE6" s="131" t="s">
        <v>76</v>
      </c>
      <c r="AF6" s="131" t="s">
        <v>76</v>
      </c>
      <c r="AG6" s="174" t="s">
        <v>108</v>
      </c>
      <c r="AH6" s="121" t="s">
        <v>76</v>
      </c>
      <c r="AI6" s="121" t="s">
        <v>76</v>
      </c>
      <c r="AJ6" s="153" t="s">
        <v>76</v>
      </c>
      <c r="AK6" s="121" t="s">
        <v>76</v>
      </c>
    </row>
    <row r="7" spans="1:37" ht="18">
      <c r="A7" s="5">
        <v>7</v>
      </c>
      <c r="B7" s="196" t="s">
        <v>137</v>
      </c>
      <c r="C7" s="168">
        <v>0</v>
      </c>
      <c r="D7" s="168"/>
      <c r="E7" s="261">
        <v>0</v>
      </c>
      <c r="F7" s="259">
        <f t="shared" ref="F7:F8" si="1">C7-E7</f>
        <v>0</v>
      </c>
      <c r="G7" s="134" t="s">
        <v>69</v>
      </c>
      <c r="H7" s="134" t="s">
        <v>69</v>
      </c>
      <c r="I7" s="134" t="s">
        <v>69</v>
      </c>
      <c r="J7" s="134" t="s">
        <v>69</v>
      </c>
      <c r="K7" s="168" t="s">
        <v>69</v>
      </c>
      <c r="L7" s="174" t="s">
        <v>108</v>
      </c>
      <c r="M7" s="168" t="s">
        <v>69</v>
      </c>
      <c r="N7" s="168" t="s">
        <v>69</v>
      </c>
      <c r="O7" s="168" t="s">
        <v>69</v>
      </c>
      <c r="P7" s="168" t="s">
        <v>69</v>
      </c>
      <c r="Q7" s="168" t="s">
        <v>69</v>
      </c>
      <c r="R7" s="168" t="s">
        <v>69</v>
      </c>
      <c r="S7" s="194" t="s">
        <v>108</v>
      </c>
      <c r="T7" s="168" t="s">
        <v>69</v>
      </c>
      <c r="U7" s="168" t="s">
        <v>69</v>
      </c>
      <c r="V7" s="168" t="s">
        <v>69</v>
      </c>
      <c r="W7" s="168" t="s">
        <v>69</v>
      </c>
      <c r="X7" s="168" t="s">
        <v>69</v>
      </c>
      <c r="Y7" s="168" t="s">
        <v>69</v>
      </c>
      <c r="Z7" s="194" t="s">
        <v>108</v>
      </c>
      <c r="AA7" s="130" t="s">
        <v>92</v>
      </c>
      <c r="AB7" s="134" t="s">
        <v>69</v>
      </c>
      <c r="AC7" s="134" t="s">
        <v>69</v>
      </c>
      <c r="AD7" s="134" t="s">
        <v>69</v>
      </c>
      <c r="AE7" s="134" t="s">
        <v>69</v>
      </c>
      <c r="AF7" s="147" t="s">
        <v>92</v>
      </c>
      <c r="AG7" s="194" t="s">
        <v>108</v>
      </c>
      <c r="AH7" s="134" t="s">
        <v>69</v>
      </c>
      <c r="AI7" s="239" t="s">
        <v>69</v>
      </c>
      <c r="AJ7" s="239" t="s">
        <v>69</v>
      </c>
      <c r="AK7" s="134" t="s">
        <v>69</v>
      </c>
    </row>
    <row r="8" spans="1:37" ht="18">
      <c r="A8" s="5">
        <v>8</v>
      </c>
      <c r="B8" s="196" t="s">
        <v>95</v>
      </c>
      <c r="C8" s="168">
        <v>1</v>
      </c>
      <c r="D8" s="168"/>
      <c r="E8" s="261">
        <v>1</v>
      </c>
      <c r="F8" s="259">
        <f t="shared" si="1"/>
        <v>0</v>
      </c>
      <c r="G8" s="134" t="s">
        <v>69</v>
      </c>
      <c r="H8" s="134" t="s">
        <v>69</v>
      </c>
      <c r="I8" s="134" t="s">
        <v>69</v>
      </c>
      <c r="J8" s="134" t="s">
        <v>69</v>
      </c>
      <c r="K8" s="134" t="s">
        <v>69</v>
      </c>
      <c r="L8" s="175" t="s">
        <v>108</v>
      </c>
      <c r="M8" s="168" t="s">
        <v>69</v>
      </c>
      <c r="N8" s="168" t="s">
        <v>69</v>
      </c>
      <c r="O8" s="168" t="s">
        <v>69</v>
      </c>
      <c r="P8" s="168" t="s">
        <v>69</v>
      </c>
      <c r="Q8" s="168" t="s">
        <v>69</v>
      </c>
      <c r="R8" s="168" t="s">
        <v>69</v>
      </c>
      <c r="S8" s="174" t="s">
        <v>108</v>
      </c>
      <c r="T8" s="168" t="s">
        <v>69</v>
      </c>
      <c r="U8" s="168" t="s">
        <v>69</v>
      </c>
      <c r="V8" s="168" t="s">
        <v>69</v>
      </c>
      <c r="W8" s="121" t="s">
        <v>72</v>
      </c>
      <c r="X8" s="168" t="s">
        <v>69</v>
      </c>
      <c r="Y8" s="168" t="s">
        <v>69</v>
      </c>
      <c r="Z8" s="174" t="s">
        <v>108</v>
      </c>
      <c r="AA8" s="168" t="s">
        <v>69</v>
      </c>
      <c r="AB8" s="168" t="s">
        <v>69</v>
      </c>
      <c r="AC8" s="168" t="s">
        <v>69</v>
      </c>
      <c r="AD8" s="168" t="s">
        <v>69</v>
      </c>
      <c r="AE8" s="168" t="s">
        <v>69</v>
      </c>
      <c r="AF8" s="168" t="s">
        <v>69</v>
      </c>
      <c r="AG8" s="174" t="s">
        <v>108</v>
      </c>
      <c r="AH8" s="134" t="s">
        <v>69</v>
      </c>
      <c r="AI8" s="134" t="s">
        <v>69</v>
      </c>
      <c r="AJ8" s="239" t="s">
        <v>69</v>
      </c>
      <c r="AK8" s="134" t="s">
        <v>69</v>
      </c>
    </row>
    <row r="9" spans="1:37" ht="18">
      <c r="A9" s="5">
        <v>9</v>
      </c>
      <c r="B9" s="69" t="s">
        <v>152</v>
      </c>
      <c r="C9" s="168"/>
      <c r="D9" s="168"/>
      <c r="E9" s="69"/>
      <c r="F9" s="69"/>
      <c r="G9" s="121" t="s">
        <v>72</v>
      </c>
      <c r="H9" s="121" t="s">
        <v>72</v>
      </c>
      <c r="I9" s="121" t="s">
        <v>72</v>
      </c>
      <c r="J9" s="121" t="s">
        <v>72</v>
      </c>
      <c r="K9" s="121" t="s">
        <v>72</v>
      </c>
      <c r="L9" s="174" t="s">
        <v>108</v>
      </c>
      <c r="M9" s="131" t="s">
        <v>72</v>
      </c>
      <c r="N9" s="131" t="s">
        <v>72</v>
      </c>
      <c r="O9" s="134" t="s">
        <v>69</v>
      </c>
      <c r="P9" s="134" t="s">
        <v>69</v>
      </c>
      <c r="Q9" s="134" t="s">
        <v>69</v>
      </c>
      <c r="R9" s="134" t="s">
        <v>69</v>
      </c>
      <c r="S9" s="194" t="s">
        <v>108</v>
      </c>
      <c r="T9" s="168" t="s">
        <v>69</v>
      </c>
      <c r="U9" s="168" t="s">
        <v>69</v>
      </c>
      <c r="V9" s="168" t="s">
        <v>69</v>
      </c>
      <c r="W9" s="121" t="s">
        <v>72</v>
      </c>
      <c r="X9" s="121" t="s">
        <v>72</v>
      </c>
      <c r="Y9" s="121" t="s">
        <v>76</v>
      </c>
      <c r="Z9" s="194" t="s">
        <v>108</v>
      </c>
      <c r="AA9" s="131" t="s">
        <v>76</v>
      </c>
      <c r="AB9" s="131" t="s">
        <v>76</v>
      </c>
      <c r="AC9" s="131" t="s">
        <v>76</v>
      </c>
      <c r="AD9" s="131" t="s">
        <v>76</v>
      </c>
      <c r="AE9" s="131" t="s">
        <v>76</v>
      </c>
      <c r="AF9" s="131" t="s">
        <v>76</v>
      </c>
      <c r="AG9" s="194" t="s">
        <v>108</v>
      </c>
      <c r="AH9" s="121" t="s">
        <v>76</v>
      </c>
      <c r="AI9" s="121" t="s">
        <v>76</v>
      </c>
      <c r="AJ9" s="153" t="s">
        <v>76</v>
      </c>
      <c r="AK9" s="121" t="s">
        <v>76</v>
      </c>
    </row>
    <row r="10" spans="1:37" ht="18">
      <c r="A10" s="11">
        <v>10</v>
      </c>
      <c r="B10" s="265" t="s">
        <v>13</v>
      </c>
      <c r="C10" s="220">
        <v>0.5</v>
      </c>
      <c r="D10" s="220"/>
      <c r="E10" s="262">
        <v>0.5</v>
      </c>
      <c r="F10" s="267">
        <f>C10-E10</f>
        <v>0</v>
      </c>
      <c r="G10" s="147" t="s">
        <v>92</v>
      </c>
      <c r="H10" s="134" t="s">
        <v>69</v>
      </c>
      <c r="I10" s="134" t="s">
        <v>69</v>
      </c>
      <c r="J10" s="134" t="s">
        <v>69</v>
      </c>
      <c r="K10" s="134" t="s">
        <v>69</v>
      </c>
      <c r="L10" s="174" t="s">
        <v>108</v>
      </c>
      <c r="M10" s="168" t="s">
        <v>69</v>
      </c>
      <c r="N10" s="168" t="s">
        <v>69</v>
      </c>
      <c r="O10" s="134" t="s">
        <v>69</v>
      </c>
      <c r="P10" s="134" t="s">
        <v>69</v>
      </c>
      <c r="Q10" s="132" t="s">
        <v>94</v>
      </c>
      <c r="R10" s="168" t="s">
        <v>69</v>
      </c>
      <c r="S10" s="174" t="s">
        <v>108</v>
      </c>
      <c r="T10" s="168" t="s">
        <v>69</v>
      </c>
      <c r="U10" s="168" t="s">
        <v>69</v>
      </c>
      <c r="V10" s="168" t="s">
        <v>69</v>
      </c>
      <c r="W10" s="134" t="s">
        <v>121</v>
      </c>
      <c r="X10" s="130" t="s">
        <v>92</v>
      </c>
      <c r="Y10" s="168" t="s">
        <v>69</v>
      </c>
      <c r="Z10" s="174" t="s">
        <v>108</v>
      </c>
      <c r="AA10" s="130" t="s">
        <v>92</v>
      </c>
      <c r="AB10" s="134" t="s">
        <v>69</v>
      </c>
      <c r="AC10" s="134" t="s">
        <v>69</v>
      </c>
      <c r="AD10" s="134" t="s">
        <v>69</v>
      </c>
      <c r="AE10" s="134" t="s">
        <v>69</v>
      </c>
      <c r="AF10" s="134" t="s">
        <v>69</v>
      </c>
      <c r="AG10" s="174" t="s">
        <v>108</v>
      </c>
      <c r="AH10" s="168" t="s">
        <v>69</v>
      </c>
      <c r="AI10" s="168" t="s">
        <v>69</v>
      </c>
      <c r="AJ10" s="169" t="s">
        <v>69</v>
      </c>
      <c r="AK10" s="168" t="s">
        <v>69</v>
      </c>
    </row>
    <row r="11" spans="1:37" ht="18">
      <c r="A11" s="5">
        <v>11</v>
      </c>
      <c r="B11" s="254" t="s">
        <v>14</v>
      </c>
      <c r="C11" s="168">
        <v>7</v>
      </c>
      <c r="D11" s="168"/>
      <c r="E11" s="261">
        <v>0</v>
      </c>
      <c r="F11" s="266">
        <v>7</v>
      </c>
      <c r="G11" s="144" t="s">
        <v>72</v>
      </c>
      <c r="H11" s="144" t="s">
        <v>72</v>
      </c>
      <c r="I11" s="144" t="s">
        <v>72</v>
      </c>
      <c r="J11" s="144" t="s">
        <v>72</v>
      </c>
      <c r="K11" s="144" t="s">
        <v>72</v>
      </c>
      <c r="L11" s="174" t="s">
        <v>108</v>
      </c>
      <c r="M11" s="121" t="s">
        <v>72</v>
      </c>
      <c r="N11" s="168" t="s">
        <v>69</v>
      </c>
      <c r="O11" s="134" t="s">
        <v>69</v>
      </c>
      <c r="P11" s="134" t="s">
        <v>69</v>
      </c>
      <c r="Q11" s="134" t="s">
        <v>69</v>
      </c>
      <c r="R11" s="168" t="s">
        <v>69</v>
      </c>
      <c r="S11" s="194" t="s">
        <v>108</v>
      </c>
      <c r="T11" s="168" t="s">
        <v>69</v>
      </c>
      <c r="U11" s="168" t="s">
        <v>69</v>
      </c>
      <c r="V11" s="168" t="s">
        <v>69</v>
      </c>
      <c r="W11" s="168" t="s">
        <v>69</v>
      </c>
      <c r="X11" s="134" t="s">
        <v>69</v>
      </c>
      <c r="Y11" s="168" t="s">
        <v>69</v>
      </c>
      <c r="Z11" s="194" t="s">
        <v>108</v>
      </c>
      <c r="AA11" s="134" t="s">
        <v>69</v>
      </c>
      <c r="AB11" s="134" t="s">
        <v>69</v>
      </c>
      <c r="AC11" s="134" t="s">
        <v>69</v>
      </c>
      <c r="AD11" s="134" t="s">
        <v>69</v>
      </c>
      <c r="AE11" s="134" t="s">
        <v>69</v>
      </c>
      <c r="AF11" s="134" t="s">
        <v>69</v>
      </c>
      <c r="AG11" s="194" t="s">
        <v>108</v>
      </c>
      <c r="AH11" s="168" t="s">
        <v>69</v>
      </c>
      <c r="AI11" s="168" t="s">
        <v>69</v>
      </c>
      <c r="AJ11" s="169" t="s">
        <v>69</v>
      </c>
      <c r="AK11" s="168" t="s">
        <v>69</v>
      </c>
    </row>
    <row r="12" spans="1:37" ht="18">
      <c r="A12" s="5">
        <v>11</v>
      </c>
      <c r="B12" s="257" t="s">
        <v>153</v>
      </c>
      <c r="C12" s="168"/>
      <c r="D12" s="168"/>
      <c r="E12" s="133"/>
      <c r="F12" s="133"/>
      <c r="G12" s="207" t="s">
        <v>69</v>
      </c>
      <c r="H12" s="134" t="s">
        <v>69</v>
      </c>
      <c r="I12" s="134" t="s">
        <v>69</v>
      </c>
      <c r="J12" s="134" t="s">
        <v>69</v>
      </c>
      <c r="K12" s="134" t="s">
        <v>69</v>
      </c>
      <c r="L12" s="175" t="s">
        <v>108</v>
      </c>
      <c r="M12" s="168" t="s">
        <v>69</v>
      </c>
      <c r="N12" s="121" t="s">
        <v>72</v>
      </c>
      <c r="O12" s="121" t="s">
        <v>72</v>
      </c>
      <c r="P12" s="121" t="s">
        <v>76</v>
      </c>
      <c r="Q12" s="121" t="s">
        <v>76</v>
      </c>
      <c r="R12" s="121" t="s">
        <v>76</v>
      </c>
      <c r="S12" s="194" t="s">
        <v>108</v>
      </c>
      <c r="T12" s="121" t="s">
        <v>76</v>
      </c>
      <c r="U12" s="121" t="s">
        <v>76</v>
      </c>
      <c r="V12" s="121" t="s">
        <v>76</v>
      </c>
      <c r="W12" s="121" t="s">
        <v>76</v>
      </c>
      <c r="X12" s="121" t="s">
        <v>76</v>
      </c>
      <c r="Y12" s="121" t="s">
        <v>76</v>
      </c>
      <c r="Z12" s="194" t="s">
        <v>108</v>
      </c>
      <c r="AA12" s="131" t="s">
        <v>76</v>
      </c>
      <c r="AB12" s="131" t="s">
        <v>76</v>
      </c>
      <c r="AC12" s="131" t="s">
        <v>76</v>
      </c>
      <c r="AD12" s="131" t="s">
        <v>76</v>
      </c>
      <c r="AE12" s="131" t="s">
        <v>76</v>
      </c>
      <c r="AF12" s="131" t="s">
        <v>76</v>
      </c>
      <c r="AG12" s="194" t="s">
        <v>108</v>
      </c>
      <c r="AH12" s="131" t="s">
        <v>76</v>
      </c>
      <c r="AI12" s="131" t="s">
        <v>76</v>
      </c>
      <c r="AJ12" s="152" t="s">
        <v>76</v>
      </c>
      <c r="AK12" s="131" t="s">
        <v>76</v>
      </c>
    </row>
    <row r="13" spans="1:37" ht="18">
      <c r="A13" s="8">
        <v>12</v>
      </c>
      <c r="B13" s="264" t="s">
        <v>16</v>
      </c>
      <c r="C13" s="206">
        <v>4.5</v>
      </c>
      <c r="D13" s="206"/>
      <c r="E13" s="268">
        <v>4.5</v>
      </c>
      <c r="F13" s="269">
        <f t="shared" ref="F13:F19" si="2">C13-E13</f>
        <v>0</v>
      </c>
      <c r="G13" s="134" t="s">
        <v>69</v>
      </c>
      <c r="H13" s="132" t="s">
        <v>94</v>
      </c>
      <c r="I13" s="168" t="s">
        <v>69</v>
      </c>
      <c r="J13" s="168" t="s">
        <v>69</v>
      </c>
      <c r="K13" s="168" t="s">
        <v>69</v>
      </c>
      <c r="L13" s="174" t="s">
        <v>108</v>
      </c>
      <c r="M13" s="131" t="s">
        <v>72</v>
      </c>
      <c r="N13" s="131" t="s">
        <v>72</v>
      </c>
      <c r="O13" s="168" t="s">
        <v>69</v>
      </c>
      <c r="P13" s="168" t="s">
        <v>69</v>
      </c>
      <c r="Q13" s="168" t="s">
        <v>69</v>
      </c>
      <c r="R13" s="168" t="s">
        <v>69</v>
      </c>
      <c r="S13" s="174" t="s">
        <v>108</v>
      </c>
      <c r="T13" s="168" t="s">
        <v>69</v>
      </c>
      <c r="U13" s="168" t="s">
        <v>69</v>
      </c>
      <c r="V13" s="168" t="s">
        <v>69</v>
      </c>
      <c r="W13" s="168" t="s">
        <v>69</v>
      </c>
      <c r="X13" s="132" t="s">
        <v>94</v>
      </c>
      <c r="Y13" s="134" t="s">
        <v>69</v>
      </c>
      <c r="Z13" s="174" t="s">
        <v>108</v>
      </c>
      <c r="AA13" s="168" t="s">
        <v>69</v>
      </c>
      <c r="AB13" s="168" t="s">
        <v>69</v>
      </c>
      <c r="AC13" s="168" t="s">
        <v>69</v>
      </c>
      <c r="AD13" s="168" t="s">
        <v>69</v>
      </c>
      <c r="AE13" s="168" t="s">
        <v>69</v>
      </c>
      <c r="AF13" s="168" t="s">
        <v>69</v>
      </c>
      <c r="AG13" s="174" t="s">
        <v>108</v>
      </c>
      <c r="AH13" s="132" t="s">
        <v>94</v>
      </c>
      <c r="AI13" s="239" t="s">
        <v>69</v>
      </c>
      <c r="AJ13" s="153" t="s">
        <v>72</v>
      </c>
      <c r="AK13" s="120" t="s">
        <v>69</v>
      </c>
    </row>
    <row r="14" spans="1:37" ht="18">
      <c r="A14" s="5">
        <v>13</v>
      </c>
      <c r="B14" s="196" t="s">
        <v>154</v>
      </c>
      <c r="C14" s="168">
        <v>20</v>
      </c>
      <c r="D14" s="168"/>
      <c r="E14" s="261">
        <v>0</v>
      </c>
      <c r="F14" s="259">
        <f t="shared" si="2"/>
        <v>20</v>
      </c>
      <c r="G14" s="121" t="s">
        <v>72</v>
      </c>
      <c r="H14" s="121" t="s">
        <v>72</v>
      </c>
      <c r="I14" s="121" t="s">
        <v>72</v>
      </c>
      <c r="J14" s="121" t="s">
        <v>72</v>
      </c>
      <c r="K14" s="121" t="s">
        <v>72</v>
      </c>
      <c r="L14" s="175" t="s">
        <v>108</v>
      </c>
      <c r="M14" s="131" t="s">
        <v>72</v>
      </c>
      <c r="N14" s="131" t="s">
        <v>72</v>
      </c>
      <c r="O14" s="131" t="s">
        <v>72</v>
      </c>
      <c r="P14" s="131" t="s">
        <v>72</v>
      </c>
      <c r="Q14" s="131" t="s">
        <v>72</v>
      </c>
      <c r="R14" s="131" t="s">
        <v>72</v>
      </c>
      <c r="S14" s="194" t="s">
        <v>108</v>
      </c>
      <c r="T14" s="131" t="s">
        <v>72</v>
      </c>
      <c r="U14" s="131" t="s">
        <v>72</v>
      </c>
      <c r="V14" s="131" t="s">
        <v>72</v>
      </c>
      <c r="W14" s="131" t="s">
        <v>72</v>
      </c>
      <c r="X14" s="131" t="s">
        <v>72</v>
      </c>
      <c r="Y14" s="131" t="s">
        <v>72</v>
      </c>
      <c r="Z14" s="194" t="s">
        <v>108</v>
      </c>
      <c r="AA14" s="168" t="s">
        <v>69</v>
      </c>
      <c r="AB14" s="168" t="s">
        <v>69</v>
      </c>
      <c r="AC14" s="168" t="s">
        <v>69</v>
      </c>
      <c r="AD14" s="130" t="s">
        <v>92</v>
      </c>
      <c r="AE14" s="168" t="s">
        <v>69</v>
      </c>
      <c r="AF14" s="168" t="s">
        <v>69</v>
      </c>
      <c r="AG14" s="194" t="s">
        <v>108</v>
      </c>
      <c r="AH14" s="168" t="s">
        <v>69</v>
      </c>
      <c r="AI14" s="168" t="s">
        <v>69</v>
      </c>
      <c r="AJ14" s="169" t="s">
        <v>69</v>
      </c>
      <c r="AK14" s="168" t="s">
        <v>69</v>
      </c>
    </row>
    <row r="15" spans="1:37" ht="18">
      <c r="A15" s="5">
        <v>14</v>
      </c>
      <c r="B15" s="196" t="s">
        <v>17</v>
      </c>
      <c r="C15" s="168">
        <v>1.5</v>
      </c>
      <c r="D15" s="168"/>
      <c r="E15" s="261">
        <v>1.5</v>
      </c>
      <c r="F15" s="259">
        <f t="shared" si="2"/>
        <v>0</v>
      </c>
      <c r="G15" s="134" t="s">
        <v>69</v>
      </c>
      <c r="H15" s="130" t="s">
        <v>92</v>
      </c>
      <c r="I15" s="134" t="s">
        <v>69</v>
      </c>
      <c r="J15" s="134" t="s">
        <v>69</v>
      </c>
      <c r="K15" s="134" t="s">
        <v>69</v>
      </c>
      <c r="L15" s="175" t="s">
        <v>108</v>
      </c>
      <c r="M15" s="134" t="s">
        <v>69</v>
      </c>
      <c r="N15" s="134" t="s">
        <v>69</v>
      </c>
      <c r="O15" s="134" t="s">
        <v>69</v>
      </c>
      <c r="P15" s="134" t="s">
        <v>69</v>
      </c>
      <c r="Q15" s="134" t="s">
        <v>69</v>
      </c>
      <c r="R15" s="134" t="s">
        <v>69</v>
      </c>
      <c r="S15" s="194" t="s">
        <v>108</v>
      </c>
      <c r="T15" s="168" t="s">
        <v>69</v>
      </c>
      <c r="U15" s="168" t="s">
        <v>69</v>
      </c>
      <c r="V15" s="168" t="s">
        <v>69</v>
      </c>
      <c r="W15" s="168" t="s">
        <v>69</v>
      </c>
      <c r="X15" s="132" t="s">
        <v>94</v>
      </c>
      <c r="Y15" s="121"/>
      <c r="Z15" s="194" t="s">
        <v>108</v>
      </c>
      <c r="AA15" s="168" t="s">
        <v>69</v>
      </c>
      <c r="AB15" s="121" t="s">
        <v>72</v>
      </c>
      <c r="AC15" s="134" t="s">
        <v>69</v>
      </c>
      <c r="AD15" s="134" t="s">
        <v>69</v>
      </c>
      <c r="AE15" s="134" t="s">
        <v>69</v>
      </c>
      <c r="AF15" s="134" t="s">
        <v>69</v>
      </c>
      <c r="AG15" s="194" t="s">
        <v>108</v>
      </c>
      <c r="AH15" s="134" t="s">
        <v>69</v>
      </c>
      <c r="AI15" s="134" t="s">
        <v>69</v>
      </c>
      <c r="AJ15" s="239" t="s">
        <v>69</v>
      </c>
      <c r="AK15" s="134" t="s">
        <v>69</v>
      </c>
    </row>
    <row r="16" spans="1:37" ht="18">
      <c r="A16" s="5">
        <v>15</v>
      </c>
      <c r="B16" s="196" t="s">
        <v>75</v>
      </c>
      <c r="C16" s="168">
        <v>0</v>
      </c>
      <c r="D16" s="168"/>
      <c r="E16" s="261">
        <v>0</v>
      </c>
      <c r="F16" s="259">
        <f t="shared" si="2"/>
        <v>0</v>
      </c>
      <c r="G16" s="134" t="s">
        <v>69</v>
      </c>
      <c r="H16" s="134" t="s">
        <v>69</v>
      </c>
      <c r="I16" s="134" t="s">
        <v>69</v>
      </c>
      <c r="J16" s="134" t="s">
        <v>69</v>
      </c>
      <c r="K16" s="134" t="s">
        <v>69</v>
      </c>
      <c r="L16" s="174" t="s">
        <v>108</v>
      </c>
      <c r="M16" s="134" t="s">
        <v>69</v>
      </c>
      <c r="N16" s="134" t="s">
        <v>69</v>
      </c>
      <c r="O16" s="134" t="s">
        <v>69</v>
      </c>
      <c r="P16" s="134" t="s">
        <v>69</v>
      </c>
      <c r="Q16" s="134" t="s">
        <v>69</v>
      </c>
      <c r="R16" s="134" t="s">
        <v>69</v>
      </c>
      <c r="S16" s="174" t="s">
        <v>108</v>
      </c>
      <c r="T16" s="168" t="s">
        <v>69</v>
      </c>
      <c r="U16" s="168" t="s">
        <v>69</v>
      </c>
      <c r="V16" s="168" t="s">
        <v>69</v>
      </c>
      <c r="W16" s="168" t="s">
        <v>69</v>
      </c>
      <c r="X16" s="168" t="s">
        <v>69</v>
      </c>
      <c r="Y16" s="168" t="s">
        <v>69</v>
      </c>
      <c r="Z16" s="174" t="s">
        <v>108</v>
      </c>
      <c r="AA16" s="168" t="s">
        <v>69</v>
      </c>
      <c r="AB16" s="168" t="s">
        <v>69</v>
      </c>
      <c r="AC16" s="168" t="s">
        <v>69</v>
      </c>
      <c r="AD16" s="168" t="s">
        <v>69</v>
      </c>
      <c r="AE16" s="168" t="s">
        <v>69</v>
      </c>
      <c r="AF16" s="130" t="s">
        <v>92</v>
      </c>
      <c r="AG16" s="174" t="s">
        <v>108</v>
      </c>
      <c r="AH16" s="134" t="s">
        <v>69</v>
      </c>
      <c r="AI16" s="134" t="s">
        <v>69</v>
      </c>
      <c r="AJ16" s="239" t="s">
        <v>69</v>
      </c>
      <c r="AK16" s="134" t="s">
        <v>69</v>
      </c>
    </row>
    <row r="17" spans="1:37" ht="18">
      <c r="A17" s="5">
        <v>16</v>
      </c>
      <c r="B17" s="196" t="s">
        <v>19</v>
      </c>
      <c r="C17" s="168">
        <v>0</v>
      </c>
      <c r="D17" s="168"/>
      <c r="E17" s="261">
        <v>0</v>
      </c>
      <c r="F17" s="259">
        <f t="shared" si="2"/>
        <v>0</v>
      </c>
      <c r="G17" s="134" t="s">
        <v>69</v>
      </c>
      <c r="H17" s="134" t="s">
        <v>69</v>
      </c>
      <c r="I17" s="134" t="s">
        <v>69</v>
      </c>
      <c r="J17" s="134" t="s">
        <v>69</v>
      </c>
      <c r="K17" s="168" t="s">
        <v>69</v>
      </c>
      <c r="L17" s="175" t="s">
        <v>108</v>
      </c>
      <c r="M17" s="134" t="s">
        <v>69</v>
      </c>
      <c r="N17" s="134" t="s">
        <v>69</v>
      </c>
      <c r="O17" s="134" t="s">
        <v>69</v>
      </c>
      <c r="P17" s="134" t="s">
        <v>69</v>
      </c>
      <c r="Q17" s="134" t="s">
        <v>69</v>
      </c>
      <c r="R17" s="134" t="s">
        <v>69</v>
      </c>
      <c r="S17" s="194" t="s">
        <v>108</v>
      </c>
      <c r="T17" s="168" t="s">
        <v>69</v>
      </c>
      <c r="U17" s="134" t="s">
        <v>69</v>
      </c>
      <c r="V17" s="134" t="s">
        <v>69</v>
      </c>
      <c r="W17" s="134" t="s">
        <v>69</v>
      </c>
      <c r="X17" s="134" t="s">
        <v>69</v>
      </c>
      <c r="Y17" s="134" t="s">
        <v>69</v>
      </c>
      <c r="Z17" s="194" t="s">
        <v>108</v>
      </c>
      <c r="AA17" s="168" t="s">
        <v>69</v>
      </c>
      <c r="AB17" s="168" t="s">
        <v>69</v>
      </c>
      <c r="AC17" s="168" t="s">
        <v>69</v>
      </c>
      <c r="AD17" s="168" t="s">
        <v>69</v>
      </c>
      <c r="AE17" s="168" t="s">
        <v>69</v>
      </c>
      <c r="AF17" s="168" t="s">
        <v>69</v>
      </c>
      <c r="AG17" s="194" t="s">
        <v>108</v>
      </c>
      <c r="AH17" s="134" t="s">
        <v>69</v>
      </c>
      <c r="AI17" s="134" t="s">
        <v>69</v>
      </c>
      <c r="AJ17" s="239" t="s">
        <v>69</v>
      </c>
      <c r="AK17" s="134" t="s">
        <v>69</v>
      </c>
    </row>
    <row r="18" spans="1:37" ht="18">
      <c r="A18" s="5">
        <v>17</v>
      </c>
      <c r="B18" s="70" t="s">
        <v>155</v>
      </c>
      <c r="C18" s="168">
        <v>1</v>
      </c>
      <c r="D18" s="168"/>
      <c r="E18" s="261">
        <v>1</v>
      </c>
      <c r="F18" s="259">
        <f t="shared" si="2"/>
        <v>0</v>
      </c>
      <c r="G18" s="134" t="s">
        <v>69</v>
      </c>
      <c r="H18" s="134" t="s">
        <v>69</v>
      </c>
      <c r="I18" s="134" t="s">
        <v>69</v>
      </c>
      <c r="J18" s="134" t="s">
        <v>69</v>
      </c>
      <c r="K18" s="134" t="s">
        <v>69</v>
      </c>
      <c r="L18" s="174" t="s">
        <v>108</v>
      </c>
      <c r="M18" s="134" t="s">
        <v>69</v>
      </c>
      <c r="N18" s="134" t="s">
        <v>69</v>
      </c>
      <c r="O18" s="121" t="s">
        <v>148</v>
      </c>
      <c r="P18" s="134" t="s">
        <v>69</v>
      </c>
      <c r="Q18" s="134" t="s">
        <v>69</v>
      </c>
      <c r="R18" s="134" t="s">
        <v>69</v>
      </c>
      <c r="S18" s="174" t="s">
        <v>108</v>
      </c>
      <c r="T18" s="134" t="s">
        <v>69</v>
      </c>
      <c r="U18" s="134" t="s">
        <v>69</v>
      </c>
      <c r="V18" s="134" t="s">
        <v>69</v>
      </c>
      <c r="W18" s="134" t="s">
        <v>69</v>
      </c>
      <c r="X18" s="134" t="s">
        <v>69</v>
      </c>
      <c r="Y18" s="134" t="s">
        <v>69</v>
      </c>
      <c r="Z18" s="174" t="s">
        <v>108</v>
      </c>
      <c r="AA18" s="168" t="s">
        <v>69</v>
      </c>
      <c r="AB18" s="168" t="s">
        <v>69</v>
      </c>
      <c r="AC18" s="168" t="s">
        <v>69</v>
      </c>
      <c r="AD18" s="168" t="s">
        <v>69</v>
      </c>
      <c r="AE18" s="168" t="s">
        <v>69</v>
      </c>
      <c r="AF18" s="168" t="s">
        <v>69</v>
      </c>
      <c r="AG18" s="174" t="s">
        <v>108</v>
      </c>
      <c r="AH18" s="130" t="s">
        <v>92</v>
      </c>
      <c r="AI18" s="134" t="s">
        <v>69</v>
      </c>
      <c r="AJ18" s="239" t="s">
        <v>69</v>
      </c>
      <c r="AK18" s="134" t="s">
        <v>69</v>
      </c>
    </row>
    <row r="19" spans="1:37" ht="18">
      <c r="A19" s="5">
        <v>18</v>
      </c>
      <c r="B19" s="196" t="s">
        <v>20</v>
      </c>
      <c r="C19" s="168">
        <v>2.5</v>
      </c>
      <c r="D19" s="168"/>
      <c r="E19" s="261">
        <v>2.5</v>
      </c>
      <c r="F19" s="259">
        <f t="shared" si="2"/>
        <v>0</v>
      </c>
      <c r="G19" s="199" t="s">
        <v>69</v>
      </c>
      <c r="H19" s="199" t="s">
        <v>69</v>
      </c>
      <c r="I19" s="199" t="s">
        <v>69</v>
      </c>
      <c r="J19" s="199" t="s">
        <v>69</v>
      </c>
      <c r="K19" s="199" t="s">
        <v>69</v>
      </c>
      <c r="L19" s="175" t="s">
        <v>108</v>
      </c>
      <c r="M19" s="121" t="s">
        <v>72</v>
      </c>
      <c r="N19" s="134" t="s">
        <v>69</v>
      </c>
      <c r="O19" s="134" t="s">
        <v>69</v>
      </c>
      <c r="P19" s="134" t="s">
        <v>69</v>
      </c>
      <c r="Q19" s="134" t="s">
        <v>69</v>
      </c>
      <c r="R19" s="134" t="s">
        <v>69</v>
      </c>
      <c r="S19" s="194" t="s">
        <v>108</v>
      </c>
      <c r="T19" s="130" t="s">
        <v>92</v>
      </c>
      <c r="U19" s="134" t="s">
        <v>69</v>
      </c>
      <c r="V19" s="134" t="s">
        <v>69</v>
      </c>
      <c r="W19" s="134" t="s">
        <v>69</v>
      </c>
      <c r="X19" s="121" t="s">
        <v>72</v>
      </c>
      <c r="Y19" s="134" t="s">
        <v>69</v>
      </c>
      <c r="Z19" s="194" t="s">
        <v>108</v>
      </c>
      <c r="AA19" s="168" t="s">
        <v>69</v>
      </c>
      <c r="AB19" s="168" t="s">
        <v>69</v>
      </c>
      <c r="AC19" s="168" t="s">
        <v>69</v>
      </c>
      <c r="AD19" s="168" t="s">
        <v>69</v>
      </c>
      <c r="AE19" s="168" t="s">
        <v>69</v>
      </c>
      <c r="AF19" s="168" t="s">
        <v>69</v>
      </c>
      <c r="AG19" s="194" t="s">
        <v>108</v>
      </c>
      <c r="AH19" s="132" t="s">
        <v>94</v>
      </c>
      <c r="AI19" s="134" t="s">
        <v>69</v>
      </c>
      <c r="AJ19" s="239" t="s">
        <v>69</v>
      </c>
      <c r="AK19" s="134" t="s">
        <v>69</v>
      </c>
    </row>
    <row r="20" spans="1:37" ht="18">
      <c r="A20" s="5">
        <v>19</v>
      </c>
      <c r="B20" s="69" t="s">
        <v>156</v>
      </c>
      <c r="C20" s="169"/>
      <c r="D20" s="169"/>
      <c r="E20" s="255"/>
      <c r="F20" s="255"/>
      <c r="G20" s="197" t="s">
        <v>72</v>
      </c>
      <c r="H20" s="197" t="s">
        <v>72</v>
      </c>
      <c r="I20" s="197" t="s">
        <v>72</v>
      </c>
      <c r="J20" s="198" t="s">
        <v>69</v>
      </c>
      <c r="K20" s="168" t="s">
        <v>69</v>
      </c>
      <c r="L20" s="174" t="s">
        <v>108</v>
      </c>
      <c r="M20" s="168" t="s">
        <v>69</v>
      </c>
      <c r="N20" s="168" t="s">
        <v>69</v>
      </c>
      <c r="O20" s="168" t="s">
        <v>69</v>
      </c>
      <c r="P20" s="168" t="s">
        <v>69</v>
      </c>
      <c r="Q20" s="121" t="s">
        <v>76</v>
      </c>
      <c r="R20" s="121" t="s">
        <v>76</v>
      </c>
      <c r="S20" s="174" t="s">
        <v>108</v>
      </c>
      <c r="T20" s="121" t="s">
        <v>76</v>
      </c>
      <c r="U20" s="121" t="s">
        <v>76</v>
      </c>
      <c r="V20" s="121" t="s">
        <v>76</v>
      </c>
      <c r="W20" s="121" t="s">
        <v>76</v>
      </c>
      <c r="X20" s="121" t="s">
        <v>76</v>
      </c>
      <c r="Y20" s="121" t="s">
        <v>76</v>
      </c>
      <c r="Z20" s="174" t="s">
        <v>108</v>
      </c>
      <c r="AA20" s="131" t="s">
        <v>76</v>
      </c>
      <c r="AB20" s="131" t="s">
        <v>76</v>
      </c>
      <c r="AC20" s="131" t="s">
        <v>76</v>
      </c>
      <c r="AD20" s="131" t="s">
        <v>76</v>
      </c>
      <c r="AE20" s="131" t="s">
        <v>76</v>
      </c>
      <c r="AF20" s="131" t="s">
        <v>76</v>
      </c>
      <c r="AG20" s="174" t="s">
        <v>108</v>
      </c>
      <c r="AH20" s="121" t="s">
        <v>76</v>
      </c>
      <c r="AI20" s="121" t="s">
        <v>76</v>
      </c>
      <c r="AJ20" s="153" t="s">
        <v>76</v>
      </c>
      <c r="AK20" s="121" t="s">
        <v>76</v>
      </c>
    </row>
    <row r="21" spans="1:37" ht="18">
      <c r="A21" s="5">
        <v>20</v>
      </c>
      <c r="B21" s="196" t="s">
        <v>97</v>
      </c>
      <c r="C21" s="169">
        <v>3</v>
      </c>
      <c r="D21" s="169"/>
      <c r="E21" s="260">
        <v>1.5</v>
      </c>
      <c r="F21" s="259">
        <f t="shared" ref="F21:F34" si="3">C21-E21</f>
        <v>1.5</v>
      </c>
      <c r="G21" s="134" t="s">
        <v>69</v>
      </c>
      <c r="H21" s="144" t="s">
        <v>72</v>
      </c>
      <c r="I21" s="144" t="s">
        <v>72</v>
      </c>
      <c r="J21" s="144" t="s">
        <v>72</v>
      </c>
      <c r="K21" s="168" t="s">
        <v>69</v>
      </c>
      <c r="L21" s="175" t="s">
        <v>108</v>
      </c>
      <c r="M21" s="168" t="s">
        <v>69</v>
      </c>
      <c r="N21" s="168" t="s">
        <v>69</v>
      </c>
      <c r="O21" s="168" t="s">
        <v>69</v>
      </c>
      <c r="P21" s="168" t="s">
        <v>69</v>
      </c>
      <c r="Q21" s="168" t="s">
        <v>69</v>
      </c>
      <c r="R21" s="168" t="s">
        <v>69</v>
      </c>
      <c r="S21" s="194" t="s">
        <v>108</v>
      </c>
      <c r="T21" s="168" t="s">
        <v>69</v>
      </c>
      <c r="U21" s="168" t="s">
        <v>69</v>
      </c>
      <c r="V21" s="168" t="s">
        <v>69</v>
      </c>
      <c r="W21" s="168" t="s">
        <v>69</v>
      </c>
      <c r="X21" s="168" t="s">
        <v>69</v>
      </c>
      <c r="Y21" s="168" t="s">
        <v>69</v>
      </c>
      <c r="Z21" s="194" t="s">
        <v>108</v>
      </c>
      <c r="AA21" s="168" t="s">
        <v>69</v>
      </c>
      <c r="AB21" s="168" t="s">
        <v>69</v>
      </c>
      <c r="AC21" s="168" t="s">
        <v>69</v>
      </c>
      <c r="AD21" s="168" t="s">
        <v>69</v>
      </c>
      <c r="AE21" s="168" t="s">
        <v>69</v>
      </c>
      <c r="AF21" s="168" t="s">
        <v>69</v>
      </c>
      <c r="AG21" s="194" t="s">
        <v>108</v>
      </c>
      <c r="AH21" s="168" t="s">
        <v>69</v>
      </c>
      <c r="AI21" s="168" t="s">
        <v>69</v>
      </c>
      <c r="AJ21" s="169" t="s">
        <v>69</v>
      </c>
      <c r="AK21" s="168" t="s">
        <v>69</v>
      </c>
    </row>
    <row r="22" spans="1:37" ht="18">
      <c r="A22" s="5">
        <v>21</v>
      </c>
      <c r="B22" s="196" t="s">
        <v>22</v>
      </c>
      <c r="C22" s="169">
        <v>0</v>
      </c>
      <c r="D22" s="169"/>
      <c r="E22" s="260">
        <v>0</v>
      </c>
      <c r="F22" s="259">
        <f t="shared" si="3"/>
        <v>0</v>
      </c>
      <c r="G22" s="134" t="s">
        <v>69</v>
      </c>
      <c r="H22" s="134" t="s">
        <v>69</v>
      </c>
      <c r="I22" s="134" t="s">
        <v>69</v>
      </c>
      <c r="J22" s="134" t="s">
        <v>69</v>
      </c>
      <c r="K22" s="134" t="s">
        <v>69</v>
      </c>
      <c r="L22" s="174" t="s">
        <v>108</v>
      </c>
      <c r="M22" s="168" t="s">
        <v>69</v>
      </c>
      <c r="N22" s="168" t="s">
        <v>69</v>
      </c>
      <c r="O22" s="168" t="s">
        <v>69</v>
      </c>
      <c r="P22" s="168" t="s">
        <v>69</v>
      </c>
      <c r="Q22" s="168" t="s">
        <v>69</v>
      </c>
      <c r="R22" s="168" t="s">
        <v>69</v>
      </c>
      <c r="S22" s="174" t="s">
        <v>108</v>
      </c>
      <c r="T22" s="168" t="s">
        <v>69</v>
      </c>
      <c r="U22" s="168" t="s">
        <v>69</v>
      </c>
      <c r="V22" s="168" t="s">
        <v>69</v>
      </c>
      <c r="W22" s="168" t="s">
        <v>69</v>
      </c>
      <c r="X22" s="168" t="s">
        <v>69</v>
      </c>
      <c r="Y22" s="168" t="s">
        <v>69</v>
      </c>
      <c r="Z22" s="174" t="s">
        <v>108</v>
      </c>
      <c r="AA22" s="168" t="s">
        <v>69</v>
      </c>
      <c r="AB22" s="168" t="s">
        <v>69</v>
      </c>
      <c r="AC22" s="168" t="s">
        <v>69</v>
      </c>
      <c r="AD22" s="168" t="s">
        <v>69</v>
      </c>
      <c r="AE22" s="168" t="s">
        <v>69</v>
      </c>
      <c r="AF22" s="168" t="s">
        <v>69</v>
      </c>
      <c r="AG22" s="174" t="s">
        <v>108</v>
      </c>
      <c r="AH22" s="168" t="s">
        <v>69</v>
      </c>
      <c r="AI22" s="168" t="s">
        <v>69</v>
      </c>
      <c r="AJ22" s="169" t="s">
        <v>69</v>
      </c>
      <c r="AK22" s="168" t="s">
        <v>69</v>
      </c>
    </row>
    <row r="23" spans="1:37" ht="18">
      <c r="A23" s="5">
        <v>22</v>
      </c>
      <c r="B23" s="196" t="s">
        <v>140</v>
      </c>
      <c r="C23" s="169">
        <v>0</v>
      </c>
      <c r="D23" s="169"/>
      <c r="E23" s="260">
        <v>0</v>
      </c>
      <c r="F23" s="259">
        <f t="shared" si="3"/>
        <v>0</v>
      </c>
      <c r="G23" s="134" t="s">
        <v>69</v>
      </c>
      <c r="H23" s="134" t="s">
        <v>69</v>
      </c>
      <c r="I23" s="134" t="s">
        <v>69</v>
      </c>
      <c r="J23" s="134" t="s">
        <v>69</v>
      </c>
      <c r="K23" s="134" t="s">
        <v>69</v>
      </c>
      <c r="L23" s="175" t="s">
        <v>108</v>
      </c>
      <c r="M23" s="168" t="s">
        <v>69</v>
      </c>
      <c r="N23" s="168" t="s">
        <v>69</v>
      </c>
      <c r="O23" s="168" t="s">
        <v>69</v>
      </c>
      <c r="P23" s="168" t="s">
        <v>69</v>
      </c>
      <c r="Q23" s="168" t="s">
        <v>69</v>
      </c>
      <c r="R23" s="168" t="s">
        <v>69</v>
      </c>
      <c r="S23" s="194" t="s">
        <v>108</v>
      </c>
      <c r="T23" s="168" t="s">
        <v>69</v>
      </c>
      <c r="U23" s="168" t="s">
        <v>69</v>
      </c>
      <c r="V23" s="168" t="s">
        <v>69</v>
      </c>
      <c r="W23" s="168" t="s">
        <v>69</v>
      </c>
      <c r="X23" s="168" t="s">
        <v>69</v>
      </c>
      <c r="Y23" s="168" t="s">
        <v>69</v>
      </c>
      <c r="Z23" s="194" t="s">
        <v>108</v>
      </c>
      <c r="AA23" s="168" t="s">
        <v>69</v>
      </c>
      <c r="AB23" s="168" t="s">
        <v>69</v>
      </c>
      <c r="AC23" s="168" t="s">
        <v>69</v>
      </c>
      <c r="AD23" s="168" t="s">
        <v>69</v>
      </c>
      <c r="AE23" s="168" t="s">
        <v>69</v>
      </c>
      <c r="AF23" s="168" t="s">
        <v>69</v>
      </c>
      <c r="AG23" s="194" t="s">
        <v>108</v>
      </c>
      <c r="AH23" s="134" t="s">
        <v>69</v>
      </c>
      <c r="AI23" s="134" t="s">
        <v>69</v>
      </c>
      <c r="AJ23" s="239" t="s">
        <v>69</v>
      </c>
      <c r="AK23" s="134" t="s">
        <v>69</v>
      </c>
    </row>
    <row r="24" spans="1:37" ht="18">
      <c r="A24" s="5">
        <v>23</v>
      </c>
      <c r="B24" s="70" t="s">
        <v>24</v>
      </c>
      <c r="C24" s="168">
        <v>1.5</v>
      </c>
      <c r="D24" s="168"/>
      <c r="E24" s="261">
        <v>1.5</v>
      </c>
      <c r="F24" s="259">
        <f t="shared" si="3"/>
        <v>0</v>
      </c>
      <c r="G24" s="134" t="s">
        <v>69</v>
      </c>
      <c r="H24" s="134" t="s">
        <v>69</v>
      </c>
      <c r="I24" s="134" t="s">
        <v>69</v>
      </c>
      <c r="J24" s="134" t="s">
        <v>69</v>
      </c>
      <c r="K24" s="134" t="s">
        <v>69</v>
      </c>
      <c r="L24" s="174" t="s">
        <v>108</v>
      </c>
      <c r="M24" s="168" t="s">
        <v>69</v>
      </c>
      <c r="N24" s="168" t="s">
        <v>69</v>
      </c>
      <c r="O24" s="168" t="s">
        <v>69</v>
      </c>
      <c r="P24" s="168" t="s">
        <v>69</v>
      </c>
      <c r="Q24" s="168" t="s">
        <v>69</v>
      </c>
      <c r="R24" s="168" t="s">
        <v>69</v>
      </c>
      <c r="S24" s="174" t="s">
        <v>108</v>
      </c>
      <c r="T24" s="168" t="s">
        <v>69</v>
      </c>
      <c r="U24" s="168" t="s">
        <v>69</v>
      </c>
      <c r="V24" s="168" t="s">
        <v>69</v>
      </c>
      <c r="W24" s="130" t="s">
        <v>92</v>
      </c>
      <c r="X24" s="132" t="s">
        <v>94</v>
      </c>
      <c r="Y24" s="168" t="s">
        <v>69</v>
      </c>
      <c r="Z24" s="174" t="s">
        <v>108</v>
      </c>
      <c r="AA24" s="130" t="s">
        <v>92</v>
      </c>
      <c r="AB24" s="168" t="s">
        <v>69</v>
      </c>
      <c r="AC24" s="168" t="s">
        <v>69</v>
      </c>
      <c r="AD24" s="168" t="s">
        <v>69</v>
      </c>
      <c r="AE24" s="168" t="s">
        <v>69</v>
      </c>
      <c r="AF24" s="168" t="s">
        <v>69</v>
      </c>
      <c r="AG24" s="174" t="s">
        <v>108</v>
      </c>
      <c r="AH24" s="168" t="s">
        <v>69</v>
      </c>
      <c r="AI24" s="168" t="s">
        <v>69</v>
      </c>
      <c r="AJ24" s="153" t="s">
        <v>72</v>
      </c>
      <c r="AK24" s="134" t="s">
        <v>69</v>
      </c>
    </row>
    <row r="25" spans="1:37" ht="18">
      <c r="A25" s="5">
        <v>24</v>
      </c>
      <c r="B25" s="196" t="s">
        <v>114</v>
      </c>
      <c r="C25" s="168">
        <v>0</v>
      </c>
      <c r="D25" s="168"/>
      <c r="E25" s="261">
        <v>0</v>
      </c>
      <c r="F25" s="259">
        <f t="shared" si="3"/>
        <v>0</v>
      </c>
      <c r="G25" s="134" t="s">
        <v>69</v>
      </c>
      <c r="H25" s="134" t="s">
        <v>69</v>
      </c>
      <c r="I25" s="134" t="s">
        <v>69</v>
      </c>
      <c r="J25" s="134" t="s">
        <v>69</v>
      </c>
      <c r="K25" s="134" t="s">
        <v>69</v>
      </c>
      <c r="L25" s="175" t="s">
        <v>108</v>
      </c>
      <c r="M25" s="168" t="s">
        <v>69</v>
      </c>
      <c r="N25" s="168" t="s">
        <v>69</v>
      </c>
      <c r="O25" s="168" t="s">
        <v>69</v>
      </c>
      <c r="P25" s="168" t="s">
        <v>69</v>
      </c>
      <c r="Q25" s="168" t="s">
        <v>69</v>
      </c>
      <c r="R25" s="168" t="s">
        <v>69</v>
      </c>
      <c r="S25" s="194" t="s">
        <v>108</v>
      </c>
      <c r="T25" s="168" t="s">
        <v>69</v>
      </c>
      <c r="U25" s="168" t="s">
        <v>69</v>
      </c>
      <c r="V25" s="168" t="s">
        <v>69</v>
      </c>
      <c r="W25" s="168" t="s">
        <v>69</v>
      </c>
      <c r="X25" s="168" t="s">
        <v>69</v>
      </c>
      <c r="Y25" s="168" t="s">
        <v>69</v>
      </c>
      <c r="Z25" s="194" t="s">
        <v>108</v>
      </c>
      <c r="AA25" s="168" t="s">
        <v>69</v>
      </c>
      <c r="AB25" s="168" t="s">
        <v>69</v>
      </c>
      <c r="AC25" s="168" t="s">
        <v>69</v>
      </c>
      <c r="AD25" s="168" t="s">
        <v>69</v>
      </c>
      <c r="AE25" s="168" t="s">
        <v>69</v>
      </c>
      <c r="AF25" s="168" t="s">
        <v>69</v>
      </c>
      <c r="AG25" s="194" t="s">
        <v>108</v>
      </c>
      <c r="AH25" s="168" t="s">
        <v>69</v>
      </c>
      <c r="AI25" s="168" t="s">
        <v>69</v>
      </c>
      <c r="AJ25" s="245" t="s">
        <v>69</v>
      </c>
      <c r="AK25" s="170" t="s">
        <v>69</v>
      </c>
    </row>
    <row r="26" spans="1:37" ht="18">
      <c r="A26" s="5">
        <v>25</v>
      </c>
      <c r="B26" s="196" t="s">
        <v>26</v>
      </c>
      <c r="C26" s="168">
        <v>3</v>
      </c>
      <c r="D26" s="168"/>
      <c r="E26" s="261">
        <v>3</v>
      </c>
      <c r="F26" s="259">
        <f t="shared" si="3"/>
        <v>0</v>
      </c>
      <c r="G26" s="199" t="s">
        <v>69</v>
      </c>
      <c r="H26" s="199" t="s">
        <v>69</v>
      </c>
      <c r="I26" s="134" t="s">
        <v>69</v>
      </c>
      <c r="J26" s="134" t="s">
        <v>69</v>
      </c>
      <c r="K26" s="134" t="s">
        <v>69</v>
      </c>
      <c r="L26" s="174" t="s">
        <v>108</v>
      </c>
      <c r="M26" s="168" t="s">
        <v>69</v>
      </c>
      <c r="N26" s="168" t="s">
        <v>69</v>
      </c>
      <c r="O26" s="168" t="s">
        <v>69</v>
      </c>
      <c r="P26" s="168" t="s">
        <v>69</v>
      </c>
      <c r="Q26" s="132" t="s">
        <v>94</v>
      </c>
      <c r="R26" s="132" t="s">
        <v>94</v>
      </c>
      <c r="S26" s="174" t="s">
        <v>108</v>
      </c>
      <c r="T26" s="168" t="s">
        <v>69</v>
      </c>
      <c r="U26" s="168" t="s">
        <v>69</v>
      </c>
      <c r="V26" s="168" t="s">
        <v>69</v>
      </c>
      <c r="W26" s="168" t="s">
        <v>69</v>
      </c>
      <c r="X26" s="130" t="s">
        <v>92</v>
      </c>
      <c r="Y26" s="168" t="s">
        <v>69</v>
      </c>
      <c r="Z26" s="174" t="s">
        <v>108</v>
      </c>
      <c r="AA26" s="132" t="s">
        <v>94</v>
      </c>
      <c r="AB26" s="168" t="s">
        <v>69</v>
      </c>
      <c r="AC26" s="168" t="s">
        <v>69</v>
      </c>
      <c r="AD26" s="132" t="s">
        <v>94</v>
      </c>
      <c r="AE26" s="168" t="s">
        <v>69</v>
      </c>
      <c r="AF26" s="241" t="s">
        <v>78</v>
      </c>
      <c r="AG26" s="174" t="s">
        <v>108</v>
      </c>
      <c r="AH26" s="168" t="s">
        <v>69</v>
      </c>
      <c r="AI26" s="168" t="s">
        <v>69</v>
      </c>
      <c r="AJ26" s="169" t="s">
        <v>69</v>
      </c>
      <c r="AK26" s="121" t="s">
        <v>72</v>
      </c>
    </row>
    <row r="27" spans="1:37" ht="18">
      <c r="A27" s="5">
        <v>26</v>
      </c>
      <c r="B27" s="196" t="s">
        <v>27</v>
      </c>
      <c r="C27" s="169">
        <v>9</v>
      </c>
      <c r="D27" s="169"/>
      <c r="E27" s="260">
        <v>9</v>
      </c>
      <c r="F27" s="259">
        <f t="shared" si="3"/>
        <v>0</v>
      </c>
      <c r="G27" s="121" t="s">
        <v>72</v>
      </c>
      <c r="H27" s="121" t="s">
        <v>72</v>
      </c>
      <c r="I27" s="121" t="s">
        <v>72</v>
      </c>
      <c r="J27" s="121" t="s">
        <v>72</v>
      </c>
      <c r="K27" s="121" t="s">
        <v>72</v>
      </c>
      <c r="L27" s="175" t="s">
        <v>108</v>
      </c>
      <c r="M27" s="121" t="s">
        <v>72</v>
      </c>
      <c r="N27" s="121" t="s">
        <v>72</v>
      </c>
      <c r="O27" s="168" t="s">
        <v>69</v>
      </c>
      <c r="P27" s="168" t="s">
        <v>69</v>
      </c>
      <c r="Q27" s="168" t="s">
        <v>69</v>
      </c>
      <c r="R27" s="168" t="s">
        <v>69</v>
      </c>
      <c r="S27" s="194" t="s">
        <v>108</v>
      </c>
      <c r="T27" s="168" t="s">
        <v>69</v>
      </c>
      <c r="U27" s="168" t="s">
        <v>69</v>
      </c>
      <c r="V27" s="168" t="s">
        <v>69</v>
      </c>
      <c r="W27" s="130" t="s">
        <v>92</v>
      </c>
      <c r="X27" s="168" t="s">
        <v>69</v>
      </c>
      <c r="Y27" s="121" t="s">
        <v>72</v>
      </c>
      <c r="Z27" s="194" t="s">
        <v>108</v>
      </c>
      <c r="AA27" s="168" t="s">
        <v>69</v>
      </c>
      <c r="AB27" s="168" t="s">
        <v>69</v>
      </c>
      <c r="AC27" s="168" t="s">
        <v>69</v>
      </c>
      <c r="AD27" s="168" t="s">
        <v>69</v>
      </c>
      <c r="AE27" s="168" t="s">
        <v>69</v>
      </c>
      <c r="AF27" s="168" t="s">
        <v>69</v>
      </c>
      <c r="AG27" s="194" t="s">
        <v>108</v>
      </c>
      <c r="AH27" s="168" t="s">
        <v>69</v>
      </c>
      <c r="AI27" s="168" t="s">
        <v>69</v>
      </c>
      <c r="AJ27" s="153" t="s">
        <v>72</v>
      </c>
      <c r="AK27" s="120" t="s">
        <v>69</v>
      </c>
    </row>
    <row r="28" spans="1:37" ht="18">
      <c r="A28" s="5">
        <v>27</v>
      </c>
      <c r="B28" s="196" t="s">
        <v>28</v>
      </c>
      <c r="C28" s="169">
        <v>1</v>
      </c>
      <c r="D28" s="169"/>
      <c r="E28" s="260">
        <v>1</v>
      </c>
      <c r="F28" s="259">
        <f t="shared" si="3"/>
        <v>0</v>
      </c>
      <c r="G28" s="200" t="s">
        <v>69</v>
      </c>
      <c r="H28" s="200" t="s">
        <v>157</v>
      </c>
      <c r="I28" s="200" t="s">
        <v>69</v>
      </c>
      <c r="J28" s="200" t="s">
        <v>69</v>
      </c>
      <c r="K28" s="134" t="s">
        <v>157</v>
      </c>
      <c r="L28" s="174" t="s">
        <v>108</v>
      </c>
      <c r="M28" s="168" t="s">
        <v>69</v>
      </c>
      <c r="N28" s="168" t="s">
        <v>69</v>
      </c>
      <c r="O28" s="168" t="s">
        <v>69</v>
      </c>
      <c r="P28" s="168" t="s">
        <v>69</v>
      </c>
      <c r="Q28" s="168" t="s">
        <v>69</v>
      </c>
      <c r="R28" s="147" t="s">
        <v>92</v>
      </c>
      <c r="S28" s="174" t="s">
        <v>108</v>
      </c>
      <c r="T28" s="168" t="s">
        <v>69</v>
      </c>
      <c r="U28" s="147" t="s">
        <v>92</v>
      </c>
      <c r="V28" s="236" t="s">
        <v>94</v>
      </c>
      <c r="W28" s="168" t="s">
        <v>69</v>
      </c>
      <c r="X28" s="168" t="s">
        <v>69</v>
      </c>
      <c r="Y28" s="168" t="s">
        <v>69</v>
      </c>
      <c r="Z28" s="174" t="s">
        <v>108</v>
      </c>
      <c r="AA28" s="239" t="s">
        <v>157</v>
      </c>
      <c r="AB28" s="121" t="s">
        <v>72</v>
      </c>
      <c r="AC28" s="239" t="s">
        <v>69</v>
      </c>
      <c r="AD28" s="239" t="s">
        <v>69</v>
      </c>
      <c r="AE28" s="239" t="s">
        <v>69</v>
      </c>
      <c r="AF28" s="239" t="s">
        <v>69</v>
      </c>
      <c r="AG28" s="174" t="s">
        <v>108</v>
      </c>
      <c r="AH28" s="153" t="s">
        <v>157</v>
      </c>
      <c r="AI28" s="168" t="s">
        <v>69</v>
      </c>
      <c r="AJ28" s="169" t="s">
        <v>69</v>
      </c>
      <c r="AK28" s="168" t="s">
        <v>69</v>
      </c>
    </row>
    <row r="29" spans="1:37" ht="18">
      <c r="A29" s="5">
        <v>28</v>
      </c>
      <c r="B29" s="196" t="s">
        <v>29</v>
      </c>
      <c r="C29" s="169">
        <v>0</v>
      </c>
      <c r="D29" s="169"/>
      <c r="E29" s="260">
        <v>0</v>
      </c>
      <c r="F29" s="259">
        <f t="shared" si="3"/>
        <v>0</v>
      </c>
      <c r="G29" s="134" t="s">
        <v>69</v>
      </c>
      <c r="H29" s="134" t="s">
        <v>69</v>
      </c>
      <c r="I29" s="134" t="s">
        <v>69</v>
      </c>
      <c r="J29" s="134" t="s">
        <v>69</v>
      </c>
      <c r="K29" s="134" t="s">
        <v>69</v>
      </c>
      <c r="L29" s="175" t="s">
        <v>108</v>
      </c>
      <c r="M29" s="168" t="s">
        <v>69</v>
      </c>
      <c r="N29" s="168" t="s">
        <v>69</v>
      </c>
      <c r="O29" s="168" t="s">
        <v>69</v>
      </c>
      <c r="P29" s="168" t="s">
        <v>69</v>
      </c>
      <c r="Q29" s="168" t="s">
        <v>69</v>
      </c>
      <c r="R29" s="168" t="s">
        <v>69</v>
      </c>
      <c r="S29" s="194" t="s">
        <v>108</v>
      </c>
      <c r="T29" s="168" t="s">
        <v>69</v>
      </c>
      <c r="U29" s="168" t="s">
        <v>69</v>
      </c>
      <c r="V29" s="168" t="s">
        <v>69</v>
      </c>
      <c r="W29" s="168" t="s">
        <v>69</v>
      </c>
      <c r="X29" s="168" t="s">
        <v>69</v>
      </c>
      <c r="Y29" s="168" t="s">
        <v>69</v>
      </c>
      <c r="Z29" s="194" t="s">
        <v>108</v>
      </c>
      <c r="AA29" s="168" t="s">
        <v>69</v>
      </c>
      <c r="AB29" s="168" t="s">
        <v>69</v>
      </c>
      <c r="AC29" s="168" t="s">
        <v>69</v>
      </c>
      <c r="AD29" s="168" t="s">
        <v>69</v>
      </c>
      <c r="AE29" s="168" t="s">
        <v>69</v>
      </c>
      <c r="AF29" s="168" t="s">
        <v>69</v>
      </c>
      <c r="AG29" s="194" t="s">
        <v>108</v>
      </c>
      <c r="AH29" s="168" t="s">
        <v>69</v>
      </c>
      <c r="AI29" s="168" t="s">
        <v>69</v>
      </c>
      <c r="AJ29" s="169" t="s">
        <v>69</v>
      </c>
      <c r="AK29" s="168" t="s">
        <v>69</v>
      </c>
    </row>
    <row r="30" spans="1:37" ht="18">
      <c r="A30" s="5">
        <v>29</v>
      </c>
      <c r="B30" s="196" t="s">
        <v>30</v>
      </c>
      <c r="C30" s="169">
        <v>1.5</v>
      </c>
      <c r="D30" s="169"/>
      <c r="E30" s="260">
        <v>1.5</v>
      </c>
      <c r="F30" s="259">
        <f t="shared" si="3"/>
        <v>0</v>
      </c>
      <c r="G30" s="199" t="s">
        <v>69</v>
      </c>
      <c r="H30" s="199" t="s">
        <v>69</v>
      </c>
      <c r="I30" s="199" t="s">
        <v>69</v>
      </c>
      <c r="J30" s="199" t="s">
        <v>69</v>
      </c>
      <c r="K30" s="199" t="s">
        <v>69</v>
      </c>
      <c r="L30" s="174" t="s">
        <v>108</v>
      </c>
      <c r="M30" s="168" t="s">
        <v>69</v>
      </c>
      <c r="N30" s="168" t="s">
        <v>69</v>
      </c>
      <c r="O30" s="168" t="s">
        <v>69</v>
      </c>
      <c r="P30" s="168" t="s">
        <v>69</v>
      </c>
      <c r="Q30" s="168" t="s">
        <v>69</v>
      </c>
      <c r="R30" s="168" t="s">
        <v>69</v>
      </c>
      <c r="S30" s="174" t="s">
        <v>108</v>
      </c>
      <c r="T30" s="168" t="s">
        <v>69</v>
      </c>
      <c r="U30" s="168" t="s">
        <v>69</v>
      </c>
      <c r="V30" s="168" t="s">
        <v>69</v>
      </c>
      <c r="W30" s="168" t="s">
        <v>69</v>
      </c>
      <c r="X30" s="168" t="s">
        <v>69</v>
      </c>
      <c r="Y30" s="168" t="s">
        <v>69</v>
      </c>
      <c r="Z30" s="174" t="s">
        <v>108</v>
      </c>
      <c r="AA30" s="168" t="s">
        <v>69</v>
      </c>
      <c r="AB30" s="168" t="s">
        <v>69</v>
      </c>
      <c r="AC30" s="168" t="s">
        <v>69</v>
      </c>
      <c r="AD30" s="168" t="s">
        <v>69</v>
      </c>
      <c r="AE30" s="168" t="s">
        <v>69</v>
      </c>
      <c r="AF30" s="168" t="s">
        <v>69</v>
      </c>
      <c r="AG30" s="174" t="s">
        <v>108</v>
      </c>
      <c r="AH30" s="168" t="s">
        <v>69</v>
      </c>
      <c r="AI30" s="153" t="s">
        <v>72</v>
      </c>
      <c r="AJ30" s="215" t="s">
        <v>94</v>
      </c>
      <c r="AK30" s="168" t="s">
        <v>69</v>
      </c>
    </row>
    <row r="31" spans="1:37" ht="18">
      <c r="A31" s="5">
        <v>30</v>
      </c>
      <c r="B31" s="70" t="s">
        <v>158</v>
      </c>
      <c r="C31" s="169">
        <v>3</v>
      </c>
      <c r="D31" s="169">
        <v>1</v>
      </c>
      <c r="E31" s="260">
        <v>0</v>
      </c>
      <c r="F31" s="259">
        <f t="shared" si="3"/>
        <v>3</v>
      </c>
      <c r="G31" s="121" t="s">
        <v>72</v>
      </c>
      <c r="H31" s="220" t="s">
        <v>69</v>
      </c>
      <c r="I31" s="199" t="s">
        <v>69</v>
      </c>
      <c r="J31" s="199" t="s">
        <v>69</v>
      </c>
      <c r="K31" s="199" t="s">
        <v>69</v>
      </c>
      <c r="L31" s="175" t="s">
        <v>108</v>
      </c>
      <c r="M31" s="132" t="s">
        <v>70</v>
      </c>
      <c r="N31" s="168" t="s">
        <v>69</v>
      </c>
      <c r="O31" s="168" t="s">
        <v>69</v>
      </c>
      <c r="P31" s="168" t="s">
        <v>69</v>
      </c>
      <c r="Q31" s="168" t="s">
        <v>69</v>
      </c>
      <c r="R31" s="168" t="s">
        <v>69</v>
      </c>
      <c r="S31" s="194" t="s">
        <v>108</v>
      </c>
      <c r="T31" s="168" t="s">
        <v>69</v>
      </c>
      <c r="U31" s="168" t="s">
        <v>69</v>
      </c>
      <c r="V31" s="168" t="s">
        <v>69</v>
      </c>
      <c r="W31" s="168" t="s">
        <v>69</v>
      </c>
      <c r="X31" s="168" t="s">
        <v>69</v>
      </c>
      <c r="Y31" s="168" t="s">
        <v>69</v>
      </c>
      <c r="Z31" s="194" t="s">
        <v>108</v>
      </c>
      <c r="AA31" s="168" t="s">
        <v>69</v>
      </c>
      <c r="AB31" s="168" t="s">
        <v>69</v>
      </c>
      <c r="AC31" s="168" t="s">
        <v>69</v>
      </c>
      <c r="AD31" s="168" t="s">
        <v>69</v>
      </c>
      <c r="AE31" s="168" t="s">
        <v>69</v>
      </c>
      <c r="AF31" s="242" t="s">
        <v>70</v>
      </c>
      <c r="AG31" s="194" t="s">
        <v>108</v>
      </c>
      <c r="AH31" s="172" t="s">
        <v>69</v>
      </c>
      <c r="AI31" s="172" t="s">
        <v>69</v>
      </c>
      <c r="AJ31" s="244" t="s">
        <v>69</v>
      </c>
      <c r="AK31" s="172" t="s">
        <v>69</v>
      </c>
    </row>
    <row r="32" spans="1:37" ht="18">
      <c r="A32" s="5">
        <v>31</v>
      </c>
      <c r="B32" s="196" t="s">
        <v>31</v>
      </c>
      <c r="C32" s="168">
        <v>2.5</v>
      </c>
      <c r="D32" s="168"/>
      <c r="E32" s="261">
        <v>1</v>
      </c>
      <c r="F32" s="259">
        <f t="shared" si="3"/>
        <v>1.5</v>
      </c>
      <c r="G32" s="200" t="s">
        <v>121</v>
      </c>
      <c r="H32" s="215" t="s">
        <v>94</v>
      </c>
      <c r="I32" s="134" t="s">
        <v>69</v>
      </c>
      <c r="J32" s="134" t="s">
        <v>69</v>
      </c>
      <c r="K32" s="134" t="s">
        <v>69</v>
      </c>
      <c r="L32" s="174" t="s">
        <v>108</v>
      </c>
      <c r="M32" s="134" t="s">
        <v>69</v>
      </c>
      <c r="N32" s="168" t="s">
        <v>69</v>
      </c>
      <c r="O32" s="168" t="s">
        <v>69</v>
      </c>
      <c r="P32" s="168" t="s">
        <v>69</v>
      </c>
      <c r="Q32" s="168" t="s">
        <v>69</v>
      </c>
      <c r="R32" s="168" t="s">
        <v>69</v>
      </c>
      <c r="S32" s="174" t="s">
        <v>108</v>
      </c>
      <c r="T32" s="121" t="s">
        <v>72</v>
      </c>
      <c r="U32" s="134" t="s">
        <v>69</v>
      </c>
      <c r="V32" s="168" t="s">
        <v>69</v>
      </c>
      <c r="W32" s="168" t="s">
        <v>69</v>
      </c>
      <c r="X32" s="168" t="s">
        <v>69</v>
      </c>
      <c r="Y32" s="168" t="s">
        <v>69</v>
      </c>
      <c r="Z32" s="174" t="s">
        <v>108</v>
      </c>
      <c r="AA32" s="168" t="s">
        <v>69</v>
      </c>
      <c r="AB32" s="168" t="s">
        <v>69</v>
      </c>
      <c r="AC32" s="168" t="s">
        <v>69</v>
      </c>
      <c r="AD32" s="168" t="s">
        <v>69</v>
      </c>
      <c r="AE32" s="121" t="s">
        <v>72</v>
      </c>
      <c r="AF32" s="168" t="s">
        <v>69</v>
      </c>
      <c r="AG32" s="174" t="s">
        <v>108</v>
      </c>
      <c r="AH32" s="134" t="s">
        <v>157</v>
      </c>
      <c r="AI32" s="239" t="s">
        <v>69</v>
      </c>
      <c r="AJ32" s="239" t="s">
        <v>69</v>
      </c>
      <c r="AK32" s="134" t="s">
        <v>69</v>
      </c>
    </row>
    <row r="33" spans="1:37" ht="18">
      <c r="A33" s="5">
        <v>32</v>
      </c>
      <c r="B33" s="70" t="s">
        <v>142</v>
      </c>
      <c r="C33" s="168">
        <v>3.5</v>
      </c>
      <c r="D33" s="168"/>
      <c r="E33" s="261">
        <v>1</v>
      </c>
      <c r="F33" s="259">
        <f t="shared" si="3"/>
        <v>2.5</v>
      </c>
      <c r="G33" s="199" t="s">
        <v>121</v>
      </c>
      <c r="H33" s="134" t="s">
        <v>69</v>
      </c>
      <c r="I33" s="200" t="s">
        <v>69</v>
      </c>
      <c r="J33" s="200" t="s">
        <v>69</v>
      </c>
      <c r="K33" s="200" t="s">
        <v>69</v>
      </c>
      <c r="L33" s="175" t="s">
        <v>108</v>
      </c>
      <c r="M33" s="134" t="s">
        <v>69</v>
      </c>
      <c r="N33" s="134" t="s">
        <v>69</v>
      </c>
      <c r="O33" s="134" t="s">
        <v>69</v>
      </c>
      <c r="P33" s="131" t="s">
        <v>72</v>
      </c>
      <c r="Q33" s="134" t="s">
        <v>69</v>
      </c>
      <c r="R33" s="134" t="s">
        <v>69</v>
      </c>
      <c r="S33" s="194" t="s">
        <v>108</v>
      </c>
      <c r="T33" s="134" t="s">
        <v>69</v>
      </c>
      <c r="U33" s="236" t="s">
        <v>94</v>
      </c>
      <c r="V33" s="168" t="s">
        <v>69</v>
      </c>
      <c r="W33" s="168" t="s">
        <v>69</v>
      </c>
      <c r="X33" s="168" t="s">
        <v>69</v>
      </c>
      <c r="Y33" s="168" t="s">
        <v>69</v>
      </c>
      <c r="Z33" s="194" t="s">
        <v>108</v>
      </c>
      <c r="AA33" s="168" t="s">
        <v>69</v>
      </c>
      <c r="AB33" s="168" t="s">
        <v>69</v>
      </c>
      <c r="AC33" s="121" t="s">
        <v>72</v>
      </c>
      <c r="AD33" s="168" t="s">
        <v>69</v>
      </c>
      <c r="AE33" s="169" t="s">
        <v>69</v>
      </c>
      <c r="AF33" s="130" t="s">
        <v>92</v>
      </c>
      <c r="AG33" s="194" t="s">
        <v>108</v>
      </c>
      <c r="AH33" s="168" t="s">
        <v>69</v>
      </c>
      <c r="AI33" s="153" t="s">
        <v>72</v>
      </c>
      <c r="AJ33" s="169" t="s">
        <v>69</v>
      </c>
      <c r="AK33" s="168" t="s">
        <v>69</v>
      </c>
    </row>
    <row r="34" spans="1:37" ht="18">
      <c r="A34" s="5">
        <v>33</v>
      </c>
      <c r="B34" s="70" t="s">
        <v>33</v>
      </c>
      <c r="C34" s="169">
        <v>1</v>
      </c>
      <c r="D34" s="169"/>
      <c r="E34" s="260">
        <v>1</v>
      </c>
      <c r="F34" s="259">
        <f t="shared" si="3"/>
        <v>0</v>
      </c>
      <c r="G34" s="199" t="s">
        <v>69</v>
      </c>
      <c r="H34" s="199" t="s">
        <v>69</v>
      </c>
      <c r="I34" s="199" t="s">
        <v>69</v>
      </c>
      <c r="J34" s="199" t="s">
        <v>69</v>
      </c>
      <c r="K34" s="121" t="s">
        <v>72</v>
      </c>
      <c r="L34" s="174" t="s">
        <v>108</v>
      </c>
      <c r="M34" s="134" t="s">
        <v>69</v>
      </c>
      <c r="N34" s="134" t="s">
        <v>69</v>
      </c>
      <c r="O34" s="134" t="s">
        <v>69</v>
      </c>
      <c r="P34" s="134" t="s">
        <v>69</v>
      </c>
      <c r="Q34" s="134" t="s">
        <v>69</v>
      </c>
      <c r="R34" s="134" t="s">
        <v>69</v>
      </c>
      <c r="S34" s="174" t="s">
        <v>108</v>
      </c>
      <c r="T34" s="134" t="s">
        <v>69</v>
      </c>
      <c r="U34" s="134" t="s">
        <v>69</v>
      </c>
      <c r="V34" s="168" t="s">
        <v>69</v>
      </c>
      <c r="W34" s="168" t="s">
        <v>69</v>
      </c>
      <c r="X34" s="168" t="s">
        <v>69</v>
      </c>
      <c r="Y34" s="168" t="s">
        <v>69</v>
      </c>
      <c r="Z34" s="174" t="s">
        <v>108</v>
      </c>
      <c r="AA34" s="168" t="s">
        <v>69</v>
      </c>
      <c r="AB34" s="168" t="s">
        <v>69</v>
      </c>
      <c r="AC34" s="168" t="s">
        <v>69</v>
      </c>
      <c r="AD34" s="168" t="s">
        <v>69</v>
      </c>
      <c r="AE34" s="168" t="s">
        <v>69</v>
      </c>
      <c r="AF34" s="168" t="s">
        <v>69</v>
      </c>
      <c r="AG34" s="174" t="s">
        <v>108</v>
      </c>
      <c r="AH34" s="172" t="s">
        <v>69</v>
      </c>
      <c r="AI34" s="172" t="s">
        <v>69</v>
      </c>
      <c r="AJ34" s="244" t="s">
        <v>69</v>
      </c>
      <c r="AK34" s="172" t="s">
        <v>69</v>
      </c>
    </row>
    <row r="35" spans="1:37" ht="18">
      <c r="A35" s="5">
        <v>34</v>
      </c>
      <c r="B35" s="235" t="s">
        <v>159</v>
      </c>
      <c r="C35" s="169"/>
      <c r="D35" s="169"/>
      <c r="E35" s="256"/>
      <c r="F35" s="256"/>
      <c r="G35" s="197" t="s">
        <v>72</v>
      </c>
      <c r="H35" s="199" t="s">
        <v>69</v>
      </c>
      <c r="I35" s="220" t="s">
        <v>69</v>
      </c>
      <c r="J35" s="121" t="s">
        <v>72</v>
      </c>
      <c r="K35" s="168" t="s">
        <v>69</v>
      </c>
      <c r="L35" s="175" t="s">
        <v>108</v>
      </c>
      <c r="M35" s="121" t="s">
        <v>72</v>
      </c>
      <c r="N35" s="121" t="s">
        <v>72</v>
      </c>
      <c r="O35" s="121" t="s">
        <v>72</v>
      </c>
      <c r="P35" s="121" t="s">
        <v>76</v>
      </c>
      <c r="Q35" s="121" t="s">
        <v>76</v>
      </c>
      <c r="R35" s="121" t="s">
        <v>76</v>
      </c>
      <c r="S35" s="194" t="s">
        <v>108</v>
      </c>
      <c r="T35" s="121" t="s">
        <v>76</v>
      </c>
      <c r="U35" s="121" t="s">
        <v>76</v>
      </c>
      <c r="V35" s="121" t="s">
        <v>76</v>
      </c>
      <c r="W35" s="121" t="s">
        <v>76</v>
      </c>
      <c r="X35" s="121" t="s">
        <v>76</v>
      </c>
      <c r="Y35" s="121" t="s">
        <v>76</v>
      </c>
      <c r="Z35" s="194" t="s">
        <v>108</v>
      </c>
      <c r="AA35" s="131" t="s">
        <v>76</v>
      </c>
      <c r="AB35" s="131" t="s">
        <v>76</v>
      </c>
      <c r="AC35" s="131" t="s">
        <v>76</v>
      </c>
      <c r="AD35" s="131" t="s">
        <v>76</v>
      </c>
      <c r="AE35" s="131" t="s">
        <v>76</v>
      </c>
      <c r="AF35" s="131" t="s">
        <v>76</v>
      </c>
      <c r="AG35" s="194" t="s">
        <v>108</v>
      </c>
      <c r="AH35" s="131" t="s">
        <v>76</v>
      </c>
      <c r="AI35" s="131" t="s">
        <v>76</v>
      </c>
      <c r="AJ35" s="152" t="s">
        <v>76</v>
      </c>
      <c r="AK35" s="131" t="s">
        <v>76</v>
      </c>
    </row>
    <row r="36" spans="1:37" ht="18">
      <c r="A36" s="5">
        <v>35</v>
      </c>
      <c r="B36" s="70" t="s">
        <v>35</v>
      </c>
      <c r="C36" s="169">
        <v>0</v>
      </c>
      <c r="D36" s="169"/>
      <c r="E36" s="260">
        <v>0</v>
      </c>
      <c r="F36" s="259">
        <f t="shared" ref="F36:F44" si="4">C36-E36</f>
        <v>0</v>
      </c>
      <c r="G36" s="134" t="s">
        <v>69</v>
      </c>
      <c r="H36" s="134" t="s">
        <v>69</v>
      </c>
      <c r="I36" s="220" t="s">
        <v>69</v>
      </c>
      <c r="J36" s="220" t="s">
        <v>69</v>
      </c>
      <c r="K36" s="220" t="s">
        <v>69</v>
      </c>
      <c r="L36" s="174" t="s">
        <v>108</v>
      </c>
      <c r="M36" s="672" t="s">
        <v>69</v>
      </c>
      <c r="N36" s="672" t="s">
        <v>69</v>
      </c>
      <c r="O36" s="672" t="s">
        <v>69</v>
      </c>
      <c r="P36" s="672" t="s">
        <v>69</v>
      </c>
      <c r="Q36" s="672" t="s">
        <v>69</v>
      </c>
      <c r="R36" s="672" t="s">
        <v>69</v>
      </c>
      <c r="S36" s="174" t="s">
        <v>108</v>
      </c>
      <c r="T36" s="168" t="s">
        <v>69</v>
      </c>
      <c r="U36" s="168" t="s">
        <v>69</v>
      </c>
      <c r="V36" s="168" t="s">
        <v>69</v>
      </c>
      <c r="W36" s="168" t="s">
        <v>69</v>
      </c>
      <c r="X36" s="168" t="s">
        <v>69</v>
      </c>
      <c r="Y36" s="168" t="s">
        <v>69</v>
      </c>
      <c r="Z36" s="174" t="s">
        <v>108</v>
      </c>
      <c r="AA36" s="168" t="s">
        <v>69</v>
      </c>
      <c r="AB36" s="168" t="s">
        <v>69</v>
      </c>
      <c r="AC36" s="168" t="s">
        <v>69</v>
      </c>
      <c r="AD36" s="168" t="s">
        <v>69</v>
      </c>
      <c r="AE36" s="168" t="s">
        <v>69</v>
      </c>
      <c r="AF36" s="168" t="s">
        <v>69</v>
      </c>
      <c r="AG36" s="174" t="s">
        <v>108</v>
      </c>
      <c r="AH36" s="168" t="s">
        <v>69</v>
      </c>
      <c r="AI36" s="168" t="s">
        <v>69</v>
      </c>
      <c r="AJ36" s="169" t="s">
        <v>69</v>
      </c>
      <c r="AK36" s="168" t="s">
        <v>69</v>
      </c>
    </row>
    <row r="37" spans="1:37" ht="18">
      <c r="A37" s="5">
        <v>36</v>
      </c>
      <c r="B37" s="70" t="s">
        <v>118</v>
      </c>
      <c r="C37" s="168">
        <v>1.5</v>
      </c>
      <c r="D37" s="168"/>
      <c r="E37" s="261">
        <v>1.5</v>
      </c>
      <c r="F37" s="259">
        <f t="shared" si="4"/>
        <v>0</v>
      </c>
      <c r="G37" s="134" t="s">
        <v>69</v>
      </c>
      <c r="H37" s="134" t="s">
        <v>69</v>
      </c>
      <c r="I37" s="168" t="s">
        <v>69</v>
      </c>
      <c r="J37" s="168" t="s">
        <v>69</v>
      </c>
      <c r="K37" s="168" t="s">
        <v>69</v>
      </c>
      <c r="L37" s="175" t="s">
        <v>108</v>
      </c>
      <c r="M37" s="672" t="s">
        <v>69</v>
      </c>
      <c r="N37" s="132" t="s">
        <v>94</v>
      </c>
      <c r="O37" s="121" t="s">
        <v>72</v>
      </c>
      <c r="P37" s="134" t="s">
        <v>69</v>
      </c>
      <c r="Q37" s="134" t="s">
        <v>69</v>
      </c>
      <c r="R37" s="134" t="s">
        <v>69</v>
      </c>
      <c r="S37" s="194" t="s">
        <v>108</v>
      </c>
      <c r="T37" s="168" t="s">
        <v>69</v>
      </c>
      <c r="U37" s="168" t="s">
        <v>69</v>
      </c>
      <c r="V37" s="134" t="s">
        <v>121</v>
      </c>
      <c r="W37" s="168" t="s">
        <v>69</v>
      </c>
      <c r="X37" s="168" t="s">
        <v>69</v>
      </c>
      <c r="Y37" s="168" t="s">
        <v>69</v>
      </c>
      <c r="Z37" s="194" t="s">
        <v>108</v>
      </c>
      <c r="AA37" s="168" t="s">
        <v>69</v>
      </c>
      <c r="AB37" s="168" t="s">
        <v>69</v>
      </c>
      <c r="AC37" s="168" t="s">
        <v>69</v>
      </c>
      <c r="AD37" s="168" t="s">
        <v>69</v>
      </c>
      <c r="AE37" s="168" t="s">
        <v>69</v>
      </c>
      <c r="AF37" s="168" t="s">
        <v>69</v>
      </c>
      <c r="AG37" s="194" t="s">
        <v>108</v>
      </c>
      <c r="AH37" s="168" t="s">
        <v>69</v>
      </c>
      <c r="AI37" s="168" t="s">
        <v>69</v>
      </c>
      <c r="AJ37" s="169" t="s">
        <v>69</v>
      </c>
      <c r="AK37" s="168" t="s">
        <v>69</v>
      </c>
    </row>
    <row r="38" spans="1:37" ht="18">
      <c r="A38" s="5">
        <v>37</v>
      </c>
      <c r="B38" s="70" t="s">
        <v>36</v>
      </c>
      <c r="C38" s="168">
        <v>4</v>
      </c>
      <c r="D38" s="168"/>
      <c r="E38" s="261">
        <v>1.5</v>
      </c>
      <c r="F38" s="259">
        <f t="shared" si="4"/>
        <v>2.5</v>
      </c>
      <c r="G38" s="134" t="s">
        <v>69</v>
      </c>
      <c r="H38" s="134" t="s">
        <v>69</v>
      </c>
      <c r="I38" s="132" t="s">
        <v>94</v>
      </c>
      <c r="J38" s="131" t="s">
        <v>72</v>
      </c>
      <c r="K38" s="131" t="s">
        <v>72</v>
      </c>
      <c r="L38" s="174" t="s">
        <v>108</v>
      </c>
      <c r="M38" s="131" t="s">
        <v>72</v>
      </c>
      <c r="N38" s="131" t="s">
        <v>72</v>
      </c>
      <c r="O38" s="134" t="s">
        <v>69</v>
      </c>
      <c r="P38" s="134" t="s">
        <v>69</v>
      </c>
      <c r="Q38" s="134" t="s">
        <v>69</v>
      </c>
      <c r="R38" s="134" t="s">
        <v>69</v>
      </c>
      <c r="S38" s="174" t="s">
        <v>108</v>
      </c>
      <c r="T38" s="168" t="s">
        <v>69</v>
      </c>
      <c r="U38" s="168" t="s">
        <v>69</v>
      </c>
      <c r="V38" s="168" t="s">
        <v>69</v>
      </c>
      <c r="W38" s="130" t="s">
        <v>92</v>
      </c>
      <c r="X38" s="168" t="s">
        <v>69</v>
      </c>
      <c r="Y38" s="168" t="s">
        <v>69</v>
      </c>
      <c r="Z38" s="174" t="s">
        <v>108</v>
      </c>
      <c r="AA38" s="168" t="s">
        <v>69</v>
      </c>
      <c r="AB38" s="168" t="s">
        <v>69</v>
      </c>
      <c r="AC38" s="168" t="s">
        <v>69</v>
      </c>
      <c r="AD38" s="168" t="s">
        <v>69</v>
      </c>
      <c r="AE38" s="168" t="s">
        <v>69</v>
      </c>
      <c r="AF38" s="168" t="s">
        <v>69</v>
      </c>
      <c r="AG38" s="174" t="s">
        <v>108</v>
      </c>
      <c r="AH38" s="170" t="s">
        <v>69</v>
      </c>
      <c r="AI38" s="170" t="s">
        <v>69</v>
      </c>
      <c r="AJ38" s="245" t="s">
        <v>69</v>
      </c>
      <c r="AK38" s="168" t="s">
        <v>69</v>
      </c>
    </row>
    <row r="39" spans="1:37" ht="18">
      <c r="A39" s="5">
        <v>38</v>
      </c>
      <c r="B39" s="70" t="s">
        <v>143</v>
      </c>
      <c r="C39" s="168">
        <v>3</v>
      </c>
      <c r="D39" s="168"/>
      <c r="E39" s="261">
        <v>1</v>
      </c>
      <c r="F39" s="259">
        <f t="shared" si="4"/>
        <v>2</v>
      </c>
      <c r="G39" s="134" t="s">
        <v>69</v>
      </c>
      <c r="H39" s="134" t="s">
        <v>69</v>
      </c>
      <c r="I39" s="134" t="s">
        <v>69</v>
      </c>
      <c r="J39" s="134" t="s">
        <v>69</v>
      </c>
      <c r="K39" s="134" t="s">
        <v>69</v>
      </c>
      <c r="L39" s="175" t="s">
        <v>108</v>
      </c>
      <c r="M39" s="131" t="s">
        <v>72</v>
      </c>
      <c r="N39" s="131" t="s">
        <v>72</v>
      </c>
      <c r="O39" s="131" t="s">
        <v>72</v>
      </c>
      <c r="P39" s="134" t="s">
        <v>69</v>
      </c>
      <c r="Q39" s="134" t="s">
        <v>69</v>
      </c>
      <c r="R39" s="134" t="s">
        <v>69</v>
      </c>
      <c r="S39" s="194" t="s">
        <v>108</v>
      </c>
      <c r="T39" s="168" t="s">
        <v>69</v>
      </c>
      <c r="U39" s="168" t="s">
        <v>69</v>
      </c>
      <c r="V39" s="147" t="s">
        <v>92</v>
      </c>
      <c r="W39" s="168" t="s">
        <v>69</v>
      </c>
      <c r="X39" s="168" t="s">
        <v>69</v>
      </c>
      <c r="Y39" s="168" t="s">
        <v>69</v>
      </c>
      <c r="Z39" s="194" t="s">
        <v>108</v>
      </c>
      <c r="AA39" s="168" t="s">
        <v>69</v>
      </c>
      <c r="AB39" s="168" t="s">
        <v>69</v>
      </c>
      <c r="AC39" s="168" t="s">
        <v>69</v>
      </c>
      <c r="AD39" s="168" t="s">
        <v>69</v>
      </c>
      <c r="AE39" s="168" t="s">
        <v>69</v>
      </c>
      <c r="AF39" s="168" t="s">
        <v>69</v>
      </c>
      <c r="AG39" s="194" t="s">
        <v>108</v>
      </c>
      <c r="AH39" s="170" t="s">
        <v>69</v>
      </c>
      <c r="AI39" s="170" t="s">
        <v>69</v>
      </c>
      <c r="AJ39" s="245" t="s">
        <v>69</v>
      </c>
      <c r="AK39" s="168" t="s">
        <v>69</v>
      </c>
    </row>
    <row r="40" spans="1:37" ht="18">
      <c r="A40" s="5">
        <v>39</v>
      </c>
      <c r="B40" s="196" t="s">
        <v>38</v>
      </c>
      <c r="C40" s="169">
        <v>1.5</v>
      </c>
      <c r="D40" s="169"/>
      <c r="E40" s="260">
        <v>1.5</v>
      </c>
      <c r="F40" s="259">
        <f t="shared" si="4"/>
        <v>0</v>
      </c>
      <c r="G40" s="132" t="s">
        <v>94</v>
      </c>
      <c r="H40" s="134" t="s">
        <v>69</v>
      </c>
      <c r="I40" s="134" t="s">
        <v>69</v>
      </c>
      <c r="J40" s="134" t="s">
        <v>69</v>
      </c>
      <c r="K40" s="168" t="s">
        <v>69</v>
      </c>
      <c r="L40" s="174" t="s">
        <v>108</v>
      </c>
      <c r="M40" s="672" t="s">
        <v>69</v>
      </c>
      <c r="N40" s="672" t="s">
        <v>69</v>
      </c>
      <c r="O40" s="672" t="s">
        <v>69</v>
      </c>
      <c r="P40" s="672" t="s">
        <v>69</v>
      </c>
      <c r="Q40" s="672" t="s">
        <v>69</v>
      </c>
      <c r="R40" s="672" t="s">
        <v>69</v>
      </c>
      <c r="S40" s="174" t="s">
        <v>108</v>
      </c>
      <c r="T40" s="121" t="s">
        <v>72</v>
      </c>
      <c r="U40" s="168" t="s">
        <v>69</v>
      </c>
      <c r="V40" s="168" t="s">
        <v>69</v>
      </c>
      <c r="W40" s="168" t="s">
        <v>69</v>
      </c>
      <c r="X40" s="168" t="s">
        <v>69</v>
      </c>
      <c r="Y40" s="168" t="s">
        <v>69</v>
      </c>
      <c r="Z40" s="174" t="s">
        <v>108</v>
      </c>
      <c r="AA40" s="168" t="s">
        <v>69</v>
      </c>
      <c r="AB40" s="168" t="s">
        <v>69</v>
      </c>
      <c r="AC40" s="168" t="s">
        <v>69</v>
      </c>
      <c r="AD40" s="168" t="s">
        <v>69</v>
      </c>
      <c r="AE40" s="168" t="s">
        <v>69</v>
      </c>
      <c r="AF40" s="168" t="s">
        <v>69</v>
      </c>
      <c r="AG40" s="174" t="s">
        <v>108</v>
      </c>
      <c r="AH40" s="170" t="s">
        <v>69</v>
      </c>
      <c r="AI40" s="170" t="s">
        <v>69</v>
      </c>
      <c r="AJ40" s="245" t="s">
        <v>69</v>
      </c>
      <c r="AK40" s="168" t="s">
        <v>69</v>
      </c>
    </row>
    <row r="41" spans="1:37" ht="18">
      <c r="A41" s="5">
        <v>40</v>
      </c>
      <c r="B41" s="196" t="s">
        <v>39</v>
      </c>
      <c r="C41" s="169">
        <v>1</v>
      </c>
      <c r="D41" s="169"/>
      <c r="E41" s="260">
        <v>1</v>
      </c>
      <c r="F41" s="259">
        <f t="shared" si="4"/>
        <v>0</v>
      </c>
      <c r="G41" s="121" t="s">
        <v>72</v>
      </c>
      <c r="H41" s="134" t="s">
        <v>69</v>
      </c>
      <c r="I41" s="134" t="s">
        <v>69</v>
      </c>
      <c r="J41" s="134" t="s">
        <v>69</v>
      </c>
      <c r="K41" s="134" t="s">
        <v>69</v>
      </c>
      <c r="L41" s="175" t="s">
        <v>108</v>
      </c>
      <c r="M41" s="168" t="s">
        <v>69</v>
      </c>
      <c r="N41" s="168" t="s">
        <v>69</v>
      </c>
      <c r="O41" s="121" t="s">
        <v>148</v>
      </c>
      <c r="P41" s="168" t="s">
        <v>69</v>
      </c>
      <c r="Q41" s="168" t="s">
        <v>69</v>
      </c>
      <c r="R41" s="168" t="s">
        <v>69</v>
      </c>
      <c r="S41" s="194" t="s">
        <v>108</v>
      </c>
      <c r="T41" s="168" t="s">
        <v>69</v>
      </c>
      <c r="U41" s="168" t="s">
        <v>69</v>
      </c>
      <c r="V41" s="168" t="s">
        <v>69</v>
      </c>
      <c r="W41" s="168" t="s">
        <v>69</v>
      </c>
      <c r="X41" s="168" t="s">
        <v>69</v>
      </c>
      <c r="Y41" s="168" t="s">
        <v>69</v>
      </c>
      <c r="Z41" s="194" t="s">
        <v>108</v>
      </c>
      <c r="AA41" s="168" t="s">
        <v>69</v>
      </c>
      <c r="AB41" s="168" t="s">
        <v>69</v>
      </c>
      <c r="AC41" s="130" t="s">
        <v>92</v>
      </c>
      <c r="AD41" s="168" t="s">
        <v>69</v>
      </c>
      <c r="AE41" s="168" t="s">
        <v>69</v>
      </c>
      <c r="AF41" s="168" t="s">
        <v>69</v>
      </c>
      <c r="AG41" s="194" t="s">
        <v>108</v>
      </c>
      <c r="AH41" s="170" t="s">
        <v>69</v>
      </c>
      <c r="AI41" s="170" t="s">
        <v>69</v>
      </c>
      <c r="AJ41" s="245" t="s">
        <v>69</v>
      </c>
      <c r="AK41" s="168" t="s">
        <v>69</v>
      </c>
    </row>
    <row r="42" spans="1:37" ht="18">
      <c r="A42" s="5">
        <v>41</v>
      </c>
      <c r="B42" s="70" t="s">
        <v>101</v>
      </c>
      <c r="C42" s="168">
        <v>4</v>
      </c>
      <c r="D42" s="168"/>
      <c r="E42" s="261">
        <v>1.5</v>
      </c>
      <c r="F42" s="259">
        <f t="shared" si="4"/>
        <v>2.5</v>
      </c>
      <c r="G42" s="202" t="s">
        <v>151</v>
      </c>
      <c r="H42" s="134" t="s">
        <v>69</v>
      </c>
      <c r="I42" s="134" t="s">
        <v>69</v>
      </c>
      <c r="J42" s="134" t="s">
        <v>69</v>
      </c>
      <c r="K42" s="134" t="s">
        <v>69</v>
      </c>
      <c r="L42" s="174" t="s">
        <v>108</v>
      </c>
      <c r="M42" s="121" t="s">
        <v>72</v>
      </c>
      <c r="N42" s="134" t="s">
        <v>69</v>
      </c>
      <c r="O42" s="134" t="s">
        <v>69</v>
      </c>
      <c r="P42" s="134" t="s">
        <v>69</v>
      </c>
      <c r="Q42" s="134" t="s">
        <v>69</v>
      </c>
      <c r="R42" s="134" t="s">
        <v>69</v>
      </c>
      <c r="S42" s="174" t="s">
        <v>108</v>
      </c>
      <c r="T42" s="168" t="s">
        <v>69</v>
      </c>
      <c r="U42" s="168" t="s">
        <v>69</v>
      </c>
      <c r="V42" s="168" t="s">
        <v>69</v>
      </c>
      <c r="W42" s="168" t="s">
        <v>69</v>
      </c>
      <c r="X42" s="168" t="s">
        <v>69</v>
      </c>
      <c r="Y42" s="168" t="s">
        <v>69</v>
      </c>
      <c r="Z42" s="174" t="s">
        <v>108</v>
      </c>
      <c r="AA42" s="168" t="s">
        <v>69</v>
      </c>
      <c r="AB42" s="168" t="s">
        <v>69</v>
      </c>
      <c r="AC42" s="168" t="s">
        <v>69</v>
      </c>
      <c r="AD42" s="168" t="s">
        <v>69</v>
      </c>
      <c r="AE42" s="168" t="s">
        <v>69</v>
      </c>
      <c r="AF42" s="121" t="s">
        <v>72</v>
      </c>
      <c r="AG42" s="174" t="s">
        <v>108</v>
      </c>
      <c r="AH42" s="121" t="s">
        <v>72</v>
      </c>
      <c r="AI42" s="153" t="s">
        <v>72</v>
      </c>
      <c r="AJ42" s="245" t="s">
        <v>69</v>
      </c>
      <c r="AK42" s="168" t="s">
        <v>69</v>
      </c>
    </row>
    <row r="43" spans="1:37" ht="18">
      <c r="A43" s="5">
        <v>42</v>
      </c>
      <c r="B43" s="196" t="s">
        <v>40</v>
      </c>
      <c r="C43" s="169">
        <v>1.5</v>
      </c>
      <c r="D43" s="169"/>
      <c r="E43" s="260">
        <v>1.5</v>
      </c>
      <c r="F43" s="259">
        <f t="shared" si="4"/>
        <v>0</v>
      </c>
      <c r="G43" s="134" t="s">
        <v>69</v>
      </c>
      <c r="H43" s="134" t="s">
        <v>69</v>
      </c>
      <c r="I43" s="199" t="s">
        <v>69</v>
      </c>
      <c r="J43" s="199" t="s">
        <v>69</v>
      </c>
      <c r="K43" s="147" t="s">
        <v>92</v>
      </c>
      <c r="L43" s="175" t="s">
        <v>108</v>
      </c>
      <c r="M43" s="168" t="s">
        <v>69</v>
      </c>
      <c r="N43" s="168" t="s">
        <v>69</v>
      </c>
      <c r="O43" s="168" t="s">
        <v>69</v>
      </c>
      <c r="P43" s="168" t="s">
        <v>69</v>
      </c>
      <c r="Q43" s="168" t="s">
        <v>69</v>
      </c>
      <c r="R43" s="168" t="s">
        <v>69</v>
      </c>
      <c r="S43" s="194" t="s">
        <v>108</v>
      </c>
      <c r="T43" s="132" t="s">
        <v>94</v>
      </c>
      <c r="U43" s="134" t="s">
        <v>69</v>
      </c>
      <c r="V43" s="168" t="s">
        <v>69</v>
      </c>
      <c r="W43" s="134" t="s">
        <v>69</v>
      </c>
      <c r="X43" s="134" t="s">
        <v>69</v>
      </c>
      <c r="Y43" s="121" t="s">
        <v>72</v>
      </c>
      <c r="Z43" s="194" t="s">
        <v>108</v>
      </c>
      <c r="AA43" s="168" t="s">
        <v>69</v>
      </c>
      <c r="AB43" s="168" t="s">
        <v>69</v>
      </c>
      <c r="AC43" s="168" t="s">
        <v>69</v>
      </c>
      <c r="AD43" s="168" t="s">
        <v>69</v>
      </c>
      <c r="AE43" s="168" t="s">
        <v>69</v>
      </c>
      <c r="AF43" s="168" t="s">
        <v>69</v>
      </c>
      <c r="AG43" s="194" t="s">
        <v>108</v>
      </c>
      <c r="AH43" s="134" t="s">
        <v>69</v>
      </c>
      <c r="AI43" s="134" t="s">
        <v>69</v>
      </c>
      <c r="AJ43" s="239" t="s">
        <v>69</v>
      </c>
      <c r="AK43" s="168" t="s">
        <v>69</v>
      </c>
    </row>
    <row r="44" spans="1:37" ht="18">
      <c r="A44" s="5">
        <v>43</v>
      </c>
      <c r="B44" s="70" t="s">
        <v>41</v>
      </c>
      <c r="C44" s="169">
        <v>1.5</v>
      </c>
      <c r="D44" s="169"/>
      <c r="E44" s="260">
        <v>1.5</v>
      </c>
      <c r="F44" s="259">
        <f t="shared" si="4"/>
        <v>0</v>
      </c>
      <c r="G44" s="134" t="s">
        <v>69</v>
      </c>
      <c r="H44" s="182" t="s">
        <v>92</v>
      </c>
      <c r="I44" s="169" t="s">
        <v>69</v>
      </c>
      <c r="J44" s="130" t="s">
        <v>92</v>
      </c>
      <c r="K44" s="171" t="s">
        <v>69</v>
      </c>
      <c r="L44" s="174" t="s">
        <v>108</v>
      </c>
      <c r="M44" s="134" t="s">
        <v>69</v>
      </c>
      <c r="N44" s="134" t="s">
        <v>69</v>
      </c>
      <c r="O44" s="134" t="s">
        <v>69</v>
      </c>
      <c r="P44" s="134" t="s">
        <v>69</v>
      </c>
      <c r="Q44" s="134" t="s">
        <v>69</v>
      </c>
      <c r="R44" s="134" t="s">
        <v>69</v>
      </c>
      <c r="S44" s="174" t="s">
        <v>108</v>
      </c>
      <c r="T44" s="134" t="s">
        <v>69</v>
      </c>
      <c r="U44" s="134" t="s">
        <v>69</v>
      </c>
      <c r="V44" s="168" t="s">
        <v>69</v>
      </c>
      <c r="W44" s="132" t="s">
        <v>94</v>
      </c>
      <c r="X44" s="168" t="s">
        <v>69</v>
      </c>
      <c r="Y44" s="168" t="s">
        <v>69</v>
      </c>
      <c r="Z44" s="174" t="s">
        <v>108</v>
      </c>
      <c r="AA44" s="168" t="s">
        <v>69</v>
      </c>
      <c r="AB44" s="168" t="s">
        <v>69</v>
      </c>
      <c r="AC44" s="168" t="s">
        <v>69</v>
      </c>
      <c r="AD44" s="168" t="s">
        <v>69</v>
      </c>
      <c r="AE44" s="168" t="s">
        <v>69</v>
      </c>
      <c r="AF44" s="168" t="s">
        <v>69</v>
      </c>
      <c r="AG44" s="174" t="s">
        <v>108</v>
      </c>
      <c r="AH44" s="121" t="s">
        <v>72</v>
      </c>
      <c r="AI44" s="239" t="s">
        <v>69</v>
      </c>
      <c r="AJ44" s="239" t="s">
        <v>69</v>
      </c>
      <c r="AK44" s="168" t="s">
        <v>69</v>
      </c>
    </row>
    <row r="45" spans="1:37" ht="18">
      <c r="A45" s="5">
        <v>44</v>
      </c>
      <c r="B45" s="133" t="s">
        <v>160</v>
      </c>
      <c r="C45" s="169"/>
      <c r="D45" s="169"/>
      <c r="E45" s="257"/>
      <c r="F45" s="257"/>
      <c r="G45" s="210" t="s">
        <v>72</v>
      </c>
      <c r="H45" s="210" t="s">
        <v>72</v>
      </c>
      <c r="I45" s="213" t="s">
        <v>72</v>
      </c>
      <c r="J45" s="197" t="s">
        <v>72</v>
      </c>
      <c r="K45" s="201" t="s">
        <v>72</v>
      </c>
      <c r="L45" s="175" t="s">
        <v>108</v>
      </c>
      <c r="M45" s="134" t="s">
        <v>69</v>
      </c>
      <c r="N45" s="134" t="s">
        <v>69</v>
      </c>
      <c r="O45" s="134" t="s">
        <v>69</v>
      </c>
      <c r="P45" s="134" t="s">
        <v>69</v>
      </c>
      <c r="Q45" s="134" t="s">
        <v>69</v>
      </c>
      <c r="R45" s="191" t="s">
        <v>94</v>
      </c>
      <c r="S45" s="194" t="s">
        <v>108</v>
      </c>
      <c r="T45" s="121" t="s">
        <v>72</v>
      </c>
      <c r="U45" s="121" t="s">
        <v>72</v>
      </c>
      <c r="V45" s="131" t="s">
        <v>76</v>
      </c>
      <c r="W45" s="131" t="s">
        <v>76</v>
      </c>
      <c r="X45" s="131" t="s">
        <v>76</v>
      </c>
      <c r="Y45" s="131" t="s">
        <v>76</v>
      </c>
      <c r="Z45" s="194" t="s">
        <v>108</v>
      </c>
      <c r="AA45" s="131" t="s">
        <v>76</v>
      </c>
      <c r="AB45" s="131" t="s">
        <v>76</v>
      </c>
      <c r="AC45" s="131" t="s">
        <v>76</v>
      </c>
      <c r="AD45" s="131" t="s">
        <v>76</v>
      </c>
      <c r="AE45" s="131" t="s">
        <v>76</v>
      </c>
      <c r="AF45" s="131" t="s">
        <v>76</v>
      </c>
      <c r="AG45" s="194" t="s">
        <v>108</v>
      </c>
      <c r="AH45" s="121" t="s">
        <v>76</v>
      </c>
      <c r="AI45" s="121" t="s">
        <v>76</v>
      </c>
      <c r="AJ45" s="153" t="s">
        <v>76</v>
      </c>
      <c r="AK45" s="121" t="s">
        <v>76</v>
      </c>
    </row>
    <row r="46" spans="1:37" ht="18">
      <c r="A46" s="5">
        <v>45</v>
      </c>
      <c r="B46" s="196" t="s">
        <v>42</v>
      </c>
      <c r="C46" s="169">
        <v>1</v>
      </c>
      <c r="D46" s="169"/>
      <c r="E46" s="260">
        <v>1</v>
      </c>
      <c r="F46" s="259">
        <f t="shared" ref="F46:F55" si="5">C46-E46</f>
        <v>0</v>
      </c>
      <c r="G46" s="134" t="s">
        <v>69</v>
      </c>
      <c r="H46" s="134" t="s">
        <v>69</v>
      </c>
      <c r="I46" s="200" t="s">
        <v>69</v>
      </c>
      <c r="J46" s="200" t="s">
        <v>69</v>
      </c>
      <c r="K46" s="134" t="s">
        <v>69</v>
      </c>
      <c r="L46" s="174" t="s">
        <v>108</v>
      </c>
      <c r="M46" s="168" t="s">
        <v>69</v>
      </c>
      <c r="N46" s="168" t="s">
        <v>69</v>
      </c>
      <c r="O46" s="168" t="s">
        <v>69</v>
      </c>
      <c r="P46" s="168" t="s">
        <v>69</v>
      </c>
      <c r="Q46" s="168" t="s">
        <v>69</v>
      </c>
      <c r="R46" s="168" t="s">
        <v>69</v>
      </c>
      <c r="S46" s="174" t="s">
        <v>108</v>
      </c>
      <c r="T46" s="134" t="s">
        <v>69</v>
      </c>
      <c r="U46" s="134" t="s">
        <v>69</v>
      </c>
      <c r="V46" s="134" t="s">
        <v>69</v>
      </c>
      <c r="W46" s="134" t="s">
        <v>69</v>
      </c>
      <c r="X46" s="134" t="s">
        <v>69</v>
      </c>
      <c r="Y46" s="134" t="s">
        <v>69</v>
      </c>
      <c r="Z46" s="174" t="s">
        <v>108</v>
      </c>
      <c r="AA46" s="121" t="s">
        <v>72</v>
      </c>
      <c r="AB46" s="134" t="s">
        <v>69</v>
      </c>
      <c r="AC46" s="134" t="s">
        <v>69</v>
      </c>
      <c r="AD46" s="134" t="s">
        <v>69</v>
      </c>
      <c r="AE46" s="134" t="s">
        <v>69</v>
      </c>
      <c r="AF46" s="134" t="s">
        <v>69</v>
      </c>
      <c r="AG46" s="174" t="s">
        <v>108</v>
      </c>
      <c r="AH46" s="134" t="s">
        <v>69</v>
      </c>
      <c r="AI46" s="134" t="s">
        <v>69</v>
      </c>
      <c r="AJ46" s="239" t="s">
        <v>157</v>
      </c>
      <c r="AK46" s="120" t="s">
        <v>69</v>
      </c>
    </row>
    <row r="47" spans="1:37" ht="18">
      <c r="A47" s="5">
        <v>46</v>
      </c>
      <c r="B47" s="70" t="s">
        <v>161</v>
      </c>
      <c r="C47" s="168">
        <v>6</v>
      </c>
      <c r="D47" s="168"/>
      <c r="E47" s="261">
        <v>0</v>
      </c>
      <c r="F47" s="259">
        <f t="shared" si="5"/>
        <v>6</v>
      </c>
      <c r="G47" s="202" t="s">
        <v>72</v>
      </c>
      <c r="H47" s="202" t="s">
        <v>72</v>
      </c>
      <c r="I47" s="211" t="s">
        <v>72</v>
      </c>
      <c r="J47" s="211" t="s">
        <v>72</v>
      </c>
      <c r="K47" s="211" t="s">
        <v>72</v>
      </c>
      <c r="L47" s="175" t="s">
        <v>108</v>
      </c>
      <c r="M47" s="134" t="s">
        <v>69</v>
      </c>
      <c r="N47" s="134" t="s">
        <v>69</v>
      </c>
      <c r="O47" s="134" t="s">
        <v>69</v>
      </c>
      <c r="P47" s="134" t="s">
        <v>69</v>
      </c>
      <c r="Q47" s="121" t="s">
        <v>72</v>
      </c>
      <c r="R47" s="134" t="s">
        <v>69</v>
      </c>
      <c r="S47" s="194" t="s">
        <v>108</v>
      </c>
      <c r="T47" s="134" t="s">
        <v>69</v>
      </c>
      <c r="U47" s="134" t="s">
        <v>69</v>
      </c>
      <c r="V47" s="134" t="s">
        <v>69</v>
      </c>
      <c r="W47" s="134" t="s">
        <v>69</v>
      </c>
      <c r="X47" s="134" t="s">
        <v>69</v>
      </c>
      <c r="Y47" s="134" t="s">
        <v>69</v>
      </c>
      <c r="Z47" s="194" t="s">
        <v>108</v>
      </c>
      <c r="AA47" s="168" t="s">
        <v>69</v>
      </c>
      <c r="AB47" s="168" t="s">
        <v>69</v>
      </c>
      <c r="AC47" s="168" t="s">
        <v>69</v>
      </c>
      <c r="AD47" s="168" t="s">
        <v>69</v>
      </c>
      <c r="AE47" s="168" t="s">
        <v>69</v>
      </c>
      <c r="AF47" s="134" t="s">
        <v>69</v>
      </c>
      <c r="AG47" s="194" t="s">
        <v>108</v>
      </c>
      <c r="AH47" s="134" t="s">
        <v>69</v>
      </c>
      <c r="AI47" s="134" t="s">
        <v>69</v>
      </c>
      <c r="AJ47" s="239" t="s">
        <v>69</v>
      </c>
      <c r="AK47" s="120" t="s">
        <v>69</v>
      </c>
    </row>
    <row r="48" spans="1:37" ht="18">
      <c r="A48" s="5">
        <v>47</v>
      </c>
      <c r="B48" s="196" t="s">
        <v>47</v>
      </c>
      <c r="C48" s="169">
        <v>1</v>
      </c>
      <c r="D48" s="169"/>
      <c r="E48" s="260">
        <v>1</v>
      </c>
      <c r="F48" s="259">
        <f t="shared" si="5"/>
        <v>0</v>
      </c>
      <c r="G48" s="205" t="s">
        <v>69</v>
      </c>
      <c r="H48" s="205" t="s">
        <v>69</v>
      </c>
      <c r="I48" s="205" t="s">
        <v>69</v>
      </c>
      <c r="J48" s="205" t="s">
        <v>69</v>
      </c>
      <c r="K48" s="205" t="s">
        <v>69</v>
      </c>
      <c r="L48" s="174" t="s">
        <v>108</v>
      </c>
      <c r="M48" s="134" t="s">
        <v>69</v>
      </c>
      <c r="N48" s="134" t="s">
        <v>69</v>
      </c>
      <c r="O48" s="134" t="s">
        <v>69</v>
      </c>
      <c r="P48" s="134" t="s">
        <v>69</v>
      </c>
      <c r="Q48" s="134" t="s">
        <v>69</v>
      </c>
      <c r="R48" s="134" t="s">
        <v>69</v>
      </c>
      <c r="S48" s="174" t="s">
        <v>108</v>
      </c>
      <c r="T48" s="134" t="s">
        <v>69</v>
      </c>
      <c r="U48" s="134" t="s">
        <v>69</v>
      </c>
      <c r="V48" s="134" t="s">
        <v>69</v>
      </c>
      <c r="W48" s="134" t="s">
        <v>69</v>
      </c>
      <c r="X48" s="134" t="s">
        <v>69</v>
      </c>
      <c r="Y48" s="134" t="s">
        <v>69</v>
      </c>
      <c r="Z48" s="174" t="s">
        <v>108</v>
      </c>
      <c r="AA48" s="168" t="s">
        <v>69</v>
      </c>
      <c r="AB48" s="168" t="s">
        <v>69</v>
      </c>
      <c r="AC48" s="168" t="s">
        <v>69</v>
      </c>
      <c r="AD48" s="168" t="s">
        <v>69</v>
      </c>
      <c r="AE48" s="168" t="s">
        <v>69</v>
      </c>
      <c r="AF48" s="168" t="s">
        <v>69</v>
      </c>
      <c r="AG48" s="174" t="s">
        <v>108</v>
      </c>
      <c r="AH48" s="134" t="s">
        <v>69</v>
      </c>
      <c r="AI48" s="134" t="s">
        <v>69</v>
      </c>
      <c r="AJ48" s="153" t="s">
        <v>72</v>
      </c>
      <c r="AK48" s="120" t="s">
        <v>69</v>
      </c>
    </row>
    <row r="49" spans="1:38" ht="18">
      <c r="A49" s="5">
        <v>48</v>
      </c>
      <c r="B49" s="196" t="s">
        <v>48</v>
      </c>
      <c r="C49" s="169">
        <v>12.5</v>
      </c>
      <c r="D49" s="169"/>
      <c r="E49" s="260">
        <v>6.5</v>
      </c>
      <c r="F49" s="259">
        <f t="shared" si="5"/>
        <v>6</v>
      </c>
      <c r="G49" s="205" t="s">
        <v>69</v>
      </c>
      <c r="H49" s="205" t="s">
        <v>69</v>
      </c>
      <c r="I49" s="205" t="s">
        <v>69</v>
      </c>
      <c r="J49" s="121" t="s">
        <v>72</v>
      </c>
      <c r="K49" s="168" t="s">
        <v>69</v>
      </c>
      <c r="L49" s="175" t="s">
        <v>108</v>
      </c>
      <c r="M49" s="168" t="s">
        <v>69</v>
      </c>
      <c r="N49" s="168" t="s">
        <v>69</v>
      </c>
      <c r="O49" s="132" t="s">
        <v>94</v>
      </c>
      <c r="P49" s="168" t="s">
        <v>69</v>
      </c>
      <c r="Q49" s="168" t="s">
        <v>69</v>
      </c>
      <c r="R49" s="168" t="s">
        <v>69</v>
      </c>
      <c r="S49" s="194" t="s">
        <v>108</v>
      </c>
      <c r="T49" s="134" t="s">
        <v>69</v>
      </c>
      <c r="U49" s="134" t="s">
        <v>69</v>
      </c>
      <c r="V49" s="134" t="s">
        <v>69</v>
      </c>
      <c r="W49" s="134" t="s">
        <v>69</v>
      </c>
      <c r="X49" s="134" t="s">
        <v>69</v>
      </c>
      <c r="Y49" s="121" t="s">
        <v>72</v>
      </c>
      <c r="Z49" s="194" t="s">
        <v>108</v>
      </c>
      <c r="AA49" s="131" t="s">
        <v>72</v>
      </c>
      <c r="AB49" s="131" t="s">
        <v>72</v>
      </c>
      <c r="AC49" s="131" t="s">
        <v>72</v>
      </c>
      <c r="AD49" s="131" t="s">
        <v>72</v>
      </c>
      <c r="AE49" s="131" t="s">
        <v>72</v>
      </c>
      <c r="AF49" s="131" t="s">
        <v>72</v>
      </c>
      <c r="AG49" s="194" t="s">
        <v>108</v>
      </c>
      <c r="AH49" s="121" t="s">
        <v>72</v>
      </c>
      <c r="AI49" s="121" t="s">
        <v>72</v>
      </c>
      <c r="AJ49" s="153" t="s">
        <v>72</v>
      </c>
      <c r="AK49" s="121" t="s">
        <v>72</v>
      </c>
    </row>
    <row r="50" spans="1:38" ht="18">
      <c r="A50" s="5">
        <v>49</v>
      </c>
      <c r="B50" s="196" t="s">
        <v>49</v>
      </c>
      <c r="C50" s="169">
        <v>2.5</v>
      </c>
      <c r="D50" s="169"/>
      <c r="E50" s="260">
        <v>2.5</v>
      </c>
      <c r="F50" s="259">
        <f t="shared" si="5"/>
        <v>0</v>
      </c>
      <c r="G50" s="197" t="s">
        <v>72</v>
      </c>
      <c r="H50" s="205" t="s">
        <v>69</v>
      </c>
      <c r="I50" s="205" t="s">
        <v>69</v>
      </c>
      <c r="J50" s="205" t="s">
        <v>69</v>
      </c>
      <c r="K50" s="205" t="s">
        <v>69</v>
      </c>
      <c r="L50" s="174" t="s">
        <v>108</v>
      </c>
      <c r="M50" s="168" t="s">
        <v>69</v>
      </c>
      <c r="N50" s="168" t="s">
        <v>69</v>
      </c>
      <c r="O50" s="134" t="s">
        <v>69</v>
      </c>
      <c r="P50" s="132" t="s">
        <v>94</v>
      </c>
      <c r="Q50" s="168" t="s">
        <v>69</v>
      </c>
      <c r="R50" s="168" t="s">
        <v>69</v>
      </c>
      <c r="S50" s="174" t="s">
        <v>108</v>
      </c>
      <c r="T50" s="134" t="s">
        <v>69</v>
      </c>
      <c r="U50" s="134" t="s">
        <v>69</v>
      </c>
      <c r="V50" s="132" t="s">
        <v>94</v>
      </c>
      <c r="W50" s="168" t="s">
        <v>69</v>
      </c>
      <c r="X50" s="168" t="s">
        <v>69</v>
      </c>
      <c r="Y50" s="168" t="s">
        <v>69</v>
      </c>
      <c r="Z50" s="174" t="s">
        <v>108</v>
      </c>
      <c r="AA50" s="134" t="s">
        <v>69</v>
      </c>
      <c r="AB50" s="134" t="s">
        <v>69</v>
      </c>
      <c r="AC50" s="132" t="s">
        <v>94</v>
      </c>
      <c r="AD50" s="168" t="s">
        <v>69</v>
      </c>
      <c r="AE50" s="168" t="s">
        <v>69</v>
      </c>
      <c r="AF50" s="168" t="s">
        <v>69</v>
      </c>
      <c r="AG50" s="174" t="s">
        <v>108</v>
      </c>
      <c r="AH50" s="134" t="s">
        <v>69</v>
      </c>
      <c r="AI50" s="134" t="s">
        <v>69</v>
      </c>
      <c r="AJ50" s="239" t="s">
        <v>69</v>
      </c>
      <c r="AK50" s="134" t="s">
        <v>69</v>
      </c>
    </row>
    <row r="51" spans="1:38" ht="18">
      <c r="A51" s="5">
        <v>50</v>
      </c>
      <c r="B51" s="196" t="s">
        <v>50</v>
      </c>
      <c r="C51" s="169">
        <v>2</v>
      </c>
      <c r="D51" s="169"/>
      <c r="E51" s="260">
        <v>1.5</v>
      </c>
      <c r="F51" s="259">
        <f t="shared" si="5"/>
        <v>0.5</v>
      </c>
      <c r="G51" s="672" t="s">
        <v>69</v>
      </c>
      <c r="H51" s="205" t="s">
        <v>69</v>
      </c>
      <c r="I51" s="205" t="s">
        <v>69</v>
      </c>
      <c r="J51" s="205" t="s">
        <v>69</v>
      </c>
      <c r="K51" s="132" t="s">
        <v>94</v>
      </c>
      <c r="L51" s="175" t="s">
        <v>108</v>
      </c>
      <c r="M51" s="130" t="s">
        <v>92</v>
      </c>
      <c r="N51" s="134" t="s">
        <v>69</v>
      </c>
      <c r="O51" s="168" t="s">
        <v>69</v>
      </c>
      <c r="P51" s="168" t="s">
        <v>69</v>
      </c>
      <c r="Q51" s="168" t="s">
        <v>69</v>
      </c>
      <c r="R51" s="168" t="s">
        <v>69</v>
      </c>
      <c r="S51" s="194" t="s">
        <v>108</v>
      </c>
      <c r="T51" s="134" t="s">
        <v>69</v>
      </c>
      <c r="U51" s="134" t="s">
        <v>69</v>
      </c>
      <c r="V51" s="134" t="s">
        <v>69</v>
      </c>
      <c r="W51" s="134" t="s">
        <v>69</v>
      </c>
      <c r="X51" s="132" t="s">
        <v>94</v>
      </c>
      <c r="Y51" s="121" t="s">
        <v>72</v>
      </c>
      <c r="Z51" s="194" t="s">
        <v>108</v>
      </c>
      <c r="AA51" s="134" t="s">
        <v>69</v>
      </c>
      <c r="AB51" s="134" t="s">
        <v>69</v>
      </c>
      <c r="AC51" s="134" t="s">
        <v>69</v>
      </c>
      <c r="AD51" s="134" t="s">
        <v>69</v>
      </c>
      <c r="AE51" s="134" t="s">
        <v>69</v>
      </c>
      <c r="AF51" s="134" t="s">
        <v>69</v>
      </c>
      <c r="AG51" s="194" t="s">
        <v>108</v>
      </c>
      <c r="AH51" s="134" t="s">
        <v>69</v>
      </c>
      <c r="AI51" s="134" t="s">
        <v>69</v>
      </c>
      <c r="AJ51" s="239" t="s">
        <v>69</v>
      </c>
      <c r="AK51" s="134" t="s">
        <v>69</v>
      </c>
    </row>
    <row r="52" spans="1:38" ht="18">
      <c r="A52" s="5">
        <v>51</v>
      </c>
      <c r="B52" s="192" t="s">
        <v>104</v>
      </c>
      <c r="C52" s="168">
        <v>0.5</v>
      </c>
      <c r="D52" s="220"/>
      <c r="E52" s="262">
        <v>0.5</v>
      </c>
      <c r="F52" s="259">
        <f t="shared" si="5"/>
        <v>0</v>
      </c>
      <c r="G52" s="672" t="s">
        <v>69</v>
      </c>
      <c r="H52" s="672" t="s">
        <v>69</v>
      </c>
      <c r="I52" s="672" t="s">
        <v>69</v>
      </c>
      <c r="J52" s="672" t="s">
        <v>69</v>
      </c>
      <c r="K52" s="672" t="s">
        <v>69</v>
      </c>
      <c r="L52" s="174" t="s">
        <v>108</v>
      </c>
      <c r="M52" s="168" t="s">
        <v>69</v>
      </c>
      <c r="N52" s="168" t="s">
        <v>69</v>
      </c>
      <c r="O52" s="168" t="s">
        <v>69</v>
      </c>
      <c r="P52" s="168" t="s">
        <v>69</v>
      </c>
      <c r="Q52" s="168" t="s">
        <v>69</v>
      </c>
      <c r="R52" s="168" t="s">
        <v>69</v>
      </c>
      <c r="S52" s="174" t="s">
        <v>108</v>
      </c>
      <c r="T52" s="132" t="s">
        <v>94</v>
      </c>
      <c r="U52" s="134" t="s">
        <v>69</v>
      </c>
      <c r="V52" s="134" t="s">
        <v>69</v>
      </c>
      <c r="W52" s="134" t="s">
        <v>69</v>
      </c>
      <c r="X52" s="134" t="s">
        <v>69</v>
      </c>
      <c r="Y52" s="134" t="s">
        <v>69</v>
      </c>
      <c r="Z52" s="174" t="s">
        <v>108</v>
      </c>
      <c r="AA52" s="134" t="s">
        <v>69</v>
      </c>
      <c r="AB52" s="134" t="s">
        <v>69</v>
      </c>
      <c r="AC52" s="134" t="s">
        <v>69</v>
      </c>
      <c r="AD52" s="134" t="s">
        <v>69</v>
      </c>
      <c r="AE52" s="134" t="s">
        <v>69</v>
      </c>
      <c r="AF52" s="134" t="s">
        <v>69</v>
      </c>
      <c r="AG52" s="174" t="s">
        <v>108</v>
      </c>
      <c r="AH52" s="134" t="s">
        <v>69</v>
      </c>
      <c r="AI52" s="134" t="s">
        <v>69</v>
      </c>
      <c r="AJ52" s="239" t="s">
        <v>69</v>
      </c>
      <c r="AK52" s="134" t="s">
        <v>69</v>
      </c>
    </row>
    <row r="53" spans="1:38" ht="18">
      <c r="A53" s="5">
        <v>52</v>
      </c>
      <c r="B53" s="196" t="s">
        <v>52</v>
      </c>
      <c r="C53" s="195">
        <v>1</v>
      </c>
      <c r="D53" s="195"/>
      <c r="E53" s="263">
        <v>1</v>
      </c>
      <c r="F53" s="259">
        <f t="shared" si="5"/>
        <v>0</v>
      </c>
      <c r="G53" s="209" t="s">
        <v>92</v>
      </c>
      <c r="H53" s="672" t="s">
        <v>69</v>
      </c>
      <c r="I53" s="672" t="s">
        <v>69</v>
      </c>
      <c r="J53" s="672" t="s">
        <v>69</v>
      </c>
      <c r="K53" s="672" t="s">
        <v>69</v>
      </c>
      <c r="L53" s="175" t="s">
        <v>108</v>
      </c>
      <c r="M53" s="672" t="s">
        <v>69</v>
      </c>
      <c r="N53" s="672" t="s">
        <v>69</v>
      </c>
      <c r="O53" s="168" t="s">
        <v>69</v>
      </c>
      <c r="P53" s="168" t="s">
        <v>69</v>
      </c>
      <c r="Q53" s="168" t="s">
        <v>69</v>
      </c>
      <c r="R53" s="168" t="s">
        <v>69</v>
      </c>
      <c r="S53" s="194" t="s">
        <v>108</v>
      </c>
      <c r="T53" s="168" t="s">
        <v>69</v>
      </c>
      <c r="U53" s="168" t="s">
        <v>69</v>
      </c>
      <c r="V53" s="168" t="s">
        <v>69</v>
      </c>
      <c r="W53" s="168" t="s">
        <v>69</v>
      </c>
      <c r="X53" s="168" t="s">
        <v>69</v>
      </c>
      <c r="Y53" s="168" t="s">
        <v>69</v>
      </c>
      <c r="Z53" s="194" t="s">
        <v>108</v>
      </c>
      <c r="AA53" s="121" t="s">
        <v>72</v>
      </c>
      <c r="AB53" s="134" t="s">
        <v>69</v>
      </c>
      <c r="AC53" s="134" t="s">
        <v>69</v>
      </c>
      <c r="AD53" s="134" t="s">
        <v>69</v>
      </c>
      <c r="AE53" s="134" t="s">
        <v>69</v>
      </c>
      <c r="AF53" s="134" t="s">
        <v>69</v>
      </c>
      <c r="AG53" s="194" t="s">
        <v>108</v>
      </c>
      <c r="AH53" s="134" t="s">
        <v>69</v>
      </c>
      <c r="AI53" s="134" t="s">
        <v>69</v>
      </c>
      <c r="AJ53" s="239" t="s">
        <v>69</v>
      </c>
      <c r="AK53" s="134" t="s">
        <v>69</v>
      </c>
    </row>
    <row r="54" spans="1:38" ht="18">
      <c r="A54" s="5">
        <v>53</v>
      </c>
      <c r="B54" s="196" t="s">
        <v>53</v>
      </c>
      <c r="C54" s="169">
        <v>17</v>
      </c>
      <c r="D54" s="169"/>
      <c r="E54" s="260">
        <v>11</v>
      </c>
      <c r="F54" s="259">
        <f t="shared" si="5"/>
        <v>6</v>
      </c>
      <c r="G54" s="672" t="s">
        <v>69</v>
      </c>
      <c r="H54" s="672" t="s">
        <v>69</v>
      </c>
      <c r="I54" s="672" t="s">
        <v>69</v>
      </c>
      <c r="J54" s="121" t="s">
        <v>72</v>
      </c>
      <c r="K54" s="134" t="s">
        <v>69</v>
      </c>
      <c r="L54" s="174" t="s">
        <v>108</v>
      </c>
      <c r="M54" s="672" t="s">
        <v>69</v>
      </c>
      <c r="N54" s="672" t="s">
        <v>69</v>
      </c>
      <c r="O54" s="168" t="s">
        <v>69</v>
      </c>
      <c r="P54" s="170" t="s">
        <v>69</v>
      </c>
      <c r="Q54" s="170" t="s">
        <v>69</v>
      </c>
      <c r="R54" s="170" t="s">
        <v>69</v>
      </c>
      <c r="S54" s="174" t="s">
        <v>108</v>
      </c>
      <c r="T54" s="121" t="s">
        <v>72</v>
      </c>
      <c r="U54" s="121" t="s">
        <v>72</v>
      </c>
      <c r="V54" s="121" t="s">
        <v>72</v>
      </c>
      <c r="W54" s="121" t="s">
        <v>72</v>
      </c>
      <c r="X54" s="121" t="s">
        <v>72</v>
      </c>
      <c r="Y54" s="121" t="s">
        <v>72</v>
      </c>
      <c r="Z54" s="174" t="s">
        <v>108</v>
      </c>
      <c r="AA54" s="131" t="s">
        <v>72</v>
      </c>
      <c r="AB54" s="131" t="s">
        <v>72</v>
      </c>
      <c r="AC54" s="131" t="s">
        <v>72</v>
      </c>
      <c r="AD54" s="131" t="s">
        <v>72</v>
      </c>
      <c r="AE54" s="131" t="s">
        <v>72</v>
      </c>
      <c r="AF54" s="131" t="s">
        <v>72</v>
      </c>
      <c r="AG54" s="174" t="s">
        <v>108</v>
      </c>
      <c r="AH54" s="121" t="s">
        <v>72</v>
      </c>
      <c r="AI54" s="121" t="s">
        <v>72</v>
      </c>
      <c r="AJ54" s="153" t="s">
        <v>72</v>
      </c>
      <c r="AK54" s="121" t="s">
        <v>72</v>
      </c>
    </row>
    <row r="55" spans="1:38" ht="18">
      <c r="A55" s="5">
        <v>54</v>
      </c>
      <c r="B55" s="196" t="s">
        <v>162</v>
      </c>
      <c r="C55" s="169">
        <v>16</v>
      </c>
      <c r="D55" s="169">
        <v>2</v>
      </c>
      <c r="E55" s="260">
        <v>0</v>
      </c>
      <c r="F55" s="259">
        <f t="shared" si="5"/>
        <v>16</v>
      </c>
      <c r="G55" s="204" t="s">
        <v>72</v>
      </c>
      <c r="H55" s="204" t="s">
        <v>72</v>
      </c>
      <c r="I55" s="672" t="s">
        <v>69</v>
      </c>
      <c r="J55" s="672" t="s">
        <v>69</v>
      </c>
      <c r="K55" s="672" t="s">
        <v>69</v>
      </c>
      <c r="L55" s="175" t="s">
        <v>108</v>
      </c>
      <c r="M55" s="121" t="s">
        <v>72</v>
      </c>
      <c r="N55" s="121" t="s">
        <v>72</v>
      </c>
      <c r="O55" s="121" t="s">
        <v>72</v>
      </c>
      <c r="P55" s="121" t="s">
        <v>72</v>
      </c>
      <c r="Q55" s="168" t="s">
        <v>69</v>
      </c>
      <c r="R55" s="168" t="s">
        <v>69</v>
      </c>
      <c r="S55" s="194" t="s">
        <v>108</v>
      </c>
      <c r="T55" s="168" t="s">
        <v>69</v>
      </c>
      <c r="U55" s="168" t="s">
        <v>69</v>
      </c>
      <c r="V55" s="168" t="s">
        <v>69</v>
      </c>
      <c r="W55" s="121" t="s">
        <v>72</v>
      </c>
      <c r="X55" s="168" t="s">
        <v>69</v>
      </c>
      <c r="Y55" s="168" t="s">
        <v>69</v>
      </c>
      <c r="Z55" s="194" t="s">
        <v>108</v>
      </c>
      <c r="AA55" s="240" t="s">
        <v>69</v>
      </c>
      <c r="AB55" s="240" t="s">
        <v>69</v>
      </c>
      <c r="AC55" s="240" t="s">
        <v>69</v>
      </c>
      <c r="AD55" s="240" t="s">
        <v>69</v>
      </c>
      <c r="AE55" s="240" t="s">
        <v>69</v>
      </c>
      <c r="AF55" s="240" t="s">
        <v>69</v>
      </c>
      <c r="AG55" s="194" t="s">
        <v>108</v>
      </c>
      <c r="AH55" s="168" t="s">
        <v>69</v>
      </c>
      <c r="AI55" s="168" t="s">
        <v>69</v>
      </c>
      <c r="AJ55" s="169" t="s">
        <v>69</v>
      </c>
      <c r="AK55" s="168" t="s">
        <v>69</v>
      </c>
      <c r="AL55">
        <v>7</v>
      </c>
    </row>
    <row r="56" spans="1:38" ht="18">
      <c r="A56" s="5">
        <v>55</v>
      </c>
      <c r="B56" s="69" t="s">
        <v>163</v>
      </c>
      <c r="C56" s="169"/>
      <c r="D56" s="169"/>
      <c r="E56" s="255"/>
      <c r="F56" s="255"/>
      <c r="G56" s="204" t="s">
        <v>72</v>
      </c>
      <c r="H56" s="204" t="s">
        <v>72</v>
      </c>
      <c r="I56" s="130" t="s">
        <v>92</v>
      </c>
      <c r="J56" s="156" t="s">
        <v>72</v>
      </c>
      <c r="K56" s="156" t="s">
        <v>72</v>
      </c>
      <c r="L56" s="174" t="s">
        <v>108</v>
      </c>
      <c r="M56" s="131" t="s">
        <v>72</v>
      </c>
      <c r="N56" s="131" t="s">
        <v>72</v>
      </c>
      <c r="O56" s="131" t="s">
        <v>72</v>
      </c>
      <c r="P56" s="131" t="s">
        <v>72</v>
      </c>
      <c r="Q56" s="131" t="s">
        <v>72</v>
      </c>
      <c r="R56" s="131" t="s">
        <v>72</v>
      </c>
      <c r="S56" s="174" t="s">
        <v>108</v>
      </c>
      <c r="T56" s="121" t="s">
        <v>72</v>
      </c>
      <c r="U56" s="121" t="s">
        <v>76</v>
      </c>
      <c r="V56" s="121" t="s">
        <v>76</v>
      </c>
      <c r="W56" s="121" t="s">
        <v>76</v>
      </c>
      <c r="X56" s="121" t="s">
        <v>76</v>
      </c>
      <c r="Y56" s="121" t="s">
        <v>76</v>
      </c>
      <c r="Z56" s="174" t="s">
        <v>108</v>
      </c>
      <c r="AA56" s="131" t="s">
        <v>76</v>
      </c>
      <c r="AB56" s="131" t="s">
        <v>76</v>
      </c>
      <c r="AC56" s="131" t="s">
        <v>76</v>
      </c>
      <c r="AD56" s="131" t="s">
        <v>76</v>
      </c>
      <c r="AE56" s="131" t="s">
        <v>76</v>
      </c>
      <c r="AF56" s="131" t="s">
        <v>76</v>
      </c>
      <c r="AG56" s="174" t="s">
        <v>108</v>
      </c>
      <c r="AH56" s="121" t="s">
        <v>76</v>
      </c>
      <c r="AI56" s="121" t="s">
        <v>76</v>
      </c>
      <c r="AJ56" s="153" t="s">
        <v>76</v>
      </c>
      <c r="AK56" s="121" t="s">
        <v>76</v>
      </c>
    </row>
    <row r="57" spans="1:38" ht="18">
      <c r="A57" s="5">
        <v>56</v>
      </c>
      <c r="B57" s="196" t="s">
        <v>55</v>
      </c>
      <c r="C57" s="169">
        <v>0</v>
      </c>
      <c r="D57" s="169"/>
      <c r="E57" s="260">
        <v>0</v>
      </c>
      <c r="F57" s="259">
        <f>C57-E57</f>
        <v>0</v>
      </c>
      <c r="G57" s="134" t="s">
        <v>69</v>
      </c>
      <c r="H57" s="207" t="s">
        <v>69</v>
      </c>
      <c r="I57" s="207" t="s">
        <v>69</v>
      </c>
      <c r="J57" s="171" t="s">
        <v>69</v>
      </c>
      <c r="K57" s="171" t="s">
        <v>69</v>
      </c>
      <c r="L57" s="175" t="s">
        <v>108</v>
      </c>
      <c r="M57" s="134" t="s">
        <v>69</v>
      </c>
      <c r="N57" s="134" t="s">
        <v>69</v>
      </c>
      <c r="O57" s="121" t="s">
        <v>148</v>
      </c>
      <c r="P57" s="168" t="s">
        <v>69</v>
      </c>
      <c r="Q57" s="168" t="s">
        <v>69</v>
      </c>
      <c r="R57" s="168" t="s">
        <v>69</v>
      </c>
      <c r="S57" s="194" t="s">
        <v>108</v>
      </c>
      <c r="T57" s="168" t="s">
        <v>69</v>
      </c>
      <c r="U57" s="168" t="s">
        <v>69</v>
      </c>
      <c r="V57" s="168" t="s">
        <v>69</v>
      </c>
      <c r="W57" s="168" t="s">
        <v>69</v>
      </c>
      <c r="X57" s="168" t="s">
        <v>69</v>
      </c>
      <c r="Y57" s="168" t="s">
        <v>69</v>
      </c>
      <c r="Z57" s="194" t="s">
        <v>108</v>
      </c>
      <c r="AA57" s="240" t="s">
        <v>69</v>
      </c>
      <c r="AB57" s="240" t="s">
        <v>69</v>
      </c>
      <c r="AC57" s="240" t="s">
        <v>69</v>
      </c>
      <c r="AD57" s="240" t="s">
        <v>69</v>
      </c>
      <c r="AE57" s="240" t="s">
        <v>69</v>
      </c>
      <c r="AF57" s="240" t="s">
        <v>69</v>
      </c>
      <c r="AG57" s="194" t="s">
        <v>108</v>
      </c>
      <c r="AH57" s="168" t="s">
        <v>69</v>
      </c>
      <c r="AI57" s="168" t="s">
        <v>69</v>
      </c>
      <c r="AJ57" s="169" t="s">
        <v>69</v>
      </c>
      <c r="AK57" s="168" t="s">
        <v>69</v>
      </c>
    </row>
    <row r="58" spans="1:38" ht="18">
      <c r="A58" s="5">
        <v>57</v>
      </c>
      <c r="B58" s="69" t="s">
        <v>164</v>
      </c>
      <c r="C58" s="169"/>
      <c r="D58" s="169"/>
      <c r="E58" s="255"/>
      <c r="F58" s="255"/>
      <c r="G58" s="204" t="s">
        <v>72</v>
      </c>
      <c r="H58" s="230" t="s">
        <v>69</v>
      </c>
      <c r="I58" s="207" t="s">
        <v>69</v>
      </c>
      <c r="J58" s="195" t="s">
        <v>69</v>
      </c>
      <c r="K58" s="168" t="s">
        <v>69</v>
      </c>
      <c r="L58" s="237" t="s">
        <v>108</v>
      </c>
      <c r="M58" s="134" t="s">
        <v>69</v>
      </c>
      <c r="N58" s="121" t="s">
        <v>72</v>
      </c>
      <c r="O58" s="121" t="s">
        <v>72</v>
      </c>
      <c r="P58" s="121" t="s">
        <v>72</v>
      </c>
      <c r="Q58" s="121" t="s">
        <v>76</v>
      </c>
      <c r="R58" s="121" t="s">
        <v>76</v>
      </c>
      <c r="S58" s="174" t="s">
        <v>108</v>
      </c>
      <c r="T58" s="121" t="s">
        <v>76</v>
      </c>
      <c r="U58" s="121" t="s">
        <v>76</v>
      </c>
      <c r="V58" s="121" t="s">
        <v>76</v>
      </c>
      <c r="W58" s="121" t="s">
        <v>76</v>
      </c>
      <c r="X58" s="121" t="s">
        <v>76</v>
      </c>
      <c r="Y58" s="121" t="s">
        <v>76</v>
      </c>
      <c r="Z58" s="174" t="s">
        <v>108</v>
      </c>
      <c r="AA58" s="121" t="s">
        <v>76</v>
      </c>
      <c r="AB58" s="121" t="s">
        <v>76</v>
      </c>
      <c r="AC58" s="121" t="s">
        <v>76</v>
      </c>
      <c r="AD58" s="121" t="s">
        <v>76</v>
      </c>
      <c r="AE58" s="121" t="s">
        <v>76</v>
      </c>
      <c r="AF58" s="121" t="s">
        <v>76</v>
      </c>
      <c r="AG58" s="174" t="s">
        <v>108</v>
      </c>
      <c r="AH58" s="121" t="s">
        <v>76</v>
      </c>
      <c r="AI58" s="121" t="s">
        <v>76</v>
      </c>
      <c r="AJ58" s="153" t="s">
        <v>76</v>
      </c>
      <c r="AK58" s="121" t="s">
        <v>76</v>
      </c>
    </row>
    <row r="59" spans="1:38" ht="18">
      <c r="A59" s="5">
        <v>58</v>
      </c>
      <c r="B59" s="196" t="s">
        <v>57</v>
      </c>
      <c r="C59" s="169">
        <v>6.5</v>
      </c>
      <c r="D59" s="169"/>
      <c r="E59" s="260">
        <v>1</v>
      </c>
      <c r="F59" s="259">
        <f t="shared" ref="F59:F63" si="6">C59-E59</f>
        <v>5.5</v>
      </c>
      <c r="G59" s="231" t="s">
        <v>165</v>
      </c>
      <c r="H59" s="228" t="s">
        <v>166</v>
      </c>
      <c r="I59" s="144" t="s">
        <v>72</v>
      </c>
      <c r="J59" s="215" t="s">
        <v>94</v>
      </c>
      <c r="K59" s="132" t="s">
        <v>94</v>
      </c>
      <c r="L59" s="238" t="s">
        <v>108</v>
      </c>
      <c r="M59" s="134" t="s">
        <v>157</v>
      </c>
      <c r="N59" s="134" t="s">
        <v>69</v>
      </c>
      <c r="O59" s="132" t="s">
        <v>94</v>
      </c>
      <c r="P59" s="134" t="s">
        <v>69</v>
      </c>
      <c r="Q59" s="134" t="s">
        <v>69</v>
      </c>
      <c r="R59" s="134" t="s">
        <v>69</v>
      </c>
      <c r="S59" s="194" t="s">
        <v>108</v>
      </c>
      <c r="T59" s="131" t="s">
        <v>72</v>
      </c>
      <c r="U59" s="131" t="s">
        <v>72</v>
      </c>
      <c r="V59" s="168" t="s">
        <v>69</v>
      </c>
      <c r="W59" s="168" t="s">
        <v>69</v>
      </c>
      <c r="X59" s="168" t="s">
        <v>69</v>
      </c>
      <c r="Y59" s="168" t="s">
        <v>69</v>
      </c>
      <c r="Z59" s="194" t="s">
        <v>108</v>
      </c>
      <c r="AA59" s="134" t="s">
        <v>157</v>
      </c>
      <c r="AB59" s="174" t="s">
        <v>92</v>
      </c>
      <c r="AC59" s="168" t="s">
        <v>69</v>
      </c>
      <c r="AD59" s="147" t="s">
        <v>92</v>
      </c>
      <c r="AE59" s="168" t="s">
        <v>69</v>
      </c>
      <c r="AF59" s="168" t="s">
        <v>69</v>
      </c>
      <c r="AG59" s="194" t="s">
        <v>108</v>
      </c>
      <c r="AH59" s="121" t="s">
        <v>72</v>
      </c>
      <c r="AI59" s="121" t="s">
        <v>72</v>
      </c>
      <c r="AJ59" s="169" t="s">
        <v>69</v>
      </c>
      <c r="AK59" s="169" t="s">
        <v>69</v>
      </c>
    </row>
    <row r="60" spans="1:38" ht="18">
      <c r="A60" s="5">
        <v>59</v>
      </c>
      <c r="B60" s="196" t="s">
        <v>147</v>
      </c>
      <c r="C60" s="168">
        <v>1.5</v>
      </c>
      <c r="D60" s="168"/>
      <c r="E60" s="261">
        <v>1</v>
      </c>
      <c r="F60" s="259">
        <f t="shared" si="6"/>
        <v>0.5</v>
      </c>
      <c r="G60" s="232" t="s">
        <v>167</v>
      </c>
      <c r="H60" s="134" t="s">
        <v>69</v>
      </c>
      <c r="I60" s="230" t="s">
        <v>69</v>
      </c>
      <c r="J60" s="229" t="s">
        <v>69</v>
      </c>
      <c r="K60" s="168" t="s">
        <v>69</v>
      </c>
      <c r="L60" s="237" t="s">
        <v>108</v>
      </c>
      <c r="M60" s="120" t="s">
        <v>69</v>
      </c>
      <c r="N60" s="120" t="s">
        <v>69</v>
      </c>
      <c r="O60" s="672" t="s">
        <v>69</v>
      </c>
      <c r="P60" s="672" t="s">
        <v>69</v>
      </c>
      <c r="Q60" s="672" t="s">
        <v>69</v>
      </c>
      <c r="R60" s="672" t="s">
        <v>69</v>
      </c>
      <c r="S60" s="174" t="s">
        <v>108</v>
      </c>
      <c r="T60" s="132" t="s">
        <v>94</v>
      </c>
      <c r="U60" s="134" t="s">
        <v>69</v>
      </c>
      <c r="V60" s="134" t="s">
        <v>69</v>
      </c>
      <c r="W60" s="134" t="s">
        <v>69</v>
      </c>
      <c r="X60" s="134" t="s">
        <v>69</v>
      </c>
      <c r="Y60" s="134" t="s">
        <v>69</v>
      </c>
      <c r="Z60" s="174" t="s">
        <v>108</v>
      </c>
      <c r="AA60" s="134" t="s">
        <v>69</v>
      </c>
      <c r="AB60" s="134" t="s">
        <v>69</v>
      </c>
      <c r="AC60" s="134" t="s">
        <v>69</v>
      </c>
      <c r="AD60" s="134" t="s">
        <v>69</v>
      </c>
      <c r="AE60" s="134" t="s">
        <v>69</v>
      </c>
      <c r="AF60" s="134" t="s">
        <v>69</v>
      </c>
      <c r="AG60" s="174" t="s">
        <v>108</v>
      </c>
      <c r="AH60" s="168" t="s">
        <v>69</v>
      </c>
      <c r="AI60" s="153" t="s">
        <v>72</v>
      </c>
      <c r="AJ60" s="169" t="s">
        <v>69</v>
      </c>
      <c r="AK60" s="120" t="s">
        <v>69</v>
      </c>
    </row>
    <row r="61" spans="1:38" ht="18">
      <c r="A61" s="5">
        <v>60</v>
      </c>
      <c r="B61" s="196" t="s">
        <v>80</v>
      </c>
      <c r="C61" s="168">
        <v>2</v>
      </c>
      <c r="D61" s="168"/>
      <c r="E61" s="261">
        <v>1.5</v>
      </c>
      <c r="F61" s="259">
        <f t="shared" si="6"/>
        <v>0.5</v>
      </c>
      <c r="G61" s="212" t="s">
        <v>69</v>
      </c>
      <c r="H61" s="134" t="s">
        <v>69</v>
      </c>
      <c r="I61" s="207" t="s">
        <v>69</v>
      </c>
      <c r="J61" s="169" t="s">
        <v>69</v>
      </c>
      <c r="K61" s="168" t="s">
        <v>69</v>
      </c>
      <c r="L61" s="238" t="s">
        <v>108</v>
      </c>
      <c r="M61" s="168" t="s">
        <v>69</v>
      </c>
      <c r="N61" s="168" t="s">
        <v>69</v>
      </c>
      <c r="O61" s="168" t="s">
        <v>69</v>
      </c>
      <c r="P61" s="168" t="s">
        <v>69</v>
      </c>
      <c r="Q61" s="168" t="s">
        <v>69</v>
      </c>
      <c r="R61" s="132" t="s">
        <v>94</v>
      </c>
      <c r="S61" s="194" t="s">
        <v>108</v>
      </c>
      <c r="T61" s="168" t="s">
        <v>69</v>
      </c>
      <c r="U61" s="168" t="s">
        <v>69</v>
      </c>
      <c r="V61" s="168" t="s">
        <v>69</v>
      </c>
      <c r="W61" s="132" t="s">
        <v>94</v>
      </c>
      <c r="X61" s="168" t="s">
        <v>69</v>
      </c>
      <c r="Y61" s="168" t="s">
        <v>69</v>
      </c>
      <c r="Z61" s="194" t="s">
        <v>108</v>
      </c>
      <c r="AA61" s="168" t="s">
        <v>69</v>
      </c>
      <c r="AB61" s="168" t="s">
        <v>69</v>
      </c>
      <c r="AC61" s="168" t="s">
        <v>69</v>
      </c>
      <c r="AD61" s="168" t="s">
        <v>69</v>
      </c>
      <c r="AE61" s="121" t="s">
        <v>72</v>
      </c>
      <c r="AF61" s="134" t="s">
        <v>69</v>
      </c>
      <c r="AG61" s="194" t="s">
        <v>108</v>
      </c>
      <c r="AH61" s="168" t="s">
        <v>69</v>
      </c>
      <c r="AI61" s="168" t="s">
        <v>69</v>
      </c>
      <c r="AJ61" s="169" t="s">
        <v>69</v>
      </c>
      <c r="AK61" s="120" t="s">
        <v>69</v>
      </c>
    </row>
    <row r="62" spans="1:38" ht="18">
      <c r="A62" s="5">
        <v>61</v>
      </c>
      <c r="B62" s="196" t="s">
        <v>58</v>
      </c>
      <c r="C62" s="169">
        <v>14</v>
      </c>
      <c r="D62" s="169"/>
      <c r="E62" s="260">
        <v>10</v>
      </c>
      <c r="F62" s="259">
        <f t="shared" si="6"/>
        <v>4</v>
      </c>
      <c r="G62" s="226" t="s">
        <v>69</v>
      </c>
      <c r="H62" s="197" t="s">
        <v>72</v>
      </c>
      <c r="I62" s="233" t="s">
        <v>72</v>
      </c>
      <c r="J62" s="223" t="s">
        <v>92</v>
      </c>
      <c r="K62" s="200" t="s">
        <v>168</v>
      </c>
      <c r="L62" s="174" t="s">
        <v>108</v>
      </c>
      <c r="M62" s="168" t="s">
        <v>69</v>
      </c>
      <c r="N62" s="168" t="s">
        <v>69</v>
      </c>
      <c r="O62" s="121" t="s">
        <v>72</v>
      </c>
      <c r="P62" s="121" t="s">
        <v>72</v>
      </c>
      <c r="Q62" s="132" t="s">
        <v>94</v>
      </c>
      <c r="R62" s="121" t="s">
        <v>72</v>
      </c>
      <c r="S62" s="174" t="s">
        <v>108</v>
      </c>
      <c r="T62" s="121" t="s">
        <v>72</v>
      </c>
      <c r="U62" s="134" t="s">
        <v>69</v>
      </c>
      <c r="V62" s="121" t="s">
        <v>72</v>
      </c>
      <c r="W62" s="121" t="s">
        <v>72</v>
      </c>
      <c r="X62" s="121" t="s">
        <v>72</v>
      </c>
      <c r="Y62" s="121" t="s">
        <v>72</v>
      </c>
      <c r="Z62" s="174" t="s">
        <v>108</v>
      </c>
      <c r="AA62" s="121" t="s">
        <v>72</v>
      </c>
      <c r="AB62" s="134" t="s">
        <v>69</v>
      </c>
      <c r="AC62" s="132" t="s">
        <v>94</v>
      </c>
      <c r="AD62" s="121" t="s">
        <v>72</v>
      </c>
      <c r="AE62" s="121" t="s">
        <v>72</v>
      </c>
      <c r="AF62" s="134" t="s">
        <v>169</v>
      </c>
      <c r="AG62" s="174" t="s">
        <v>108</v>
      </c>
      <c r="AH62" s="240" t="s">
        <v>157</v>
      </c>
      <c r="AI62" s="239" t="s">
        <v>69</v>
      </c>
      <c r="AJ62" s="239" t="s">
        <v>69</v>
      </c>
      <c r="AK62" s="147" t="s">
        <v>92</v>
      </c>
    </row>
    <row r="63" spans="1:38" ht="18">
      <c r="A63" s="5">
        <v>62</v>
      </c>
      <c r="B63" s="70" t="s">
        <v>60</v>
      </c>
      <c r="C63" s="169">
        <v>6</v>
      </c>
      <c r="D63" s="169"/>
      <c r="E63" s="260">
        <v>1</v>
      </c>
      <c r="F63" s="259">
        <f t="shared" si="6"/>
        <v>5</v>
      </c>
      <c r="G63" s="226" t="s">
        <v>69</v>
      </c>
      <c r="H63" s="205" t="s">
        <v>69</v>
      </c>
      <c r="I63" s="214" t="s">
        <v>72</v>
      </c>
      <c r="J63" s="222" t="s">
        <v>72</v>
      </c>
      <c r="K63" s="168" t="s">
        <v>69</v>
      </c>
      <c r="L63" s="175" t="s">
        <v>108</v>
      </c>
      <c r="M63" s="134" t="s">
        <v>69</v>
      </c>
      <c r="N63" s="134" t="s">
        <v>69</v>
      </c>
      <c r="O63" s="134" t="s">
        <v>69</v>
      </c>
      <c r="P63" s="134" t="s">
        <v>69</v>
      </c>
      <c r="Q63" s="134" t="s">
        <v>69</v>
      </c>
      <c r="R63" s="134" t="s">
        <v>69</v>
      </c>
      <c r="S63" s="194" t="s">
        <v>108</v>
      </c>
      <c r="T63" s="168" t="s">
        <v>69</v>
      </c>
      <c r="U63" s="121" t="s">
        <v>72</v>
      </c>
      <c r="V63" s="168" t="s">
        <v>69</v>
      </c>
      <c r="W63" s="168" t="s">
        <v>69</v>
      </c>
      <c r="X63" s="168" t="s">
        <v>69</v>
      </c>
      <c r="Y63" s="168" t="s">
        <v>69</v>
      </c>
      <c r="Z63" s="194" t="s">
        <v>108</v>
      </c>
      <c r="AA63" s="121" t="s">
        <v>72</v>
      </c>
      <c r="AB63" s="134" t="s">
        <v>69</v>
      </c>
      <c r="AC63" s="134" t="s">
        <v>69</v>
      </c>
      <c r="AD63" s="134" t="s">
        <v>69</v>
      </c>
      <c r="AE63" s="134" t="s">
        <v>69</v>
      </c>
      <c r="AF63" s="121" t="s">
        <v>72</v>
      </c>
      <c r="AG63" s="194" t="s">
        <v>108</v>
      </c>
      <c r="AH63" s="121" t="s">
        <v>72</v>
      </c>
      <c r="AI63" s="239" t="s">
        <v>69</v>
      </c>
      <c r="AJ63" s="239" t="s">
        <v>69</v>
      </c>
      <c r="AK63" s="134" t="s">
        <v>69</v>
      </c>
    </row>
    <row r="64" spans="1:38" ht="18">
      <c r="A64" s="5">
        <v>63</v>
      </c>
      <c r="B64" s="69" t="s">
        <v>170</v>
      </c>
      <c r="C64" s="169"/>
      <c r="D64" s="169"/>
      <c r="E64" s="255"/>
      <c r="F64" s="255"/>
      <c r="G64" s="213" t="s">
        <v>72</v>
      </c>
      <c r="H64" s="197" t="s">
        <v>72</v>
      </c>
      <c r="I64" s="233" t="s">
        <v>72</v>
      </c>
      <c r="J64" s="197" t="s">
        <v>72</v>
      </c>
      <c r="K64" s="197" t="s">
        <v>72</v>
      </c>
      <c r="L64" s="174" t="s">
        <v>108</v>
      </c>
      <c r="M64" s="131" t="s">
        <v>72</v>
      </c>
      <c r="N64" s="131" t="s">
        <v>72</v>
      </c>
      <c r="O64" s="131" t="s">
        <v>72</v>
      </c>
      <c r="P64" s="134" t="s">
        <v>69</v>
      </c>
      <c r="Q64" s="134" t="s">
        <v>69</v>
      </c>
      <c r="R64" s="132" t="s">
        <v>94</v>
      </c>
      <c r="S64" s="174" t="s">
        <v>108</v>
      </c>
      <c r="T64" s="121" t="s">
        <v>72</v>
      </c>
      <c r="U64" s="121" t="s">
        <v>72</v>
      </c>
      <c r="V64" s="131" t="s">
        <v>76</v>
      </c>
      <c r="W64" s="121" t="s">
        <v>76</v>
      </c>
      <c r="X64" s="121" t="s">
        <v>76</v>
      </c>
      <c r="Y64" s="121" t="s">
        <v>76</v>
      </c>
      <c r="Z64" s="174" t="s">
        <v>108</v>
      </c>
      <c r="AA64" s="131" t="s">
        <v>76</v>
      </c>
      <c r="AB64" s="131" t="s">
        <v>76</v>
      </c>
      <c r="AC64" s="131" t="s">
        <v>76</v>
      </c>
      <c r="AD64" s="131" t="s">
        <v>76</v>
      </c>
      <c r="AE64" s="131" t="s">
        <v>76</v>
      </c>
      <c r="AF64" s="131" t="s">
        <v>76</v>
      </c>
      <c r="AG64" s="174" t="s">
        <v>108</v>
      </c>
      <c r="AH64" s="189" t="s">
        <v>76</v>
      </c>
      <c r="AI64" s="189" t="s">
        <v>76</v>
      </c>
      <c r="AJ64" s="246" t="s">
        <v>76</v>
      </c>
      <c r="AK64" s="189" t="s">
        <v>76</v>
      </c>
    </row>
    <row r="65" spans="1:37" ht="18">
      <c r="A65" s="5">
        <v>64</v>
      </c>
      <c r="B65" s="196" t="s">
        <v>61</v>
      </c>
      <c r="C65" s="169">
        <v>1</v>
      </c>
      <c r="D65" s="169"/>
      <c r="E65" s="260">
        <v>1</v>
      </c>
      <c r="F65" s="259">
        <f t="shared" ref="F65:F68" si="7">C65-E65</f>
        <v>0</v>
      </c>
      <c r="G65" s="205" t="s">
        <v>69</v>
      </c>
      <c r="H65" s="234" t="s">
        <v>69</v>
      </c>
      <c r="I65" s="227" t="s">
        <v>69</v>
      </c>
      <c r="J65" s="227" t="s">
        <v>69</v>
      </c>
      <c r="K65" s="205" t="s">
        <v>69</v>
      </c>
      <c r="L65" s="174" t="s">
        <v>108</v>
      </c>
      <c r="M65" s="168" t="s">
        <v>69</v>
      </c>
      <c r="N65" s="168" t="s">
        <v>69</v>
      </c>
      <c r="O65" s="121" t="s">
        <v>148</v>
      </c>
      <c r="P65" s="131" t="s">
        <v>72</v>
      </c>
      <c r="Q65" s="134" t="s">
        <v>69</v>
      </c>
      <c r="R65" s="134" t="s">
        <v>69</v>
      </c>
      <c r="S65" s="194" t="s">
        <v>108</v>
      </c>
      <c r="T65" s="168" t="s">
        <v>69</v>
      </c>
      <c r="U65" s="168" t="s">
        <v>69</v>
      </c>
      <c r="V65" s="168" t="s">
        <v>69</v>
      </c>
      <c r="W65" s="168" t="s">
        <v>69</v>
      </c>
      <c r="X65" s="168" t="s">
        <v>69</v>
      </c>
      <c r="Y65" s="168" t="s">
        <v>69</v>
      </c>
      <c r="Z65" s="194" t="s">
        <v>108</v>
      </c>
      <c r="AA65" s="168" t="s">
        <v>69</v>
      </c>
      <c r="AB65" s="168" t="s">
        <v>69</v>
      </c>
      <c r="AC65" s="168" t="s">
        <v>69</v>
      </c>
      <c r="AD65" s="168" t="s">
        <v>69</v>
      </c>
      <c r="AE65" s="168" t="s">
        <v>69</v>
      </c>
      <c r="AF65" s="168" t="s">
        <v>69</v>
      </c>
      <c r="AG65" s="194" t="s">
        <v>108</v>
      </c>
      <c r="AH65" s="168" t="s">
        <v>69</v>
      </c>
      <c r="AI65" s="168" t="s">
        <v>69</v>
      </c>
      <c r="AJ65" s="169" t="s">
        <v>69</v>
      </c>
      <c r="AK65" s="168" t="s">
        <v>69</v>
      </c>
    </row>
    <row r="66" spans="1:37" ht="18">
      <c r="A66" s="5">
        <v>65</v>
      </c>
      <c r="B66" s="196" t="s">
        <v>62</v>
      </c>
      <c r="C66" s="169">
        <v>3.5</v>
      </c>
      <c r="D66" s="169"/>
      <c r="E66" s="260">
        <v>3.5</v>
      </c>
      <c r="F66" s="259">
        <f t="shared" si="7"/>
        <v>0</v>
      </c>
      <c r="G66" s="134" t="s">
        <v>69</v>
      </c>
      <c r="H66" s="121" t="s">
        <v>72</v>
      </c>
      <c r="I66" s="205" t="s">
        <v>69</v>
      </c>
      <c r="J66" s="205" t="s">
        <v>69</v>
      </c>
      <c r="K66" s="205" t="s">
        <v>69</v>
      </c>
      <c r="L66" s="175" t="s">
        <v>108</v>
      </c>
      <c r="M66" s="134" t="s">
        <v>69</v>
      </c>
      <c r="N66" s="134" t="s">
        <v>69</v>
      </c>
      <c r="O66" s="134" t="s">
        <v>69</v>
      </c>
      <c r="P66" s="134" t="s">
        <v>69</v>
      </c>
      <c r="Q66" s="121" t="s">
        <v>72</v>
      </c>
      <c r="R66" s="168" t="s">
        <v>69</v>
      </c>
      <c r="S66" s="174" t="s">
        <v>108</v>
      </c>
      <c r="T66" s="168" t="s">
        <v>69</v>
      </c>
      <c r="U66" s="168" t="s">
        <v>69</v>
      </c>
      <c r="V66" s="168" t="s">
        <v>69</v>
      </c>
      <c r="W66" s="168" t="s">
        <v>69</v>
      </c>
      <c r="X66" s="168" t="s">
        <v>69</v>
      </c>
      <c r="Y66" s="168" t="s">
        <v>69</v>
      </c>
      <c r="Z66" s="174" t="s">
        <v>108</v>
      </c>
      <c r="AA66" s="134" t="s">
        <v>69</v>
      </c>
      <c r="AB66" s="134" t="s">
        <v>69</v>
      </c>
      <c r="AC66" s="134" t="s">
        <v>69</v>
      </c>
      <c r="AD66" s="134" t="s">
        <v>69</v>
      </c>
      <c r="AE66" s="134" t="s">
        <v>69</v>
      </c>
      <c r="AF66" s="134" t="s">
        <v>69</v>
      </c>
      <c r="AG66" s="174" t="s">
        <v>108</v>
      </c>
      <c r="AH66" s="168" t="s">
        <v>69</v>
      </c>
      <c r="AI66" s="215" t="s">
        <v>94</v>
      </c>
      <c r="AJ66" s="153" t="s">
        <v>72</v>
      </c>
      <c r="AK66" s="120" t="s">
        <v>69</v>
      </c>
    </row>
    <row r="67" spans="1:37" ht="18">
      <c r="A67" s="5">
        <v>66</v>
      </c>
      <c r="B67" s="196" t="s">
        <v>171</v>
      </c>
      <c r="C67" s="169">
        <v>13</v>
      </c>
      <c r="D67" s="169"/>
      <c r="E67" s="260">
        <v>0</v>
      </c>
      <c r="F67" s="259">
        <f t="shared" si="7"/>
        <v>13</v>
      </c>
      <c r="G67" s="197" t="s">
        <v>72</v>
      </c>
      <c r="H67" s="121" t="s">
        <v>72</v>
      </c>
      <c r="I67" s="197" t="s">
        <v>72</v>
      </c>
      <c r="J67" s="121" t="s">
        <v>72</v>
      </c>
      <c r="K67" s="197" t="s">
        <v>72</v>
      </c>
      <c r="L67" s="174" t="s">
        <v>108</v>
      </c>
      <c r="M67" s="121" t="s">
        <v>72</v>
      </c>
      <c r="N67" s="121" t="s">
        <v>72</v>
      </c>
      <c r="O67" s="121" t="s">
        <v>72</v>
      </c>
      <c r="P67" s="121" t="s">
        <v>72</v>
      </c>
      <c r="Q67" s="121" t="s">
        <v>72</v>
      </c>
      <c r="R67" s="121" t="s">
        <v>72</v>
      </c>
      <c r="S67" s="194" t="s">
        <v>108</v>
      </c>
      <c r="T67" s="168" t="s">
        <v>69</v>
      </c>
      <c r="U67" s="168" t="s">
        <v>69</v>
      </c>
      <c r="V67" s="168" t="s">
        <v>69</v>
      </c>
      <c r="W67" s="168" t="s">
        <v>69</v>
      </c>
      <c r="X67" s="168" t="s">
        <v>69</v>
      </c>
      <c r="Y67" s="168" t="s">
        <v>69</v>
      </c>
      <c r="Z67" s="194" t="s">
        <v>108</v>
      </c>
      <c r="AA67" s="168" t="s">
        <v>69</v>
      </c>
      <c r="AB67" s="168" t="s">
        <v>69</v>
      </c>
      <c r="AC67" s="168" t="s">
        <v>69</v>
      </c>
      <c r="AD67" s="168" t="s">
        <v>69</v>
      </c>
      <c r="AE67" s="168" t="s">
        <v>69</v>
      </c>
      <c r="AF67" s="168" t="s">
        <v>69</v>
      </c>
      <c r="AG67" s="194" t="s">
        <v>108</v>
      </c>
      <c r="AH67" s="170" t="s">
        <v>69</v>
      </c>
      <c r="AI67" s="170" t="s">
        <v>69</v>
      </c>
      <c r="AJ67" s="245" t="s">
        <v>69</v>
      </c>
      <c r="AK67" s="170" t="s">
        <v>69</v>
      </c>
    </row>
    <row r="68" spans="1:37" ht="18">
      <c r="A68" s="5"/>
      <c r="B68" s="196"/>
      <c r="C68" s="196"/>
      <c r="D68" s="196"/>
      <c r="E68" s="261"/>
      <c r="F68" s="259">
        <f t="shared" si="7"/>
        <v>0</v>
      </c>
      <c r="G68" s="203"/>
      <c r="H68" s="206"/>
      <c r="I68" s="168"/>
      <c r="J68" s="168"/>
      <c r="K68" s="168"/>
      <c r="L68" s="168"/>
      <c r="M68" s="168"/>
      <c r="N68" s="174"/>
      <c r="O68" s="168"/>
      <c r="P68" s="121"/>
      <c r="Q68" s="134"/>
      <c r="R68" s="134"/>
      <c r="S68" s="134"/>
      <c r="T68" s="134"/>
      <c r="U68" s="175"/>
      <c r="V68" s="168"/>
      <c r="W68" s="168"/>
      <c r="X68" s="168"/>
      <c r="Y68" s="168"/>
      <c r="Z68" s="168"/>
      <c r="AA68" s="168"/>
      <c r="AB68" s="174"/>
      <c r="AC68" s="168"/>
      <c r="AD68" s="168"/>
      <c r="AE68" s="168"/>
      <c r="AF68" s="168"/>
      <c r="AG68" s="168"/>
      <c r="AH68" s="168"/>
      <c r="AI68" s="177"/>
      <c r="AJ68" s="169"/>
      <c r="AK68" s="7"/>
    </row>
    <row r="69" spans="1:37" ht="18">
      <c r="A69" s="5"/>
      <c r="B69" s="69"/>
      <c r="C69" s="69"/>
      <c r="D69" s="69"/>
      <c r="E69" s="69"/>
      <c r="F69" s="69"/>
      <c r="G69" s="193"/>
      <c r="H69" s="121"/>
      <c r="I69" s="121"/>
      <c r="J69" s="121"/>
      <c r="K69" s="121"/>
      <c r="L69" s="121"/>
      <c r="M69" s="121"/>
      <c r="N69" s="175"/>
      <c r="O69" s="121"/>
      <c r="P69" s="121"/>
      <c r="Q69" s="121"/>
      <c r="R69" s="121"/>
      <c r="S69" s="121"/>
      <c r="T69" s="121"/>
      <c r="U69" s="175"/>
      <c r="V69" s="121"/>
      <c r="W69" s="121"/>
      <c r="X69" s="121"/>
      <c r="Y69" s="121"/>
      <c r="Z69" s="121"/>
      <c r="AA69" s="121"/>
      <c r="AB69" s="175"/>
      <c r="AC69" s="121"/>
      <c r="AD69" s="121"/>
      <c r="AE69" s="131"/>
      <c r="AF69" s="131"/>
      <c r="AG69" s="131"/>
      <c r="AH69" s="131"/>
      <c r="AI69" s="177"/>
      <c r="AJ69" s="153"/>
      <c r="AK69" s="7"/>
    </row>
    <row r="70" spans="1:37" ht="18">
      <c r="A70" s="5"/>
      <c r="B70" s="133"/>
      <c r="C70" s="133"/>
      <c r="D70" s="133"/>
      <c r="E70" s="133"/>
      <c r="F70" s="133"/>
      <c r="G70" s="194"/>
      <c r="H70" s="131"/>
      <c r="I70" s="131"/>
      <c r="J70" s="131"/>
      <c r="K70" s="131"/>
      <c r="L70" s="131"/>
      <c r="M70" s="131"/>
      <c r="N70" s="175"/>
      <c r="O70" s="131"/>
      <c r="P70" s="131"/>
      <c r="Q70" s="131"/>
      <c r="R70" s="131"/>
      <c r="S70" s="131"/>
      <c r="T70" s="131"/>
      <c r="U70" s="175"/>
      <c r="V70" s="168"/>
      <c r="W70" s="168"/>
      <c r="X70" s="168"/>
      <c r="Y70" s="168"/>
      <c r="Z70" s="168"/>
      <c r="AA70" s="168"/>
      <c r="AB70" s="175"/>
      <c r="AC70" s="132"/>
      <c r="AD70" s="121"/>
      <c r="AE70" s="121"/>
      <c r="AF70" s="121"/>
      <c r="AG70" s="121"/>
      <c r="AH70" s="121"/>
      <c r="AI70" s="177"/>
      <c r="AJ70" s="153"/>
      <c r="AK70" s="7"/>
    </row>
  </sheetData>
  <autoFilter ref="B1:B70" xr:uid="{AFA65719-F89A-44CB-A5A0-906FCA71DE94}"/>
  <sortState xmlns:xlrd2="http://schemas.microsoft.com/office/spreadsheetml/2017/richdata2" ref="A2:AJ67">
    <sortCondition ref="B2:B67"/>
  </sortState>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D8802-18D1-43A4-857C-308C84456071}">
  <dimension ref="A1:AJ82"/>
  <sheetViews>
    <sheetView workbookViewId="0">
      <pane ySplit="1" topLeftCell="A30" activePane="bottomLeft" state="frozen"/>
      <selection pane="bottomLeft" activeCell="D34" sqref="D34"/>
    </sheetView>
  </sheetViews>
  <sheetFormatPr defaultRowHeight="21"/>
  <cols>
    <col min="2" max="2" width="23.73046875" customWidth="1"/>
    <col min="3" max="3" width="11.265625" customWidth="1"/>
    <col min="4" max="4" width="8.73046875" style="308" customWidth="1"/>
    <col min="5" max="5" width="9.1328125" style="314"/>
  </cols>
  <sheetData>
    <row r="1" spans="1:36" ht="42">
      <c r="A1" s="29" t="s">
        <v>64</v>
      </c>
      <c r="B1" s="29" t="s">
        <v>65</v>
      </c>
      <c r="C1" s="292" t="s">
        <v>172</v>
      </c>
      <c r="D1" s="297" t="s">
        <v>173</v>
      </c>
      <c r="E1" s="311" t="s">
        <v>174</v>
      </c>
      <c r="F1" s="165">
        <v>1</v>
      </c>
      <c r="G1" s="165">
        <v>2</v>
      </c>
      <c r="H1" s="165">
        <v>3</v>
      </c>
      <c r="I1" s="165">
        <v>4</v>
      </c>
      <c r="J1" s="165">
        <v>5</v>
      </c>
      <c r="K1" s="165">
        <v>6</v>
      </c>
      <c r="L1" s="165">
        <v>7</v>
      </c>
      <c r="M1" s="122">
        <v>8</v>
      </c>
      <c r="N1" s="165">
        <v>9</v>
      </c>
      <c r="O1" s="165">
        <v>10</v>
      </c>
      <c r="P1" s="165">
        <v>11</v>
      </c>
      <c r="Q1" s="165">
        <v>12</v>
      </c>
      <c r="R1" s="165">
        <v>13</v>
      </c>
      <c r="S1" s="165">
        <v>14</v>
      </c>
      <c r="T1" s="165">
        <v>15</v>
      </c>
      <c r="U1" s="165">
        <v>16</v>
      </c>
      <c r="V1" s="165">
        <v>17</v>
      </c>
      <c r="W1" s="165">
        <v>18</v>
      </c>
      <c r="X1" s="165">
        <v>19</v>
      </c>
      <c r="Y1" s="165">
        <v>20</v>
      </c>
      <c r="Z1" s="165">
        <v>21</v>
      </c>
      <c r="AA1" s="165">
        <v>22</v>
      </c>
      <c r="AB1" s="165">
        <v>23</v>
      </c>
      <c r="AC1" s="165">
        <v>24</v>
      </c>
      <c r="AD1" s="165">
        <v>25</v>
      </c>
      <c r="AE1" s="165">
        <v>26</v>
      </c>
      <c r="AF1" s="165">
        <v>27</v>
      </c>
      <c r="AG1" s="165">
        <v>28</v>
      </c>
      <c r="AH1" s="166">
        <v>29</v>
      </c>
      <c r="AI1" s="243">
        <v>30</v>
      </c>
      <c r="AJ1" s="167">
        <v>31</v>
      </c>
    </row>
    <row r="2" spans="1:36">
      <c r="A2" s="5">
        <v>1</v>
      </c>
      <c r="B2" s="196" t="s">
        <v>6</v>
      </c>
      <c r="C2" s="186">
        <v>1</v>
      </c>
      <c r="D2" s="298">
        <v>1</v>
      </c>
      <c r="E2" s="312">
        <f>C2-D2</f>
        <v>0</v>
      </c>
      <c r="F2" s="205" t="s">
        <v>69</v>
      </c>
      <c r="G2" s="205" t="s">
        <v>69</v>
      </c>
      <c r="H2" s="175" t="s">
        <v>108</v>
      </c>
      <c r="I2" s="205" t="s">
        <v>69</v>
      </c>
      <c r="J2" s="205" t="s">
        <v>69</v>
      </c>
      <c r="K2" s="205" t="s">
        <v>69</v>
      </c>
      <c r="L2" s="205" t="s">
        <v>69</v>
      </c>
      <c r="M2" s="205" t="s">
        <v>69</v>
      </c>
      <c r="N2" s="275" t="s">
        <v>111</v>
      </c>
      <c r="O2" s="175" t="s">
        <v>108</v>
      </c>
      <c r="P2" s="168" t="s">
        <v>69</v>
      </c>
      <c r="Q2" s="168" t="s">
        <v>69</v>
      </c>
      <c r="R2" s="168" t="s">
        <v>69</v>
      </c>
      <c r="S2" s="168" t="s">
        <v>69</v>
      </c>
      <c r="T2" s="276" t="s">
        <v>111</v>
      </c>
      <c r="U2" s="134" t="s">
        <v>69</v>
      </c>
      <c r="V2" s="175" t="s">
        <v>108</v>
      </c>
      <c r="W2" s="134" t="s">
        <v>69</v>
      </c>
      <c r="X2" s="121" t="s">
        <v>72</v>
      </c>
      <c r="Y2" s="672" t="s">
        <v>69</v>
      </c>
      <c r="Z2" s="672" t="s">
        <v>69</v>
      </c>
      <c r="AA2" s="672" t="s">
        <v>69</v>
      </c>
      <c r="AB2" s="672" t="s">
        <v>69</v>
      </c>
      <c r="AC2" s="175" t="s">
        <v>108</v>
      </c>
      <c r="AD2" s="134" t="s">
        <v>69</v>
      </c>
      <c r="AE2" s="134" t="s">
        <v>69</v>
      </c>
      <c r="AF2" s="276" t="s">
        <v>175</v>
      </c>
      <c r="AG2" s="168" t="s">
        <v>69</v>
      </c>
      <c r="AH2" s="168" t="s">
        <v>69</v>
      </c>
      <c r="AI2" s="168" t="s">
        <v>69</v>
      </c>
      <c r="AJ2" s="175" t="s">
        <v>108</v>
      </c>
    </row>
    <row r="3" spans="1:36">
      <c r="A3" s="5">
        <v>2</v>
      </c>
      <c r="B3" s="196" t="s">
        <v>7</v>
      </c>
      <c r="C3" s="186">
        <v>2.5</v>
      </c>
      <c r="D3" s="298">
        <v>2.5</v>
      </c>
      <c r="E3" s="312">
        <f t="shared" ref="E3:E66" si="0">C3-D3</f>
        <v>0</v>
      </c>
      <c r="F3" s="205" t="s">
        <v>69</v>
      </c>
      <c r="G3" s="205" t="s">
        <v>69</v>
      </c>
      <c r="H3" s="174" t="s">
        <v>108</v>
      </c>
      <c r="I3" s="205" t="s">
        <v>69</v>
      </c>
      <c r="J3" s="205" t="s">
        <v>69</v>
      </c>
      <c r="K3" s="205" t="s">
        <v>69</v>
      </c>
      <c r="L3" s="205" t="s">
        <v>69</v>
      </c>
      <c r="M3" s="132" t="s">
        <v>94</v>
      </c>
      <c r="N3" s="275" t="s">
        <v>111</v>
      </c>
      <c r="O3" s="174" t="s">
        <v>108</v>
      </c>
      <c r="P3" s="168" t="s">
        <v>69</v>
      </c>
      <c r="Q3" s="168" t="s">
        <v>69</v>
      </c>
      <c r="R3" s="168" t="s">
        <v>69</v>
      </c>
      <c r="S3" s="168" t="s">
        <v>69</v>
      </c>
      <c r="T3" s="276" t="s">
        <v>111</v>
      </c>
      <c r="U3" s="121" t="s">
        <v>72</v>
      </c>
      <c r="V3" s="174" t="s">
        <v>108</v>
      </c>
      <c r="W3" s="134" t="s">
        <v>69</v>
      </c>
      <c r="X3" s="134" t="s">
        <v>69</v>
      </c>
      <c r="Y3" s="134" t="s">
        <v>69</v>
      </c>
      <c r="Z3" s="134" t="s">
        <v>69</v>
      </c>
      <c r="AA3" s="121" t="s">
        <v>72</v>
      </c>
      <c r="AB3" s="672" t="s">
        <v>69</v>
      </c>
      <c r="AC3" s="174" t="s">
        <v>108</v>
      </c>
      <c r="AD3" s="134" t="s">
        <v>69</v>
      </c>
      <c r="AE3" s="134" t="s">
        <v>69</v>
      </c>
      <c r="AF3" s="286" t="s">
        <v>175</v>
      </c>
      <c r="AG3" s="168" t="s">
        <v>69</v>
      </c>
      <c r="AH3" s="168" t="s">
        <v>69</v>
      </c>
      <c r="AI3" s="168" t="s">
        <v>69</v>
      </c>
      <c r="AJ3" s="174" t="s">
        <v>108</v>
      </c>
    </row>
    <row r="4" spans="1:36">
      <c r="A4" s="5">
        <v>3</v>
      </c>
      <c r="B4" s="196" t="s">
        <v>8</v>
      </c>
      <c r="C4" s="186">
        <v>1</v>
      </c>
      <c r="D4" s="298">
        <v>1</v>
      </c>
      <c r="E4" s="312">
        <f t="shared" si="0"/>
        <v>0</v>
      </c>
      <c r="F4" s="205" t="s">
        <v>69</v>
      </c>
      <c r="G4" s="205" t="s">
        <v>69</v>
      </c>
      <c r="H4" s="175" t="s">
        <v>108</v>
      </c>
      <c r="I4" s="205" t="s">
        <v>69</v>
      </c>
      <c r="J4" s="205" t="s">
        <v>69</v>
      </c>
      <c r="K4" s="205" t="s">
        <v>69</v>
      </c>
      <c r="L4" s="205" t="s">
        <v>69</v>
      </c>
      <c r="M4" s="205" t="s">
        <v>69</v>
      </c>
      <c r="N4" s="275" t="s">
        <v>111</v>
      </c>
      <c r="O4" s="175" t="s">
        <v>108</v>
      </c>
      <c r="P4" s="168" t="s">
        <v>69</v>
      </c>
      <c r="Q4" s="168" t="s">
        <v>69</v>
      </c>
      <c r="R4" s="168" t="s">
        <v>69</v>
      </c>
      <c r="S4" s="168" t="s">
        <v>69</v>
      </c>
      <c r="T4" s="276" t="s">
        <v>111</v>
      </c>
      <c r="U4" s="276" t="s">
        <v>111</v>
      </c>
      <c r="V4" s="175" t="s">
        <v>108</v>
      </c>
      <c r="W4" s="134" t="s">
        <v>69</v>
      </c>
      <c r="X4" s="134" t="s">
        <v>69</v>
      </c>
      <c r="Y4" s="134" t="s">
        <v>69</v>
      </c>
      <c r="Z4" s="134" t="s">
        <v>69</v>
      </c>
      <c r="AA4" s="134" t="s">
        <v>69</v>
      </c>
      <c r="AB4" s="134" t="s">
        <v>69</v>
      </c>
      <c r="AC4" s="175" t="s">
        <v>108</v>
      </c>
      <c r="AD4" s="121" t="s">
        <v>72</v>
      </c>
      <c r="AE4" s="130" t="s">
        <v>92</v>
      </c>
      <c r="AF4" s="134" t="s">
        <v>69</v>
      </c>
      <c r="AG4" s="134" t="s">
        <v>69</v>
      </c>
      <c r="AH4" s="239" t="s">
        <v>69</v>
      </c>
      <c r="AI4" s="239" t="s">
        <v>69</v>
      </c>
      <c r="AJ4" s="175" t="s">
        <v>108</v>
      </c>
    </row>
    <row r="5" spans="1:36">
      <c r="A5" s="5">
        <v>4</v>
      </c>
      <c r="B5" s="196" t="s">
        <v>11</v>
      </c>
      <c r="C5" s="70">
        <v>7.5</v>
      </c>
      <c r="D5" s="299">
        <v>1.5</v>
      </c>
      <c r="E5" s="312">
        <f t="shared" si="0"/>
        <v>6</v>
      </c>
      <c r="F5" s="205" t="s">
        <v>69</v>
      </c>
      <c r="G5" s="242" t="s">
        <v>94</v>
      </c>
      <c r="H5" s="175" t="s">
        <v>108</v>
      </c>
      <c r="I5" s="242" t="s">
        <v>94</v>
      </c>
      <c r="J5" s="242" t="s">
        <v>94</v>
      </c>
      <c r="K5" s="205" t="s">
        <v>69</v>
      </c>
      <c r="L5" s="121" t="s">
        <v>72</v>
      </c>
      <c r="M5" s="121" t="s">
        <v>72</v>
      </c>
      <c r="N5" s="275" t="s">
        <v>111</v>
      </c>
      <c r="O5" s="175" t="s">
        <v>108</v>
      </c>
      <c r="P5" s="168" t="s">
        <v>69</v>
      </c>
      <c r="Q5" s="147" t="s">
        <v>92</v>
      </c>
      <c r="R5" s="242" t="s">
        <v>94</v>
      </c>
      <c r="S5" s="132" t="s">
        <v>94</v>
      </c>
      <c r="T5" s="276" t="s">
        <v>111</v>
      </c>
      <c r="U5" s="276" t="s">
        <v>111</v>
      </c>
      <c r="V5" s="175" t="s">
        <v>108</v>
      </c>
      <c r="W5" s="134" t="s">
        <v>69</v>
      </c>
      <c r="X5" s="134" t="s">
        <v>69</v>
      </c>
      <c r="Y5" s="242" t="s">
        <v>94</v>
      </c>
      <c r="Z5" s="134" t="s">
        <v>69</v>
      </c>
      <c r="AA5" s="134" t="s">
        <v>69</v>
      </c>
      <c r="AB5" s="134" t="s">
        <v>69</v>
      </c>
      <c r="AC5" s="175" t="s">
        <v>108</v>
      </c>
      <c r="AD5" s="134" t="s">
        <v>69</v>
      </c>
      <c r="AE5" s="132" t="s">
        <v>94</v>
      </c>
      <c r="AF5" s="197" t="s">
        <v>72</v>
      </c>
      <c r="AG5" s="132" t="s">
        <v>94</v>
      </c>
      <c r="AH5" s="134" t="s">
        <v>69</v>
      </c>
      <c r="AI5" s="215" t="s">
        <v>94</v>
      </c>
      <c r="AJ5" s="175" t="s">
        <v>108</v>
      </c>
    </row>
    <row r="6" spans="1:36">
      <c r="A6" s="5">
        <v>5</v>
      </c>
      <c r="B6" s="196" t="s">
        <v>137</v>
      </c>
      <c r="C6" s="70">
        <v>1.5</v>
      </c>
      <c r="D6" s="299">
        <v>1.5</v>
      </c>
      <c r="E6" s="312">
        <f t="shared" si="0"/>
        <v>0</v>
      </c>
      <c r="F6" s="205" t="s">
        <v>69</v>
      </c>
      <c r="G6" s="205" t="s">
        <v>69</v>
      </c>
      <c r="H6" s="174" t="s">
        <v>108</v>
      </c>
      <c r="I6" s="134" t="s">
        <v>69</v>
      </c>
      <c r="J6" s="134" t="s">
        <v>69</v>
      </c>
      <c r="K6" s="134" t="s">
        <v>69</v>
      </c>
      <c r="L6" s="134" t="s">
        <v>69</v>
      </c>
      <c r="M6" s="134" t="s">
        <v>69</v>
      </c>
      <c r="N6" s="275" t="s">
        <v>111</v>
      </c>
      <c r="O6" s="174" t="s">
        <v>108</v>
      </c>
      <c r="P6" s="168" t="s">
        <v>69</v>
      </c>
      <c r="Q6" s="168" t="s">
        <v>69</v>
      </c>
      <c r="R6" s="168" t="s">
        <v>69</v>
      </c>
      <c r="S6" s="147" t="s">
        <v>92</v>
      </c>
      <c r="T6" s="276" t="s">
        <v>111</v>
      </c>
      <c r="U6" s="276" t="s">
        <v>111</v>
      </c>
      <c r="V6" s="174" t="s">
        <v>108</v>
      </c>
      <c r="W6" s="134" t="s">
        <v>69</v>
      </c>
      <c r="X6" s="134" t="s">
        <v>69</v>
      </c>
      <c r="Y6" s="194" t="s">
        <v>92</v>
      </c>
      <c r="Z6" s="132" t="s">
        <v>94</v>
      </c>
      <c r="AA6" s="134" t="s">
        <v>69</v>
      </c>
      <c r="AB6" s="134" t="s">
        <v>69</v>
      </c>
      <c r="AC6" s="174" t="s">
        <v>108</v>
      </c>
      <c r="AD6" s="134" t="s">
        <v>69</v>
      </c>
      <c r="AE6" s="134" t="s">
        <v>69</v>
      </c>
      <c r="AF6" s="134" t="s">
        <v>69</v>
      </c>
      <c r="AG6" s="134" t="s">
        <v>176</v>
      </c>
      <c r="AH6" s="134" t="s">
        <v>176</v>
      </c>
      <c r="AI6" s="239" t="s">
        <v>69</v>
      </c>
      <c r="AJ6" s="174" t="s">
        <v>108</v>
      </c>
    </row>
    <row r="7" spans="1:36">
      <c r="A7" s="5">
        <v>6</v>
      </c>
      <c r="B7" s="196" t="s">
        <v>95</v>
      </c>
      <c r="C7" s="70">
        <v>0</v>
      </c>
      <c r="D7" s="299">
        <v>0</v>
      </c>
      <c r="E7" s="312">
        <f t="shared" si="0"/>
        <v>0</v>
      </c>
      <c r="F7" s="205" t="s">
        <v>69</v>
      </c>
      <c r="G7" s="205" t="s">
        <v>69</v>
      </c>
      <c r="H7" s="175" t="s">
        <v>108</v>
      </c>
      <c r="I7" s="134" t="s">
        <v>69</v>
      </c>
      <c r="J7" s="134" t="s">
        <v>69</v>
      </c>
      <c r="K7" s="134" t="s">
        <v>69</v>
      </c>
      <c r="L7" s="134" t="s">
        <v>69</v>
      </c>
      <c r="M7" s="134" t="s">
        <v>69</v>
      </c>
      <c r="N7" s="275" t="s">
        <v>111</v>
      </c>
      <c r="O7" s="175" t="s">
        <v>108</v>
      </c>
      <c r="P7" s="168" t="s">
        <v>69</v>
      </c>
      <c r="Q7" s="168" t="s">
        <v>69</v>
      </c>
      <c r="R7" s="168" t="s">
        <v>69</v>
      </c>
      <c r="S7" s="168" t="s">
        <v>69</v>
      </c>
      <c r="T7" s="276" t="s">
        <v>111</v>
      </c>
      <c r="U7" s="168" t="s">
        <v>69</v>
      </c>
      <c r="V7" s="175" t="s">
        <v>108</v>
      </c>
      <c r="W7" s="134" t="s">
        <v>69</v>
      </c>
      <c r="X7" s="134" t="s">
        <v>69</v>
      </c>
      <c r="Y7" s="134" t="s">
        <v>69</v>
      </c>
      <c r="Z7" s="134" t="s">
        <v>69</v>
      </c>
      <c r="AA7" s="134" t="s">
        <v>69</v>
      </c>
      <c r="AB7" s="134" t="s">
        <v>69</v>
      </c>
      <c r="AC7" s="175" t="s">
        <v>108</v>
      </c>
      <c r="AD7" s="168" t="s">
        <v>69</v>
      </c>
      <c r="AE7" s="168" t="s">
        <v>69</v>
      </c>
      <c r="AF7" s="276" t="s">
        <v>175</v>
      </c>
      <c r="AG7" s="134" t="s">
        <v>69</v>
      </c>
      <c r="AH7" s="134" t="s">
        <v>69</v>
      </c>
      <c r="AI7" s="134" t="s">
        <v>69</v>
      </c>
      <c r="AJ7" s="175" t="s">
        <v>108</v>
      </c>
    </row>
    <row r="8" spans="1:36">
      <c r="A8" s="5">
        <v>7</v>
      </c>
      <c r="B8" s="196" t="s">
        <v>13</v>
      </c>
      <c r="C8" s="70">
        <v>1</v>
      </c>
      <c r="D8" s="299">
        <v>1</v>
      </c>
      <c r="E8" s="312">
        <f t="shared" si="0"/>
        <v>0</v>
      </c>
      <c r="F8" s="205" t="s">
        <v>69</v>
      </c>
      <c r="G8" s="205" t="s">
        <v>69</v>
      </c>
      <c r="H8" s="175" t="s">
        <v>108</v>
      </c>
      <c r="I8" s="134" t="s">
        <v>121</v>
      </c>
      <c r="J8" s="134" t="s">
        <v>69</v>
      </c>
      <c r="K8" s="134" t="s">
        <v>69</v>
      </c>
      <c r="L8" s="134" t="s">
        <v>69</v>
      </c>
      <c r="M8" s="134" t="s">
        <v>121</v>
      </c>
      <c r="N8" s="275" t="s">
        <v>111</v>
      </c>
      <c r="O8" s="175" t="s">
        <v>108</v>
      </c>
      <c r="P8" s="168" t="s">
        <v>69</v>
      </c>
      <c r="Q8" s="168" t="s">
        <v>69</v>
      </c>
      <c r="R8" s="168" t="s">
        <v>69</v>
      </c>
      <c r="S8" s="168" t="s">
        <v>69</v>
      </c>
      <c r="T8" s="276" t="s">
        <v>111</v>
      </c>
      <c r="U8" s="276" t="s">
        <v>111</v>
      </c>
      <c r="V8" s="175" t="s">
        <v>108</v>
      </c>
      <c r="W8" s="134" t="s">
        <v>69</v>
      </c>
      <c r="X8" s="134" t="s">
        <v>69</v>
      </c>
      <c r="Y8" s="134" t="s">
        <v>69</v>
      </c>
      <c r="Z8" s="130" t="s">
        <v>92</v>
      </c>
      <c r="AA8" s="134" t="s">
        <v>69</v>
      </c>
      <c r="AB8" s="134" t="s">
        <v>69</v>
      </c>
      <c r="AC8" s="175" t="s">
        <v>108</v>
      </c>
      <c r="AD8" s="134" t="s">
        <v>69</v>
      </c>
      <c r="AE8" s="134" t="s">
        <v>69</v>
      </c>
      <c r="AF8" s="134" t="s">
        <v>69</v>
      </c>
      <c r="AG8" s="121" t="s">
        <v>72</v>
      </c>
      <c r="AH8" s="239" t="s">
        <v>69</v>
      </c>
      <c r="AI8" s="239" t="s">
        <v>69</v>
      </c>
      <c r="AJ8" s="175" t="s">
        <v>108</v>
      </c>
    </row>
    <row r="9" spans="1:36">
      <c r="A9" s="5">
        <v>8</v>
      </c>
      <c r="B9" s="196" t="s">
        <v>14</v>
      </c>
      <c r="C9" s="70">
        <v>2</v>
      </c>
      <c r="D9" s="299">
        <v>0</v>
      </c>
      <c r="E9" s="312">
        <f t="shared" si="0"/>
        <v>2</v>
      </c>
      <c r="F9" s="205" t="s">
        <v>69</v>
      </c>
      <c r="G9" s="205" t="s">
        <v>69</v>
      </c>
      <c r="H9" s="175" t="s">
        <v>108</v>
      </c>
      <c r="I9" s="134" t="s">
        <v>69</v>
      </c>
      <c r="J9" s="134" t="s">
        <v>69</v>
      </c>
      <c r="K9" s="134" t="s">
        <v>69</v>
      </c>
      <c r="L9" s="134" t="s">
        <v>69</v>
      </c>
      <c r="M9" s="134" t="s">
        <v>69</v>
      </c>
      <c r="N9" s="275" t="s">
        <v>111</v>
      </c>
      <c r="O9" s="175" t="s">
        <v>108</v>
      </c>
      <c r="P9" s="168" t="s">
        <v>69</v>
      </c>
      <c r="Q9" s="168" t="s">
        <v>69</v>
      </c>
      <c r="R9" s="168" t="s">
        <v>69</v>
      </c>
      <c r="S9" s="168" t="s">
        <v>69</v>
      </c>
      <c r="T9" s="276" t="s">
        <v>111</v>
      </c>
      <c r="U9" s="276" t="s">
        <v>111</v>
      </c>
      <c r="V9" s="175" t="s">
        <v>108</v>
      </c>
      <c r="W9" s="134" t="s">
        <v>69</v>
      </c>
      <c r="X9" s="134" t="s">
        <v>69</v>
      </c>
      <c r="Y9" s="134" t="s">
        <v>69</v>
      </c>
      <c r="Z9" s="134" t="s">
        <v>69</v>
      </c>
      <c r="AA9" s="134" t="s">
        <v>69</v>
      </c>
      <c r="AB9" s="134" t="s">
        <v>69</v>
      </c>
      <c r="AC9" s="175" t="s">
        <v>108</v>
      </c>
      <c r="AD9" s="134" t="s">
        <v>69</v>
      </c>
      <c r="AE9" s="134" t="s">
        <v>69</v>
      </c>
      <c r="AF9" s="134" t="s">
        <v>69</v>
      </c>
      <c r="AG9" s="134" t="s">
        <v>69</v>
      </c>
      <c r="AH9" s="153" t="s">
        <v>72</v>
      </c>
      <c r="AI9" s="153" t="s">
        <v>72</v>
      </c>
      <c r="AJ9" s="175" t="s">
        <v>108</v>
      </c>
    </row>
    <row r="10" spans="1:36">
      <c r="A10" s="5">
        <v>10</v>
      </c>
      <c r="B10" s="196" t="s">
        <v>177</v>
      </c>
      <c r="C10" s="70">
        <v>17</v>
      </c>
      <c r="D10" s="299">
        <v>0</v>
      </c>
      <c r="E10" s="312">
        <f t="shared" si="0"/>
        <v>17</v>
      </c>
      <c r="F10" s="197" t="s">
        <v>72</v>
      </c>
      <c r="G10" s="197" t="s">
        <v>72</v>
      </c>
      <c r="H10" s="174" t="s">
        <v>108</v>
      </c>
      <c r="I10" s="121" t="s">
        <v>72</v>
      </c>
      <c r="J10" s="121" t="s">
        <v>72</v>
      </c>
      <c r="K10" s="121" t="s">
        <v>72</v>
      </c>
      <c r="L10" s="121" t="s">
        <v>72</v>
      </c>
      <c r="M10" s="121" t="s">
        <v>72</v>
      </c>
      <c r="N10" s="121" t="s">
        <v>72</v>
      </c>
      <c r="O10" s="175" t="s">
        <v>108</v>
      </c>
      <c r="P10" s="131" t="s">
        <v>72</v>
      </c>
      <c r="Q10" s="131" t="s">
        <v>72</v>
      </c>
      <c r="R10" s="131" t="s">
        <v>72</v>
      </c>
      <c r="S10" s="131" t="s">
        <v>72</v>
      </c>
      <c r="T10" s="131" t="s">
        <v>72</v>
      </c>
      <c r="U10" s="131" t="s">
        <v>72</v>
      </c>
      <c r="V10" s="175" t="s">
        <v>108</v>
      </c>
      <c r="W10" s="134" t="s">
        <v>69</v>
      </c>
      <c r="X10" s="134" t="s">
        <v>69</v>
      </c>
      <c r="Y10" s="281" t="s">
        <v>92</v>
      </c>
      <c r="Z10" s="134" t="s">
        <v>69</v>
      </c>
      <c r="AA10" s="134" t="s">
        <v>69</v>
      </c>
      <c r="AB10" s="134" t="s">
        <v>69</v>
      </c>
      <c r="AC10" s="175" t="s">
        <v>108</v>
      </c>
      <c r="AD10" s="134" t="s">
        <v>69</v>
      </c>
      <c r="AE10" s="134" t="s">
        <v>69</v>
      </c>
      <c r="AF10" s="134" t="s">
        <v>69</v>
      </c>
      <c r="AG10" s="147" t="s">
        <v>92</v>
      </c>
      <c r="AH10" s="168" t="s">
        <v>69</v>
      </c>
      <c r="AI10" s="168" t="s">
        <v>69</v>
      </c>
      <c r="AJ10" s="175" t="s">
        <v>108</v>
      </c>
    </row>
    <row r="11" spans="1:36">
      <c r="A11" s="5">
        <v>11</v>
      </c>
      <c r="B11" s="196" t="s">
        <v>154</v>
      </c>
      <c r="C11" s="70">
        <v>2.5</v>
      </c>
      <c r="D11" s="299">
        <v>1</v>
      </c>
      <c r="E11" s="312">
        <f t="shared" si="0"/>
        <v>1.5</v>
      </c>
      <c r="F11" s="205" t="s">
        <v>69</v>
      </c>
      <c r="G11" s="132" t="s">
        <v>94</v>
      </c>
      <c r="H11" s="175" t="s">
        <v>108</v>
      </c>
      <c r="I11" s="134" t="s">
        <v>69</v>
      </c>
      <c r="J11" s="134" t="s">
        <v>69</v>
      </c>
      <c r="K11" s="134" t="s">
        <v>69</v>
      </c>
      <c r="L11" s="134" t="s">
        <v>69</v>
      </c>
      <c r="M11" s="134" t="s">
        <v>69</v>
      </c>
      <c r="N11" s="275" t="s">
        <v>111</v>
      </c>
      <c r="O11" s="174" t="s">
        <v>108</v>
      </c>
      <c r="P11" s="168" t="s">
        <v>69</v>
      </c>
      <c r="Q11" s="168" t="s">
        <v>69</v>
      </c>
      <c r="R11" s="168" t="s">
        <v>69</v>
      </c>
      <c r="S11" s="168" t="s">
        <v>69</v>
      </c>
      <c r="T11" s="277" t="s">
        <v>111</v>
      </c>
      <c r="U11" s="131" t="s">
        <v>72</v>
      </c>
      <c r="V11" s="174" t="s">
        <v>108</v>
      </c>
      <c r="W11" s="134" t="s">
        <v>69</v>
      </c>
      <c r="X11" s="134" t="s">
        <v>69</v>
      </c>
      <c r="Y11" s="205" t="s">
        <v>69</v>
      </c>
      <c r="Z11" s="205" t="s">
        <v>69</v>
      </c>
      <c r="AA11" s="205" t="s">
        <v>69</v>
      </c>
      <c r="AB11" s="121" t="s">
        <v>72</v>
      </c>
      <c r="AC11" s="174" t="s">
        <v>108</v>
      </c>
      <c r="AD11" s="168" t="s">
        <v>69</v>
      </c>
      <c r="AE11" s="168" t="s">
        <v>69</v>
      </c>
      <c r="AF11" s="168" t="s">
        <v>69</v>
      </c>
      <c r="AG11" s="168" t="s">
        <v>69</v>
      </c>
      <c r="AH11" s="168" t="s">
        <v>69</v>
      </c>
      <c r="AI11" s="168" t="s">
        <v>69</v>
      </c>
      <c r="AJ11" s="174" t="s">
        <v>108</v>
      </c>
    </row>
    <row r="12" spans="1:36">
      <c r="A12" s="5">
        <v>13</v>
      </c>
      <c r="B12" s="196" t="s">
        <v>16</v>
      </c>
      <c r="C12" s="70">
        <v>1.5</v>
      </c>
      <c r="D12" s="299">
        <v>1.5</v>
      </c>
      <c r="E12" s="312">
        <f t="shared" si="0"/>
        <v>0</v>
      </c>
      <c r="F12" s="205" t="s">
        <v>69</v>
      </c>
      <c r="G12" s="132" t="s">
        <v>94</v>
      </c>
      <c r="H12" s="174" t="s">
        <v>108</v>
      </c>
      <c r="I12" s="134" t="s">
        <v>178</v>
      </c>
      <c r="J12" s="134" t="s">
        <v>69</v>
      </c>
      <c r="K12" s="134" t="s">
        <v>69</v>
      </c>
      <c r="L12" s="134" t="s">
        <v>69</v>
      </c>
      <c r="M12" s="134" t="s">
        <v>69</v>
      </c>
      <c r="N12" s="275" t="s">
        <v>111</v>
      </c>
      <c r="O12" s="175" t="s">
        <v>108</v>
      </c>
      <c r="P12" s="168" t="s">
        <v>69</v>
      </c>
      <c r="Q12" s="168" t="s">
        <v>69</v>
      </c>
      <c r="R12" s="168" t="s">
        <v>69</v>
      </c>
      <c r="S12" s="168" t="s">
        <v>69</v>
      </c>
      <c r="T12" s="277" t="s">
        <v>111</v>
      </c>
      <c r="U12" s="277" t="s">
        <v>111</v>
      </c>
      <c r="V12" s="175" t="s">
        <v>108</v>
      </c>
      <c r="W12" s="130" t="s">
        <v>92</v>
      </c>
      <c r="X12" s="134" t="s">
        <v>69</v>
      </c>
      <c r="Y12" s="134" t="s">
        <v>69</v>
      </c>
      <c r="Z12" s="134" t="s">
        <v>69</v>
      </c>
      <c r="AA12" s="134" t="s">
        <v>69</v>
      </c>
      <c r="AB12" s="134" t="s">
        <v>69</v>
      </c>
      <c r="AC12" s="175" t="s">
        <v>108</v>
      </c>
      <c r="AD12" s="132" t="s">
        <v>94</v>
      </c>
      <c r="AE12" s="168" t="s">
        <v>69</v>
      </c>
      <c r="AF12" s="147" t="s">
        <v>92</v>
      </c>
      <c r="AG12" s="168" t="s">
        <v>69</v>
      </c>
      <c r="AH12" s="132" t="s">
        <v>94</v>
      </c>
      <c r="AI12" s="168" t="s">
        <v>69</v>
      </c>
      <c r="AJ12" s="175" t="s">
        <v>108</v>
      </c>
    </row>
    <row r="13" spans="1:36">
      <c r="A13" s="5">
        <v>14</v>
      </c>
      <c r="B13" s="196" t="s">
        <v>17</v>
      </c>
      <c r="C13" s="70">
        <v>1.5</v>
      </c>
      <c r="D13" s="299">
        <v>1.5</v>
      </c>
      <c r="E13" s="312">
        <f t="shared" si="0"/>
        <v>0</v>
      </c>
      <c r="F13" s="205" t="s">
        <v>69</v>
      </c>
      <c r="G13" s="205" t="s">
        <v>69</v>
      </c>
      <c r="H13" s="175" t="s">
        <v>108</v>
      </c>
      <c r="I13" s="134" t="s">
        <v>69</v>
      </c>
      <c r="J13" s="134" t="s">
        <v>69</v>
      </c>
      <c r="K13" s="134" t="s">
        <v>69</v>
      </c>
      <c r="L13" s="134" t="s">
        <v>69</v>
      </c>
      <c r="M13" s="134" t="s">
        <v>69</v>
      </c>
      <c r="N13" s="275" t="s">
        <v>111</v>
      </c>
      <c r="O13" s="175" t="s">
        <v>108</v>
      </c>
      <c r="P13" s="168" t="s">
        <v>69</v>
      </c>
      <c r="Q13" s="168" t="s">
        <v>69</v>
      </c>
      <c r="R13" s="168" t="s">
        <v>69</v>
      </c>
      <c r="S13" s="121" t="s">
        <v>72</v>
      </c>
      <c r="T13" s="277" t="s">
        <v>111</v>
      </c>
      <c r="U13" s="168" t="s">
        <v>69</v>
      </c>
      <c r="V13" s="175" t="s">
        <v>108</v>
      </c>
      <c r="W13" s="134" t="s">
        <v>69</v>
      </c>
      <c r="X13" s="134" t="s">
        <v>69</v>
      </c>
      <c r="Y13" s="194" t="s">
        <v>92</v>
      </c>
      <c r="Z13" s="134" t="s">
        <v>69</v>
      </c>
      <c r="AA13" s="134" t="s">
        <v>69</v>
      </c>
      <c r="AB13" s="134" t="s">
        <v>69</v>
      </c>
      <c r="AC13" s="175" t="s">
        <v>108</v>
      </c>
      <c r="AD13" s="134" t="s">
        <v>69</v>
      </c>
      <c r="AE13" s="134" t="s">
        <v>69</v>
      </c>
      <c r="AF13" s="286" t="s">
        <v>175</v>
      </c>
      <c r="AG13" s="168" t="s">
        <v>69</v>
      </c>
      <c r="AH13" s="132" t="s">
        <v>94</v>
      </c>
      <c r="AI13" s="168" t="s">
        <v>69</v>
      </c>
      <c r="AJ13" s="175" t="s">
        <v>108</v>
      </c>
    </row>
    <row r="14" spans="1:36">
      <c r="A14" s="5">
        <v>15</v>
      </c>
      <c r="B14" s="196" t="s">
        <v>75</v>
      </c>
      <c r="C14" s="70">
        <v>1.5</v>
      </c>
      <c r="D14" s="299">
        <v>1.5</v>
      </c>
      <c r="E14" s="312">
        <f t="shared" si="0"/>
        <v>0</v>
      </c>
      <c r="F14" s="205" t="s">
        <v>69</v>
      </c>
      <c r="G14" s="205" t="s">
        <v>69</v>
      </c>
      <c r="H14" s="175" t="s">
        <v>108</v>
      </c>
      <c r="I14" s="134" t="s">
        <v>69</v>
      </c>
      <c r="J14" s="134" t="s">
        <v>69</v>
      </c>
      <c r="K14" s="134" t="s">
        <v>69</v>
      </c>
      <c r="L14" s="134" t="s">
        <v>69</v>
      </c>
      <c r="M14" s="134" t="s">
        <v>69</v>
      </c>
      <c r="N14" s="275" t="s">
        <v>111</v>
      </c>
      <c r="O14" s="174" t="s">
        <v>108</v>
      </c>
      <c r="P14" s="168" t="s">
        <v>69</v>
      </c>
      <c r="Q14" s="168" t="s">
        <v>69</v>
      </c>
      <c r="R14" s="168" t="s">
        <v>69</v>
      </c>
      <c r="S14" s="168" t="s">
        <v>69</v>
      </c>
      <c r="T14" s="277" t="s">
        <v>111</v>
      </c>
      <c r="U14" s="121" t="s">
        <v>72</v>
      </c>
      <c r="V14" s="174" t="s">
        <v>108</v>
      </c>
      <c r="W14" s="134" t="s">
        <v>69</v>
      </c>
      <c r="X14" s="134" t="s">
        <v>69</v>
      </c>
      <c r="Y14" s="134" t="s">
        <v>69</v>
      </c>
      <c r="Z14" s="132" t="s">
        <v>94</v>
      </c>
      <c r="AA14" s="134" t="s">
        <v>69</v>
      </c>
      <c r="AB14" s="134" t="s">
        <v>69</v>
      </c>
      <c r="AC14" s="174" t="s">
        <v>108</v>
      </c>
      <c r="AD14" s="168" t="s">
        <v>69</v>
      </c>
      <c r="AE14" s="168" t="s">
        <v>69</v>
      </c>
      <c r="AF14" s="276" t="s">
        <v>175</v>
      </c>
      <c r="AG14" s="168" t="s">
        <v>69</v>
      </c>
      <c r="AH14" s="168" t="s">
        <v>69</v>
      </c>
      <c r="AI14" s="168" t="s">
        <v>69</v>
      </c>
      <c r="AJ14" s="175" t="s">
        <v>108</v>
      </c>
    </row>
    <row r="15" spans="1:36">
      <c r="A15" s="5">
        <v>16</v>
      </c>
      <c r="B15" s="196" t="s">
        <v>19</v>
      </c>
      <c r="C15" s="70">
        <v>2</v>
      </c>
      <c r="D15" s="299">
        <v>2</v>
      </c>
      <c r="E15" s="312">
        <f t="shared" si="0"/>
        <v>0</v>
      </c>
      <c r="F15" s="205" t="s">
        <v>69</v>
      </c>
      <c r="G15" s="205" t="s">
        <v>69</v>
      </c>
      <c r="H15" s="175" t="s">
        <v>108</v>
      </c>
      <c r="I15" s="134" t="s">
        <v>69</v>
      </c>
      <c r="J15" s="134" t="s">
        <v>69</v>
      </c>
      <c r="K15" s="134" t="s">
        <v>69</v>
      </c>
      <c r="L15" s="134" t="s">
        <v>69</v>
      </c>
      <c r="M15" s="134" t="s">
        <v>69</v>
      </c>
      <c r="N15" s="275" t="s">
        <v>111</v>
      </c>
      <c r="O15" s="175" t="s">
        <v>108</v>
      </c>
      <c r="P15" s="168" t="s">
        <v>69</v>
      </c>
      <c r="Q15" s="168" t="s">
        <v>69</v>
      </c>
      <c r="R15" s="168" t="s">
        <v>69</v>
      </c>
      <c r="S15" s="168" t="s">
        <v>69</v>
      </c>
      <c r="T15" s="277" t="s">
        <v>111</v>
      </c>
      <c r="U15" s="277" t="s">
        <v>111</v>
      </c>
      <c r="V15" s="175" t="s">
        <v>108</v>
      </c>
      <c r="W15" s="134" t="s">
        <v>69</v>
      </c>
      <c r="X15" s="134" t="s">
        <v>69</v>
      </c>
      <c r="Y15" s="134" t="s">
        <v>69</v>
      </c>
      <c r="Z15" s="134" t="s">
        <v>69</v>
      </c>
      <c r="AA15" s="134" t="s">
        <v>69</v>
      </c>
      <c r="AB15" s="134" t="s">
        <v>69</v>
      </c>
      <c r="AC15" s="175" t="s">
        <v>108</v>
      </c>
      <c r="AD15" s="168" t="s">
        <v>69</v>
      </c>
      <c r="AE15" s="121" t="s">
        <v>72</v>
      </c>
      <c r="AF15" s="121" t="s">
        <v>72</v>
      </c>
      <c r="AG15" s="168" t="s">
        <v>69</v>
      </c>
      <c r="AH15" s="168" t="s">
        <v>69</v>
      </c>
      <c r="AI15" s="168" t="s">
        <v>69</v>
      </c>
      <c r="AJ15" s="175" t="s">
        <v>108</v>
      </c>
    </row>
    <row r="16" spans="1:36">
      <c r="A16" s="5">
        <v>17</v>
      </c>
      <c r="B16" s="70" t="s">
        <v>155</v>
      </c>
      <c r="C16" s="70">
        <v>0</v>
      </c>
      <c r="D16" s="299">
        <v>0</v>
      </c>
      <c r="E16" s="312">
        <f t="shared" si="0"/>
        <v>0</v>
      </c>
      <c r="F16" s="205" t="s">
        <v>69</v>
      </c>
      <c r="G16" s="205" t="s">
        <v>69</v>
      </c>
      <c r="H16" s="175" t="s">
        <v>108</v>
      </c>
      <c r="I16" s="134" t="s">
        <v>69</v>
      </c>
      <c r="J16" s="134" t="s">
        <v>69</v>
      </c>
      <c r="K16" s="134" t="s">
        <v>69</v>
      </c>
      <c r="L16" s="134" t="s">
        <v>69</v>
      </c>
      <c r="M16" s="134" t="s">
        <v>69</v>
      </c>
      <c r="N16" s="275" t="s">
        <v>111</v>
      </c>
      <c r="O16" s="175" t="s">
        <v>108</v>
      </c>
      <c r="P16" s="168" t="s">
        <v>69</v>
      </c>
      <c r="Q16" s="168" t="s">
        <v>69</v>
      </c>
      <c r="R16" s="168" t="s">
        <v>69</v>
      </c>
      <c r="S16" s="168" t="s">
        <v>69</v>
      </c>
      <c r="T16" s="277" t="s">
        <v>111</v>
      </c>
      <c r="U16" s="134" t="s">
        <v>69</v>
      </c>
      <c r="V16" s="175" t="s">
        <v>108</v>
      </c>
      <c r="W16" s="134" t="s">
        <v>69</v>
      </c>
      <c r="X16" s="134" t="s">
        <v>69</v>
      </c>
      <c r="Y16" s="134" t="s">
        <v>69</v>
      </c>
      <c r="Z16" s="134" t="s">
        <v>69</v>
      </c>
      <c r="AA16" s="134" t="s">
        <v>69</v>
      </c>
      <c r="AB16" s="134" t="s">
        <v>69</v>
      </c>
      <c r="AC16" s="175" t="s">
        <v>108</v>
      </c>
      <c r="AD16" s="168" t="s">
        <v>69</v>
      </c>
      <c r="AE16" s="168" t="s">
        <v>69</v>
      </c>
      <c r="AF16" s="276" t="s">
        <v>175</v>
      </c>
      <c r="AG16" s="168" t="s">
        <v>69</v>
      </c>
      <c r="AH16" s="168" t="s">
        <v>69</v>
      </c>
      <c r="AI16" s="168" t="s">
        <v>69</v>
      </c>
      <c r="AJ16" s="174" t="s">
        <v>108</v>
      </c>
    </row>
    <row r="17" spans="1:36">
      <c r="A17" s="5">
        <v>18</v>
      </c>
      <c r="B17" s="196" t="s">
        <v>20</v>
      </c>
      <c r="C17" s="186">
        <v>5.5</v>
      </c>
      <c r="D17" s="298">
        <v>5.5</v>
      </c>
      <c r="E17" s="312">
        <f t="shared" si="0"/>
        <v>0</v>
      </c>
      <c r="F17" s="205" t="s">
        <v>69</v>
      </c>
      <c r="G17" s="289" t="s">
        <v>69</v>
      </c>
      <c r="H17" s="174" t="s">
        <v>108</v>
      </c>
      <c r="I17" s="134" t="s">
        <v>69</v>
      </c>
      <c r="J17" s="134" t="s">
        <v>69</v>
      </c>
      <c r="K17" s="134" t="s">
        <v>69</v>
      </c>
      <c r="L17" s="121" t="s">
        <v>72</v>
      </c>
      <c r="M17" s="134" t="s">
        <v>69</v>
      </c>
      <c r="N17" s="275" t="s">
        <v>111</v>
      </c>
      <c r="O17" s="174" t="s">
        <v>108</v>
      </c>
      <c r="P17" s="168" t="s">
        <v>69</v>
      </c>
      <c r="Q17" s="168" t="s">
        <v>69</v>
      </c>
      <c r="R17" s="168" t="s">
        <v>69</v>
      </c>
      <c r="S17" s="168" t="s">
        <v>69</v>
      </c>
      <c r="T17" s="277" t="s">
        <v>111</v>
      </c>
      <c r="U17" s="121" t="s">
        <v>72</v>
      </c>
      <c r="V17" s="174" t="s">
        <v>108</v>
      </c>
      <c r="W17" s="132" t="s">
        <v>94</v>
      </c>
      <c r="X17" s="134" t="s">
        <v>121</v>
      </c>
      <c r="Y17" s="134" t="s">
        <v>69</v>
      </c>
      <c r="Z17" s="134" t="s">
        <v>69</v>
      </c>
      <c r="AA17" s="134" t="s">
        <v>69</v>
      </c>
      <c r="AB17" s="121" t="s">
        <v>72</v>
      </c>
      <c r="AC17" s="174" t="s">
        <v>108</v>
      </c>
      <c r="AD17" s="168" t="s">
        <v>69</v>
      </c>
      <c r="AE17" s="121" t="s">
        <v>72</v>
      </c>
      <c r="AF17" s="286" t="s">
        <v>175</v>
      </c>
      <c r="AG17" s="121" t="s">
        <v>72</v>
      </c>
      <c r="AH17" s="134" t="s">
        <v>69</v>
      </c>
      <c r="AI17" s="168" t="s">
        <v>69</v>
      </c>
      <c r="AJ17" s="175" t="s">
        <v>108</v>
      </c>
    </row>
    <row r="18" spans="1:36">
      <c r="A18" s="5">
        <v>19</v>
      </c>
      <c r="B18" s="196" t="s">
        <v>97</v>
      </c>
      <c r="C18" s="186">
        <v>2</v>
      </c>
      <c r="D18" s="298">
        <v>1</v>
      </c>
      <c r="E18" s="312">
        <f t="shared" si="0"/>
        <v>1</v>
      </c>
      <c r="F18" s="205" t="s">
        <v>69</v>
      </c>
      <c r="G18" s="121" t="s">
        <v>72</v>
      </c>
      <c r="H18" s="175" t="s">
        <v>108</v>
      </c>
      <c r="I18" s="134" t="s">
        <v>69</v>
      </c>
      <c r="J18" s="134" t="s">
        <v>69</v>
      </c>
      <c r="K18" s="134" t="s">
        <v>69</v>
      </c>
      <c r="L18" s="134" t="s">
        <v>69</v>
      </c>
      <c r="M18" s="134" t="s">
        <v>69</v>
      </c>
      <c r="N18" s="275" t="s">
        <v>111</v>
      </c>
      <c r="O18" s="175" t="s">
        <v>108</v>
      </c>
      <c r="P18" s="168" t="s">
        <v>69</v>
      </c>
      <c r="Q18" s="168" t="s">
        <v>69</v>
      </c>
      <c r="R18" s="168" t="s">
        <v>69</v>
      </c>
      <c r="S18" s="168" t="s">
        <v>69</v>
      </c>
      <c r="T18" s="277" t="s">
        <v>111</v>
      </c>
      <c r="U18" s="121" t="s">
        <v>72</v>
      </c>
      <c r="V18" s="175" t="s">
        <v>108</v>
      </c>
      <c r="W18" s="168" t="s">
        <v>69</v>
      </c>
      <c r="X18" s="134" t="s">
        <v>121</v>
      </c>
      <c r="Y18" s="134" t="s">
        <v>69</v>
      </c>
      <c r="Z18" s="134" t="s">
        <v>69</v>
      </c>
      <c r="AA18" s="134" t="s">
        <v>69</v>
      </c>
      <c r="AB18" s="134" t="s">
        <v>69</v>
      </c>
      <c r="AC18" s="175" t="s">
        <v>108</v>
      </c>
      <c r="AD18" s="168" t="s">
        <v>69</v>
      </c>
      <c r="AE18" s="168" t="s">
        <v>69</v>
      </c>
      <c r="AF18" s="286" t="s">
        <v>175</v>
      </c>
      <c r="AG18" s="168" t="s">
        <v>69</v>
      </c>
      <c r="AH18" s="168" t="s">
        <v>69</v>
      </c>
      <c r="AI18" s="168" t="s">
        <v>69</v>
      </c>
      <c r="AJ18" s="175" t="s">
        <v>108</v>
      </c>
    </row>
    <row r="19" spans="1:36">
      <c r="A19" s="5">
        <v>20</v>
      </c>
      <c r="B19" s="196" t="s">
        <v>22</v>
      </c>
      <c r="C19" s="186">
        <v>0</v>
      </c>
      <c r="D19" s="298">
        <v>0</v>
      </c>
      <c r="E19" s="312">
        <f t="shared" si="0"/>
        <v>0</v>
      </c>
      <c r="F19" s="205" t="s">
        <v>69</v>
      </c>
      <c r="G19" s="205" t="s">
        <v>69</v>
      </c>
      <c r="H19" s="175" t="s">
        <v>108</v>
      </c>
      <c r="I19" s="134" t="s">
        <v>69</v>
      </c>
      <c r="J19" s="134" t="s">
        <v>69</v>
      </c>
      <c r="K19" s="134" t="s">
        <v>69</v>
      </c>
      <c r="L19" s="134" t="s">
        <v>69</v>
      </c>
      <c r="M19" s="134" t="s">
        <v>69</v>
      </c>
      <c r="N19" s="275" t="s">
        <v>111</v>
      </c>
      <c r="O19" s="175" t="s">
        <v>108</v>
      </c>
      <c r="P19" s="168" t="s">
        <v>69</v>
      </c>
      <c r="Q19" s="168" t="s">
        <v>69</v>
      </c>
      <c r="R19" s="168" t="s">
        <v>69</v>
      </c>
      <c r="S19" s="168" t="s">
        <v>69</v>
      </c>
      <c r="T19" s="277" t="s">
        <v>111</v>
      </c>
      <c r="U19" s="277" t="s">
        <v>111</v>
      </c>
      <c r="V19" s="175" t="s">
        <v>108</v>
      </c>
      <c r="W19" s="168" t="s">
        <v>69</v>
      </c>
      <c r="X19" s="168" t="s">
        <v>69</v>
      </c>
      <c r="Y19" s="168" t="s">
        <v>69</v>
      </c>
      <c r="Z19" s="168" t="s">
        <v>69</v>
      </c>
      <c r="AA19" s="168" t="s">
        <v>69</v>
      </c>
      <c r="AB19" s="168" t="s">
        <v>69</v>
      </c>
      <c r="AC19" s="175" t="s">
        <v>108</v>
      </c>
      <c r="AD19" s="168" t="s">
        <v>69</v>
      </c>
      <c r="AE19" s="147" t="s">
        <v>92</v>
      </c>
      <c r="AF19" s="134" t="s">
        <v>69</v>
      </c>
      <c r="AG19" s="168" t="s">
        <v>69</v>
      </c>
      <c r="AH19" s="168" t="s">
        <v>69</v>
      </c>
      <c r="AI19" s="168" t="s">
        <v>69</v>
      </c>
      <c r="AJ19" s="175" t="s">
        <v>108</v>
      </c>
    </row>
    <row r="20" spans="1:36">
      <c r="A20" s="5">
        <v>21</v>
      </c>
      <c r="B20" s="196" t="s">
        <v>179</v>
      </c>
      <c r="C20" s="186">
        <v>13</v>
      </c>
      <c r="D20" s="298">
        <v>0</v>
      </c>
      <c r="E20" s="312">
        <f t="shared" si="0"/>
        <v>13</v>
      </c>
      <c r="F20" s="197" t="s">
        <v>72</v>
      </c>
      <c r="G20" s="197" t="s">
        <v>72</v>
      </c>
      <c r="H20" s="174" t="s">
        <v>108</v>
      </c>
      <c r="I20" s="121" t="s">
        <v>72</v>
      </c>
      <c r="J20" s="121" t="s">
        <v>72</v>
      </c>
      <c r="K20" s="121" t="s">
        <v>72</v>
      </c>
      <c r="L20" s="121" t="s">
        <v>72</v>
      </c>
      <c r="M20" s="121" t="s">
        <v>72</v>
      </c>
      <c r="N20" s="121" t="s">
        <v>72</v>
      </c>
      <c r="O20" s="175" t="s">
        <v>108</v>
      </c>
      <c r="P20" s="131" t="s">
        <v>72</v>
      </c>
      <c r="Q20" s="131" t="s">
        <v>72</v>
      </c>
      <c r="R20" s="134" t="s">
        <v>69</v>
      </c>
      <c r="S20" s="134" t="s">
        <v>69</v>
      </c>
      <c r="T20" s="278" t="s">
        <v>111</v>
      </c>
      <c r="U20" s="134" t="s">
        <v>69</v>
      </c>
      <c r="V20" s="175" t="s">
        <v>108</v>
      </c>
      <c r="W20" s="168" t="s">
        <v>69</v>
      </c>
      <c r="X20" s="121" t="s">
        <v>72</v>
      </c>
      <c r="Y20" s="168" t="s">
        <v>69</v>
      </c>
      <c r="Z20" s="168" t="s">
        <v>69</v>
      </c>
      <c r="AA20" s="168" t="s">
        <v>69</v>
      </c>
      <c r="AB20" s="168" t="s">
        <v>69</v>
      </c>
      <c r="AC20" s="175" t="s">
        <v>108</v>
      </c>
      <c r="AD20" s="168" t="s">
        <v>69</v>
      </c>
      <c r="AE20" s="168" t="s">
        <v>69</v>
      </c>
      <c r="AF20" s="168" t="s">
        <v>69</v>
      </c>
      <c r="AG20" s="168" t="s">
        <v>69</v>
      </c>
      <c r="AH20" s="168" t="s">
        <v>69</v>
      </c>
      <c r="AI20" s="168" t="s">
        <v>69</v>
      </c>
      <c r="AJ20" s="175" t="s">
        <v>108</v>
      </c>
    </row>
    <row r="21" spans="1:36">
      <c r="A21" s="5">
        <v>22</v>
      </c>
      <c r="B21" s="196" t="s">
        <v>140</v>
      </c>
      <c r="C21" s="186">
        <v>4</v>
      </c>
      <c r="D21" s="298">
        <v>4</v>
      </c>
      <c r="E21" s="312">
        <f t="shared" si="0"/>
        <v>0</v>
      </c>
      <c r="F21" s="205" t="s">
        <v>69</v>
      </c>
      <c r="G21" s="121" t="s">
        <v>72</v>
      </c>
      <c r="H21" s="175" t="s">
        <v>108</v>
      </c>
      <c r="I21" s="134" t="s">
        <v>69</v>
      </c>
      <c r="J21" s="134" t="s">
        <v>69</v>
      </c>
      <c r="K21" s="134" t="s">
        <v>69</v>
      </c>
      <c r="L21" s="134" t="s">
        <v>69</v>
      </c>
      <c r="M21" s="134" t="s">
        <v>69</v>
      </c>
      <c r="N21" s="275" t="s">
        <v>111</v>
      </c>
      <c r="O21" s="174" t="s">
        <v>108</v>
      </c>
      <c r="P21" s="168" t="s">
        <v>69</v>
      </c>
      <c r="Q21" s="131" t="s">
        <v>72</v>
      </c>
      <c r="R21" s="131" t="s">
        <v>72</v>
      </c>
      <c r="S21" s="134" t="s">
        <v>69</v>
      </c>
      <c r="T21" s="278" t="s">
        <v>111</v>
      </c>
      <c r="U21" s="134" t="s">
        <v>69</v>
      </c>
      <c r="V21" s="174" t="s">
        <v>108</v>
      </c>
      <c r="W21" s="168" t="s">
        <v>69</v>
      </c>
      <c r="X21" s="168" t="s">
        <v>69</v>
      </c>
      <c r="Y21" s="168" t="s">
        <v>69</v>
      </c>
      <c r="Z21" s="168" t="s">
        <v>69</v>
      </c>
      <c r="AA21" s="168" t="s">
        <v>69</v>
      </c>
      <c r="AB21" s="168" t="s">
        <v>69</v>
      </c>
      <c r="AC21" s="174" t="s">
        <v>108</v>
      </c>
      <c r="AD21" s="168" t="s">
        <v>69</v>
      </c>
      <c r="AE21" s="168" t="s">
        <v>69</v>
      </c>
      <c r="AF21" s="286" t="s">
        <v>175</v>
      </c>
      <c r="AG21" s="134" t="s">
        <v>69</v>
      </c>
      <c r="AH21" s="134" t="s">
        <v>69</v>
      </c>
      <c r="AI21" s="153" t="s">
        <v>72</v>
      </c>
      <c r="AJ21" s="175" t="s">
        <v>108</v>
      </c>
    </row>
    <row r="22" spans="1:36">
      <c r="A22" s="5">
        <v>23</v>
      </c>
      <c r="B22" s="70" t="s">
        <v>24</v>
      </c>
      <c r="C22" s="70">
        <v>0</v>
      </c>
      <c r="D22" s="299">
        <v>0</v>
      </c>
      <c r="E22" s="312">
        <f t="shared" si="0"/>
        <v>0</v>
      </c>
      <c r="F22" s="205" t="s">
        <v>69</v>
      </c>
      <c r="G22" s="205" t="s">
        <v>69</v>
      </c>
      <c r="H22" s="175" t="s">
        <v>108</v>
      </c>
      <c r="I22" s="134" t="s">
        <v>69</v>
      </c>
      <c r="J22" s="134" t="s">
        <v>69</v>
      </c>
      <c r="K22" s="134" t="s">
        <v>69</v>
      </c>
      <c r="L22" s="134" t="s">
        <v>69</v>
      </c>
      <c r="M22" s="134" t="s">
        <v>69</v>
      </c>
      <c r="N22" s="275" t="s">
        <v>111</v>
      </c>
      <c r="O22" s="175" t="s">
        <v>108</v>
      </c>
      <c r="P22" s="168" t="s">
        <v>69</v>
      </c>
      <c r="Q22" s="168" t="s">
        <v>69</v>
      </c>
      <c r="R22" s="134" t="s">
        <v>69</v>
      </c>
      <c r="S22" s="134" t="s">
        <v>69</v>
      </c>
      <c r="T22" s="278" t="s">
        <v>111</v>
      </c>
      <c r="U22" s="134" t="s">
        <v>69</v>
      </c>
      <c r="V22" s="175" t="s">
        <v>108</v>
      </c>
      <c r="W22" s="168" t="s">
        <v>69</v>
      </c>
      <c r="X22" s="168" t="s">
        <v>69</v>
      </c>
      <c r="Y22" s="168" t="s">
        <v>69</v>
      </c>
      <c r="Z22" s="168" t="s">
        <v>69</v>
      </c>
      <c r="AA22" s="168" t="s">
        <v>69</v>
      </c>
      <c r="AB22" s="168" t="s">
        <v>69</v>
      </c>
      <c r="AC22" s="175" t="s">
        <v>108</v>
      </c>
      <c r="AD22" s="168" t="s">
        <v>69</v>
      </c>
      <c r="AE22" s="168" t="s">
        <v>69</v>
      </c>
      <c r="AF22" s="276" t="s">
        <v>175</v>
      </c>
      <c r="AG22" s="134" t="s">
        <v>69</v>
      </c>
      <c r="AH22" s="134" t="s">
        <v>69</v>
      </c>
      <c r="AI22" s="134" t="s">
        <v>69</v>
      </c>
      <c r="AJ22" s="175" t="s">
        <v>108</v>
      </c>
    </row>
    <row r="23" spans="1:36">
      <c r="A23" s="5">
        <v>24</v>
      </c>
      <c r="B23" s="196" t="s">
        <v>114</v>
      </c>
      <c r="C23" s="70">
        <v>0</v>
      </c>
      <c r="D23" s="299">
        <v>0</v>
      </c>
      <c r="E23" s="312">
        <f t="shared" si="0"/>
        <v>0</v>
      </c>
      <c r="F23" s="205" t="s">
        <v>69</v>
      </c>
      <c r="G23" s="205" t="s">
        <v>69</v>
      </c>
      <c r="H23" s="175" t="s">
        <v>108</v>
      </c>
      <c r="I23" s="147" t="s">
        <v>92</v>
      </c>
      <c r="J23" s="134" t="s">
        <v>69</v>
      </c>
      <c r="K23" s="134" t="s">
        <v>69</v>
      </c>
      <c r="L23" s="134" t="s">
        <v>69</v>
      </c>
      <c r="M23" s="134" t="s">
        <v>69</v>
      </c>
      <c r="N23" s="275" t="s">
        <v>111</v>
      </c>
      <c r="O23" s="175" t="s">
        <v>108</v>
      </c>
      <c r="P23" s="168" t="s">
        <v>69</v>
      </c>
      <c r="Q23" s="168" t="s">
        <v>69</v>
      </c>
      <c r="R23" s="134" t="s">
        <v>69</v>
      </c>
      <c r="S23" s="134" t="s">
        <v>69</v>
      </c>
      <c r="T23" s="278" t="s">
        <v>111</v>
      </c>
      <c r="U23" s="134" t="s">
        <v>69</v>
      </c>
      <c r="V23" s="175" t="s">
        <v>108</v>
      </c>
      <c r="W23" s="168" t="s">
        <v>69</v>
      </c>
      <c r="X23" s="168" t="s">
        <v>69</v>
      </c>
      <c r="Y23" s="168" t="s">
        <v>69</v>
      </c>
      <c r="Z23" s="168" t="s">
        <v>69</v>
      </c>
      <c r="AA23" s="168" t="s">
        <v>69</v>
      </c>
      <c r="AB23" s="168" t="s">
        <v>69</v>
      </c>
      <c r="AC23" s="175" t="s">
        <v>108</v>
      </c>
      <c r="AD23" s="168" t="s">
        <v>69</v>
      </c>
      <c r="AE23" s="168" t="s">
        <v>69</v>
      </c>
      <c r="AF23" s="286" t="s">
        <v>175</v>
      </c>
      <c r="AG23" s="134" t="s">
        <v>69</v>
      </c>
      <c r="AH23" s="134" t="s">
        <v>69</v>
      </c>
      <c r="AI23" s="134" t="s">
        <v>69</v>
      </c>
      <c r="AJ23" s="174" t="s">
        <v>108</v>
      </c>
    </row>
    <row r="24" spans="1:36">
      <c r="A24" s="5">
        <v>25</v>
      </c>
      <c r="B24" s="196" t="s">
        <v>26</v>
      </c>
      <c r="C24" s="70">
        <v>0.5</v>
      </c>
      <c r="D24" s="299">
        <v>0.5</v>
      </c>
      <c r="E24" s="312">
        <f t="shared" si="0"/>
        <v>0</v>
      </c>
      <c r="F24" s="242" t="s">
        <v>94</v>
      </c>
      <c r="G24" s="205" t="s">
        <v>69</v>
      </c>
      <c r="H24" s="175" t="s">
        <v>108</v>
      </c>
      <c r="I24" s="147" t="s">
        <v>92</v>
      </c>
      <c r="J24" s="134" t="s">
        <v>69</v>
      </c>
      <c r="K24" s="134" t="s">
        <v>69</v>
      </c>
      <c r="L24" s="134" t="s">
        <v>69</v>
      </c>
      <c r="M24" s="168"/>
      <c r="N24" s="275" t="s">
        <v>111</v>
      </c>
      <c r="O24" s="174" t="s">
        <v>108</v>
      </c>
      <c r="P24" s="168" t="s">
        <v>69</v>
      </c>
      <c r="Q24" s="147" t="s">
        <v>92</v>
      </c>
      <c r="R24" s="134" t="s">
        <v>69</v>
      </c>
      <c r="S24" s="134" t="s">
        <v>180</v>
      </c>
      <c r="T24" s="278" t="s">
        <v>111</v>
      </c>
      <c r="U24" s="134" t="s">
        <v>69</v>
      </c>
      <c r="V24" s="174" t="s">
        <v>108</v>
      </c>
      <c r="W24" s="168" t="s">
        <v>69</v>
      </c>
      <c r="X24" s="168" t="s">
        <v>69</v>
      </c>
      <c r="Y24" s="168" t="s">
        <v>69</v>
      </c>
      <c r="Z24" s="168" t="s">
        <v>69</v>
      </c>
      <c r="AA24" s="168" t="s">
        <v>69</v>
      </c>
      <c r="AB24" s="168" t="s">
        <v>69</v>
      </c>
      <c r="AC24" s="174" t="s">
        <v>108</v>
      </c>
      <c r="AD24" s="168" t="s">
        <v>69</v>
      </c>
      <c r="AE24" s="168" t="s">
        <v>69</v>
      </c>
      <c r="AF24" s="286" t="s">
        <v>175</v>
      </c>
      <c r="AG24" s="134" t="s">
        <v>69</v>
      </c>
      <c r="AH24" s="134" t="s">
        <v>69</v>
      </c>
      <c r="AI24" s="134" t="s">
        <v>69</v>
      </c>
      <c r="AJ24" s="175" t="s">
        <v>108</v>
      </c>
    </row>
    <row r="25" spans="1:36">
      <c r="A25" s="5">
        <v>0</v>
      </c>
      <c r="B25" s="196" t="s">
        <v>27</v>
      </c>
      <c r="C25" s="186">
        <v>3</v>
      </c>
      <c r="D25" s="298">
        <v>3</v>
      </c>
      <c r="E25" s="312">
        <f t="shared" si="0"/>
        <v>0</v>
      </c>
      <c r="F25" s="134" t="s">
        <v>69</v>
      </c>
      <c r="G25" s="205" t="s">
        <v>69</v>
      </c>
      <c r="H25" s="174" t="s">
        <v>108</v>
      </c>
      <c r="I25" s="121" t="s">
        <v>72</v>
      </c>
      <c r="J25" s="121" t="s">
        <v>72</v>
      </c>
      <c r="K25" s="134" t="s">
        <v>69</v>
      </c>
      <c r="L25" s="134" t="s">
        <v>69</v>
      </c>
      <c r="M25" s="134" t="s">
        <v>69</v>
      </c>
      <c r="N25" s="275" t="s">
        <v>111</v>
      </c>
      <c r="O25" s="175" t="s">
        <v>108</v>
      </c>
      <c r="P25" s="168" t="s">
        <v>69</v>
      </c>
      <c r="Q25" s="168" t="s">
        <v>69</v>
      </c>
      <c r="R25" s="134" t="s">
        <v>69</v>
      </c>
      <c r="S25" s="134" t="s">
        <v>69</v>
      </c>
      <c r="T25" s="278" t="s">
        <v>111</v>
      </c>
      <c r="U25" s="134" t="s">
        <v>69</v>
      </c>
      <c r="V25" s="175" t="s">
        <v>108</v>
      </c>
      <c r="W25" s="168" t="s">
        <v>69</v>
      </c>
      <c r="X25" s="168" t="s">
        <v>69</v>
      </c>
      <c r="Y25" s="168" t="s">
        <v>69</v>
      </c>
      <c r="Z25" s="168" t="s">
        <v>69</v>
      </c>
      <c r="AA25" s="168" t="s">
        <v>69</v>
      </c>
      <c r="AB25" s="168" t="s">
        <v>69</v>
      </c>
      <c r="AC25" s="175" t="s">
        <v>108</v>
      </c>
      <c r="AD25" s="168" t="s">
        <v>69</v>
      </c>
      <c r="AE25" s="168" t="s">
        <v>69</v>
      </c>
      <c r="AF25" s="286" t="s">
        <v>175</v>
      </c>
      <c r="AG25" s="121" t="s">
        <v>72</v>
      </c>
      <c r="AH25" s="168" t="s">
        <v>69</v>
      </c>
      <c r="AI25" s="168" t="s">
        <v>69</v>
      </c>
      <c r="AJ25" s="175" t="s">
        <v>108</v>
      </c>
    </row>
    <row r="26" spans="1:36">
      <c r="A26" s="5">
        <v>27</v>
      </c>
      <c r="B26" s="196" t="s">
        <v>28</v>
      </c>
      <c r="C26" s="186">
        <v>1</v>
      </c>
      <c r="D26" s="298">
        <v>1</v>
      </c>
      <c r="E26" s="312">
        <f t="shared" si="0"/>
        <v>0</v>
      </c>
      <c r="F26" s="248" t="s">
        <v>92</v>
      </c>
      <c r="G26" s="205" t="s">
        <v>69</v>
      </c>
      <c r="H26" s="175" t="s">
        <v>108</v>
      </c>
      <c r="I26" s="200" t="s">
        <v>69</v>
      </c>
      <c r="J26" s="200" t="s">
        <v>69</v>
      </c>
      <c r="K26" s="200" t="s">
        <v>69</v>
      </c>
      <c r="L26" s="200" t="s">
        <v>69</v>
      </c>
      <c r="M26" s="200" t="s">
        <v>69</v>
      </c>
      <c r="N26" s="275" t="s">
        <v>111</v>
      </c>
      <c r="O26" s="175" t="s">
        <v>108</v>
      </c>
      <c r="P26" s="168" t="s">
        <v>69</v>
      </c>
      <c r="Q26" s="168" t="s">
        <v>69</v>
      </c>
      <c r="R26" s="134" t="s">
        <v>69</v>
      </c>
      <c r="S26" s="134" t="s">
        <v>69</v>
      </c>
      <c r="T26" s="278" t="s">
        <v>111</v>
      </c>
      <c r="U26" s="121" t="s">
        <v>72</v>
      </c>
      <c r="V26" s="175" t="s">
        <v>108</v>
      </c>
      <c r="W26" s="168" t="s">
        <v>69</v>
      </c>
      <c r="X26" s="168" t="s">
        <v>69</v>
      </c>
      <c r="Y26" s="168" t="s">
        <v>69</v>
      </c>
      <c r="Z26" s="168" t="s">
        <v>69</v>
      </c>
      <c r="AA26" s="168" t="s">
        <v>69</v>
      </c>
      <c r="AB26" s="168" t="s">
        <v>69</v>
      </c>
      <c r="AC26" s="175" t="s">
        <v>108</v>
      </c>
      <c r="AD26" s="239" t="s">
        <v>69</v>
      </c>
      <c r="AE26" s="159" t="s">
        <v>92</v>
      </c>
      <c r="AF26" s="286" t="s">
        <v>175</v>
      </c>
      <c r="AG26" s="239" t="s">
        <v>69</v>
      </c>
      <c r="AH26" s="239" t="s">
        <v>69</v>
      </c>
      <c r="AI26" s="239" t="s">
        <v>69</v>
      </c>
      <c r="AJ26" s="175" t="s">
        <v>108</v>
      </c>
    </row>
    <row r="27" spans="1:36">
      <c r="A27" s="5">
        <v>28</v>
      </c>
      <c r="B27" s="196" t="s">
        <v>29</v>
      </c>
      <c r="C27" s="186">
        <v>2</v>
      </c>
      <c r="D27" s="298">
        <v>2</v>
      </c>
      <c r="E27" s="312">
        <f t="shared" si="0"/>
        <v>0</v>
      </c>
      <c r="F27" s="134" t="s">
        <v>69</v>
      </c>
      <c r="G27" s="205" t="s">
        <v>69</v>
      </c>
      <c r="H27" s="175" t="s">
        <v>108</v>
      </c>
      <c r="I27" s="121" t="s">
        <v>72</v>
      </c>
      <c r="J27" s="200" t="s">
        <v>69</v>
      </c>
      <c r="K27" s="200" t="s">
        <v>69</v>
      </c>
      <c r="L27" s="200" t="s">
        <v>69</v>
      </c>
      <c r="M27" s="200" t="s">
        <v>69</v>
      </c>
      <c r="N27" s="275" t="s">
        <v>111</v>
      </c>
      <c r="O27" s="174" t="s">
        <v>108</v>
      </c>
      <c r="P27" s="168" t="s">
        <v>69</v>
      </c>
      <c r="Q27" s="168" t="s">
        <v>69</v>
      </c>
      <c r="R27" s="134" t="s">
        <v>69</v>
      </c>
      <c r="S27" s="134" t="s">
        <v>69</v>
      </c>
      <c r="T27" s="278" t="s">
        <v>111</v>
      </c>
      <c r="U27" s="168" t="s">
        <v>69</v>
      </c>
      <c r="V27" s="174" t="s">
        <v>108</v>
      </c>
      <c r="W27" s="168" t="s">
        <v>69</v>
      </c>
      <c r="X27" s="168" t="s">
        <v>69</v>
      </c>
      <c r="Y27" s="168" t="s">
        <v>69</v>
      </c>
      <c r="Z27" s="168" t="s">
        <v>69</v>
      </c>
      <c r="AA27" s="168" t="s">
        <v>69</v>
      </c>
      <c r="AB27" s="168" t="s">
        <v>69</v>
      </c>
      <c r="AC27" s="174" t="s">
        <v>108</v>
      </c>
      <c r="AD27" s="168" t="s">
        <v>69</v>
      </c>
      <c r="AE27" s="168" t="s">
        <v>69</v>
      </c>
      <c r="AF27" s="286" t="s">
        <v>175</v>
      </c>
      <c r="AG27" s="168" t="s">
        <v>69</v>
      </c>
      <c r="AH27" s="168" t="s">
        <v>69</v>
      </c>
      <c r="AI27" s="168" t="s">
        <v>69</v>
      </c>
      <c r="AJ27" s="175" t="s">
        <v>108</v>
      </c>
    </row>
    <row r="28" spans="1:36">
      <c r="A28" s="5">
        <v>29</v>
      </c>
      <c r="B28" s="196" t="s">
        <v>181</v>
      </c>
      <c r="C28" s="186">
        <v>2</v>
      </c>
      <c r="D28" s="298">
        <v>1</v>
      </c>
      <c r="E28" s="312">
        <f t="shared" si="0"/>
        <v>1</v>
      </c>
      <c r="F28" s="204" t="s">
        <v>72</v>
      </c>
      <c r="G28" s="204" t="s">
        <v>72</v>
      </c>
      <c r="H28" s="174" t="s">
        <v>108</v>
      </c>
      <c r="I28" s="199" t="s">
        <v>69</v>
      </c>
      <c r="J28" s="272" t="s">
        <v>69</v>
      </c>
      <c r="K28" s="272" t="s">
        <v>69</v>
      </c>
      <c r="L28" s="272" t="s">
        <v>69</v>
      </c>
      <c r="M28" s="272" t="s">
        <v>69</v>
      </c>
      <c r="N28" s="275" t="s">
        <v>111</v>
      </c>
      <c r="O28" s="175" t="s">
        <v>108</v>
      </c>
      <c r="P28" s="168" t="s">
        <v>69</v>
      </c>
      <c r="Q28" s="168" t="s">
        <v>69</v>
      </c>
      <c r="R28" s="134" t="s">
        <v>69</v>
      </c>
      <c r="S28" s="134" t="s">
        <v>69</v>
      </c>
      <c r="T28" s="278" t="s">
        <v>111</v>
      </c>
      <c r="U28" s="278" t="s">
        <v>111</v>
      </c>
      <c r="V28" s="175" t="s">
        <v>108</v>
      </c>
      <c r="W28" s="168" t="s">
        <v>69</v>
      </c>
      <c r="X28" s="168" t="s">
        <v>69</v>
      </c>
      <c r="Y28" s="168" t="s">
        <v>69</v>
      </c>
      <c r="Z28" s="168" t="s">
        <v>69</v>
      </c>
      <c r="AA28" s="168" t="s">
        <v>69</v>
      </c>
      <c r="AB28" s="168" t="s">
        <v>69</v>
      </c>
      <c r="AC28" s="175" t="s">
        <v>108</v>
      </c>
      <c r="AD28" s="168" t="s">
        <v>69</v>
      </c>
      <c r="AE28" s="168" t="s">
        <v>69</v>
      </c>
      <c r="AF28" s="168" t="s">
        <v>69</v>
      </c>
      <c r="AG28" s="168" t="s">
        <v>69</v>
      </c>
      <c r="AH28" s="168" t="s">
        <v>69</v>
      </c>
      <c r="AI28" s="168" t="s">
        <v>69</v>
      </c>
      <c r="AJ28" s="175" t="s">
        <v>108</v>
      </c>
    </row>
    <row r="29" spans="1:36">
      <c r="A29" s="5">
        <v>30</v>
      </c>
      <c r="B29" s="196" t="s">
        <v>182</v>
      </c>
      <c r="C29" s="186">
        <v>7</v>
      </c>
      <c r="D29" s="298">
        <v>1</v>
      </c>
      <c r="E29" s="312">
        <f t="shared" si="0"/>
        <v>6</v>
      </c>
      <c r="F29" s="204" t="s">
        <v>72</v>
      </c>
      <c r="G29" s="204" t="s">
        <v>72</v>
      </c>
      <c r="H29" s="175" t="s">
        <v>108</v>
      </c>
      <c r="I29" s="271" t="s">
        <v>72</v>
      </c>
      <c r="J29" s="189" t="s">
        <v>72</v>
      </c>
      <c r="K29" s="189" t="s">
        <v>72</v>
      </c>
      <c r="L29" s="207" t="s">
        <v>69</v>
      </c>
      <c r="M29" s="207" t="s">
        <v>69</v>
      </c>
      <c r="N29" s="275" t="s">
        <v>111</v>
      </c>
      <c r="O29" s="174" t="s">
        <v>108</v>
      </c>
      <c r="P29" s="168" t="s">
        <v>69</v>
      </c>
      <c r="Q29" s="168" t="s">
        <v>69</v>
      </c>
      <c r="R29" s="134" t="s">
        <v>69</v>
      </c>
      <c r="S29" s="134" t="s">
        <v>69</v>
      </c>
      <c r="T29" s="278" t="s">
        <v>111</v>
      </c>
      <c r="U29" s="278" t="s">
        <v>111</v>
      </c>
      <c r="V29" s="174" t="s">
        <v>108</v>
      </c>
      <c r="W29" s="168" t="s">
        <v>69</v>
      </c>
      <c r="X29" s="168" t="s">
        <v>69</v>
      </c>
      <c r="Y29" s="168" t="s">
        <v>69</v>
      </c>
      <c r="Z29" s="168" t="s">
        <v>69</v>
      </c>
      <c r="AA29" s="168" t="s">
        <v>69</v>
      </c>
      <c r="AB29" s="168" t="s">
        <v>69</v>
      </c>
      <c r="AC29" s="174" t="s">
        <v>108</v>
      </c>
      <c r="AD29" s="168" t="s">
        <v>69</v>
      </c>
      <c r="AE29" s="121" t="s">
        <v>72</v>
      </c>
      <c r="AF29" s="286" t="s">
        <v>175</v>
      </c>
      <c r="AG29" s="168" t="s">
        <v>69</v>
      </c>
      <c r="AH29" s="168" t="s">
        <v>69</v>
      </c>
      <c r="AI29" s="168" t="s">
        <v>69</v>
      </c>
      <c r="AJ29" s="174" t="s">
        <v>108</v>
      </c>
    </row>
    <row r="30" spans="1:36">
      <c r="A30" s="5">
        <v>31</v>
      </c>
      <c r="B30" s="196" t="s">
        <v>30</v>
      </c>
      <c r="C30" s="186">
        <v>3.5</v>
      </c>
      <c r="D30" s="298">
        <v>3.5</v>
      </c>
      <c r="E30" s="312">
        <f t="shared" si="0"/>
        <v>0</v>
      </c>
      <c r="F30" s="249" t="s">
        <v>94</v>
      </c>
      <c r="G30" s="204" t="s">
        <v>72</v>
      </c>
      <c r="H30" s="175" t="s">
        <v>108</v>
      </c>
      <c r="I30" s="212" t="s">
        <v>69</v>
      </c>
      <c r="J30" s="240" t="s">
        <v>69</v>
      </c>
      <c r="K30" s="240" t="s">
        <v>69</v>
      </c>
      <c r="L30" s="240" t="s">
        <v>69</v>
      </c>
      <c r="M30" s="240" t="s">
        <v>69</v>
      </c>
      <c r="N30" s="275" t="s">
        <v>111</v>
      </c>
      <c r="O30" s="175" t="s">
        <v>108</v>
      </c>
      <c r="P30" s="168" t="s">
        <v>69</v>
      </c>
      <c r="Q30" s="168" t="s">
        <v>69</v>
      </c>
      <c r="R30" s="134" t="s">
        <v>69</v>
      </c>
      <c r="S30" s="134" t="s">
        <v>69</v>
      </c>
      <c r="T30" s="278" t="s">
        <v>111</v>
      </c>
      <c r="U30" s="168" t="s">
        <v>69</v>
      </c>
      <c r="V30" s="175" t="s">
        <v>108</v>
      </c>
      <c r="W30" s="168" t="s">
        <v>69</v>
      </c>
      <c r="X30" s="168" t="s">
        <v>69</v>
      </c>
      <c r="Y30" s="121" t="s">
        <v>72</v>
      </c>
      <c r="Z30" s="121" t="s">
        <v>72</v>
      </c>
      <c r="AA30" s="168" t="s">
        <v>69</v>
      </c>
      <c r="AB30" s="168" t="s">
        <v>69</v>
      </c>
      <c r="AC30" s="175" t="s">
        <v>108</v>
      </c>
      <c r="AD30" s="168" t="s">
        <v>69</v>
      </c>
      <c r="AE30" s="168" t="s">
        <v>69</v>
      </c>
      <c r="AF30" s="286" t="s">
        <v>175</v>
      </c>
      <c r="AG30" s="168" t="s">
        <v>69</v>
      </c>
      <c r="AH30" s="159" t="s">
        <v>92</v>
      </c>
      <c r="AI30" s="168" t="s">
        <v>69</v>
      </c>
      <c r="AJ30" s="175" t="s">
        <v>108</v>
      </c>
    </row>
    <row r="31" spans="1:36">
      <c r="A31" s="5">
        <v>32</v>
      </c>
      <c r="B31" s="196" t="s">
        <v>183</v>
      </c>
      <c r="C31" s="186">
        <v>2</v>
      </c>
      <c r="D31" s="298">
        <v>2</v>
      </c>
      <c r="E31" s="312">
        <f t="shared" si="0"/>
        <v>0</v>
      </c>
      <c r="F31" s="204" t="s">
        <v>72</v>
      </c>
      <c r="G31" s="142" t="s">
        <v>72</v>
      </c>
      <c r="H31" s="175" t="s">
        <v>108</v>
      </c>
      <c r="I31" s="199" t="s">
        <v>69</v>
      </c>
      <c r="J31" s="200" t="s">
        <v>69</v>
      </c>
      <c r="K31" s="200" t="s">
        <v>69</v>
      </c>
      <c r="L31" s="200" t="s">
        <v>69</v>
      </c>
      <c r="M31" s="200" t="s">
        <v>69</v>
      </c>
      <c r="N31" s="275" t="s">
        <v>111</v>
      </c>
      <c r="O31" s="175" t="s">
        <v>108</v>
      </c>
      <c r="P31" s="168" t="s">
        <v>69</v>
      </c>
      <c r="Q31" s="168" t="s">
        <v>69</v>
      </c>
      <c r="R31" s="134" t="s">
        <v>69</v>
      </c>
      <c r="S31" s="134" t="s">
        <v>69</v>
      </c>
      <c r="T31" s="278" t="s">
        <v>111</v>
      </c>
      <c r="U31" s="168" t="s">
        <v>69</v>
      </c>
      <c r="V31" s="174" t="s">
        <v>108</v>
      </c>
      <c r="W31" s="168" t="s">
        <v>69</v>
      </c>
      <c r="X31" s="168" t="s">
        <v>69</v>
      </c>
      <c r="Y31" s="168" t="s">
        <v>69</v>
      </c>
      <c r="Z31" s="168" t="s">
        <v>69</v>
      </c>
      <c r="AA31" s="168" t="s">
        <v>69</v>
      </c>
      <c r="AB31" s="168" t="s">
        <v>69</v>
      </c>
      <c r="AC31" s="174" t="s">
        <v>108</v>
      </c>
      <c r="AD31" s="168" t="s">
        <v>69</v>
      </c>
      <c r="AE31" s="168" t="s">
        <v>69</v>
      </c>
      <c r="AF31" s="286" t="s">
        <v>175</v>
      </c>
      <c r="AG31" s="168" t="s">
        <v>69</v>
      </c>
      <c r="AH31" s="168" t="s">
        <v>69</v>
      </c>
      <c r="AI31" s="168" t="s">
        <v>69</v>
      </c>
      <c r="AJ31" s="175" t="s">
        <v>108</v>
      </c>
    </row>
    <row r="32" spans="1:36">
      <c r="A32" s="5">
        <v>33</v>
      </c>
      <c r="B32" s="70" t="s">
        <v>158</v>
      </c>
      <c r="C32" s="186">
        <v>1</v>
      </c>
      <c r="D32" s="298">
        <v>1</v>
      </c>
      <c r="E32" s="312">
        <f t="shared" si="0"/>
        <v>0</v>
      </c>
      <c r="F32" s="199" t="s">
        <v>69</v>
      </c>
      <c r="G32" s="199" t="s">
        <v>69</v>
      </c>
      <c r="H32" s="175" t="s">
        <v>108</v>
      </c>
      <c r="I32" s="199" t="s">
        <v>69</v>
      </c>
      <c r="J32" s="272" t="s">
        <v>69</v>
      </c>
      <c r="K32" s="272" t="s">
        <v>69</v>
      </c>
      <c r="L32" s="272" t="s">
        <v>69</v>
      </c>
      <c r="M32" s="272" t="s">
        <v>69</v>
      </c>
      <c r="N32" s="275" t="s">
        <v>111</v>
      </c>
      <c r="O32" s="175" t="s">
        <v>108</v>
      </c>
      <c r="P32" s="168" t="s">
        <v>69</v>
      </c>
      <c r="Q32" s="168" t="s">
        <v>69</v>
      </c>
      <c r="R32" s="134" t="s">
        <v>69</v>
      </c>
      <c r="S32" s="130" t="s">
        <v>92</v>
      </c>
      <c r="T32" s="278" t="s">
        <v>111</v>
      </c>
      <c r="U32" s="121" t="s">
        <v>72</v>
      </c>
      <c r="V32" s="175" t="s">
        <v>108</v>
      </c>
      <c r="W32" s="168" t="s">
        <v>69</v>
      </c>
      <c r="X32" s="134" t="s">
        <v>121</v>
      </c>
      <c r="Y32" s="168" t="s">
        <v>69</v>
      </c>
      <c r="Z32" s="168" t="s">
        <v>69</v>
      </c>
      <c r="AA32" s="168" t="s">
        <v>69</v>
      </c>
      <c r="AB32" s="168" t="s">
        <v>69</v>
      </c>
      <c r="AC32" s="175" t="s">
        <v>108</v>
      </c>
      <c r="AD32" s="168" t="s">
        <v>69</v>
      </c>
      <c r="AE32" s="168" t="s">
        <v>69</v>
      </c>
      <c r="AF32" s="286" t="s">
        <v>175</v>
      </c>
      <c r="AG32" s="172" t="s">
        <v>69</v>
      </c>
      <c r="AH32" s="172" t="s">
        <v>69</v>
      </c>
      <c r="AI32" s="172" t="s">
        <v>69</v>
      </c>
      <c r="AJ32" s="175" t="s">
        <v>108</v>
      </c>
    </row>
    <row r="33" spans="1:36">
      <c r="A33" s="5">
        <v>34</v>
      </c>
      <c r="B33" s="196" t="s">
        <v>31</v>
      </c>
      <c r="C33" s="186">
        <v>1</v>
      </c>
      <c r="D33" s="298">
        <v>1</v>
      </c>
      <c r="E33" s="312">
        <f t="shared" si="0"/>
        <v>0</v>
      </c>
      <c r="F33" s="134" t="s">
        <v>69</v>
      </c>
      <c r="G33" s="134" t="s">
        <v>69</v>
      </c>
      <c r="H33" s="174" t="s">
        <v>108</v>
      </c>
      <c r="I33" s="199" t="s">
        <v>69</v>
      </c>
      <c r="J33" s="199" t="s">
        <v>69</v>
      </c>
      <c r="K33" s="199" t="s">
        <v>69</v>
      </c>
      <c r="L33" s="199" t="s">
        <v>69</v>
      </c>
      <c r="M33" s="199" t="s">
        <v>69</v>
      </c>
      <c r="N33" s="275" t="s">
        <v>111</v>
      </c>
      <c r="O33" s="174" t="s">
        <v>108</v>
      </c>
      <c r="P33" s="168" t="s">
        <v>69</v>
      </c>
      <c r="Q33" s="168" t="s">
        <v>69</v>
      </c>
      <c r="R33" s="134" t="s">
        <v>69</v>
      </c>
      <c r="S33" s="134" t="s">
        <v>69</v>
      </c>
      <c r="T33" s="278" t="s">
        <v>111</v>
      </c>
      <c r="U33" s="278" t="s">
        <v>111</v>
      </c>
      <c r="V33" s="174" t="s">
        <v>108</v>
      </c>
      <c r="W33" s="168" t="s">
        <v>69</v>
      </c>
      <c r="X33" s="168" t="s">
        <v>69</v>
      </c>
      <c r="Y33" s="168" t="s">
        <v>69</v>
      </c>
      <c r="Z33" s="121" t="s">
        <v>72</v>
      </c>
      <c r="AA33" s="168" t="s">
        <v>69</v>
      </c>
      <c r="AB33" s="168" t="s">
        <v>69</v>
      </c>
      <c r="AC33" s="174" t="s">
        <v>108</v>
      </c>
      <c r="AD33" s="134" t="s">
        <v>69</v>
      </c>
      <c r="AE33" s="134" t="s">
        <v>69</v>
      </c>
      <c r="AF33" s="134" t="s">
        <v>69</v>
      </c>
      <c r="AG33" s="147" t="s">
        <v>92</v>
      </c>
      <c r="AH33" s="172" t="s">
        <v>69</v>
      </c>
      <c r="AI33" s="172" t="s">
        <v>69</v>
      </c>
      <c r="AJ33" s="175" t="s">
        <v>108</v>
      </c>
    </row>
    <row r="34" spans="1:36">
      <c r="A34" s="5">
        <v>35</v>
      </c>
      <c r="B34" s="70" t="s">
        <v>142</v>
      </c>
      <c r="C34" s="70">
        <v>3</v>
      </c>
      <c r="D34" s="299">
        <v>1</v>
      </c>
      <c r="E34" s="312">
        <f t="shared" si="0"/>
        <v>2</v>
      </c>
      <c r="F34" s="134" t="s">
        <v>69</v>
      </c>
      <c r="G34" s="134" t="s">
        <v>69</v>
      </c>
      <c r="H34" s="175" t="s">
        <v>108</v>
      </c>
      <c r="I34" s="121" t="s">
        <v>72</v>
      </c>
      <c r="J34" s="121" t="s">
        <v>72</v>
      </c>
      <c r="K34" s="120" t="s">
        <v>69</v>
      </c>
      <c r="L34" s="120" t="s">
        <v>69</v>
      </c>
      <c r="M34" s="120" t="s">
        <v>69</v>
      </c>
      <c r="N34" s="275" t="s">
        <v>111</v>
      </c>
      <c r="O34" s="175" t="s">
        <v>108</v>
      </c>
      <c r="P34" s="168" t="s">
        <v>69</v>
      </c>
      <c r="Q34" s="168" t="s">
        <v>69</v>
      </c>
      <c r="R34" s="134" t="s">
        <v>69</v>
      </c>
      <c r="S34" s="134" t="s">
        <v>69</v>
      </c>
      <c r="T34" s="278" t="s">
        <v>111</v>
      </c>
      <c r="U34" s="278" t="s">
        <v>111</v>
      </c>
      <c r="V34" s="175" t="s">
        <v>108</v>
      </c>
      <c r="W34" s="168" t="s">
        <v>69</v>
      </c>
      <c r="X34" s="168" t="s">
        <v>69</v>
      </c>
      <c r="Y34" s="168" t="s">
        <v>69</v>
      </c>
      <c r="Z34" s="285" t="s">
        <v>92</v>
      </c>
      <c r="AA34" s="285" t="s">
        <v>92</v>
      </c>
      <c r="AB34" s="134" t="s">
        <v>69</v>
      </c>
      <c r="AC34" s="175" t="s">
        <v>108</v>
      </c>
      <c r="AD34" s="168" t="s">
        <v>69</v>
      </c>
      <c r="AE34" s="168" t="s">
        <v>69</v>
      </c>
      <c r="AF34" s="168" t="s">
        <v>69</v>
      </c>
      <c r="AG34" s="168" t="s">
        <v>69</v>
      </c>
      <c r="AH34" s="168" t="s">
        <v>69</v>
      </c>
      <c r="AI34" s="153" t="s">
        <v>72</v>
      </c>
      <c r="AJ34" s="175" t="s">
        <v>108</v>
      </c>
    </row>
    <row r="35" spans="1:36">
      <c r="A35" s="5">
        <v>36</v>
      </c>
      <c r="B35" s="70" t="s">
        <v>33</v>
      </c>
      <c r="C35" s="70">
        <v>0</v>
      </c>
      <c r="D35" s="299">
        <v>0</v>
      </c>
      <c r="E35" s="312">
        <f t="shared" si="0"/>
        <v>0</v>
      </c>
      <c r="F35" s="147" t="s">
        <v>92</v>
      </c>
      <c r="G35" s="134" t="s">
        <v>69</v>
      </c>
      <c r="H35" s="175" t="s">
        <v>108</v>
      </c>
      <c r="I35" s="199" t="s">
        <v>69</v>
      </c>
      <c r="J35" s="199" t="s">
        <v>69</v>
      </c>
      <c r="K35" s="134" t="s">
        <v>69</v>
      </c>
      <c r="L35" s="134" t="s">
        <v>69</v>
      </c>
      <c r="M35" s="134" t="s">
        <v>69</v>
      </c>
      <c r="N35" s="275" t="s">
        <v>111</v>
      </c>
      <c r="O35" s="175" t="s">
        <v>108</v>
      </c>
      <c r="P35" s="168" t="s">
        <v>69</v>
      </c>
      <c r="Q35" s="168" t="s">
        <v>69</v>
      </c>
      <c r="R35" s="134" t="s">
        <v>69</v>
      </c>
      <c r="S35" s="134" t="s">
        <v>69</v>
      </c>
      <c r="T35" s="278" t="s">
        <v>111</v>
      </c>
      <c r="U35" s="168" t="s">
        <v>69</v>
      </c>
      <c r="V35" s="175" t="s">
        <v>108</v>
      </c>
      <c r="W35" s="168" t="s">
        <v>69</v>
      </c>
      <c r="X35" s="168" t="s">
        <v>69</v>
      </c>
      <c r="Y35" s="168" t="s">
        <v>69</v>
      </c>
      <c r="Z35" s="168" t="s">
        <v>69</v>
      </c>
      <c r="AA35" s="168" t="s">
        <v>69</v>
      </c>
      <c r="AB35" s="168" t="s">
        <v>69</v>
      </c>
      <c r="AC35" s="175" t="s">
        <v>108</v>
      </c>
      <c r="AD35" s="169" t="s">
        <v>69</v>
      </c>
      <c r="AE35" s="169" t="s">
        <v>69</v>
      </c>
      <c r="AF35" s="291" t="s">
        <v>175</v>
      </c>
      <c r="AG35" s="244" t="s">
        <v>69</v>
      </c>
      <c r="AH35" s="244" t="s">
        <v>69</v>
      </c>
      <c r="AI35" s="244" t="s">
        <v>69</v>
      </c>
      <c r="AJ35" s="174" t="s">
        <v>108</v>
      </c>
    </row>
    <row r="36" spans="1:36">
      <c r="A36" s="5">
        <v>37</v>
      </c>
      <c r="B36" s="247" t="s">
        <v>184</v>
      </c>
      <c r="C36" s="293">
        <v>1</v>
      </c>
      <c r="D36" s="300">
        <v>1</v>
      </c>
      <c r="E36" s="312">
        <f t="shared" si="0"/>
        <v>0</v>
      </c>
      <c r="F36" s="288" t="s">
        <v>69</v>
      </c>
      <c r="G36" s="288" t="s">
        <v>69</v>
      </c>
      <c r="H36" s="174" t="s">
        <v>108</v>
      </c>
      <c r="I36" s="134" t="s">
        <v>69</v>
      </c>
      <c r="J36" s="134" t="s">
        <v>69</v>
      </c>
      <c r="K36" s="134" t="s">
        <v>69</v>
      </c>
      <c r="L36" s="134" t="s">
        <v>69</v>
      </c>
      <c r="M36" s="134" t="s">
        <v>69</v>
      </c>
      <c r="N36" s="134" t="s">
        <v>69</v>
      </c>
      <c r="O36" s="174" t="s">
        <v>108</v>
      </c>
      <c r="P36" s="168" t="s">
        <v>69</v>
      </c>
      <c r="Q36" s="168" t="s">
        <v>69</v>
      </c>
      <c r="R36" s="134" t="s">
        <v>69</v>
      </c>
      <c r="S36" s="134" t="s">
        <v>69</v>
      </c>
      <c r="T36" s="278" t="s">
        <v>111</v>
      </c>
      <c r="U36" s="278" t="s">
        <v>111</v>
      </c>
      <c r="V36" s="174" t="s">
        <v>108</v>
      </c>
      <c r="W36" s="168" t="s">
        <v>69</v>
      </c>
      <c r="X36" s="168" t="s">
        <v>69</v>
      </c>
      <c r="Y36" s="168" t="s">
        <v>69</v>
      </c>
      <c r="Z36" s="168" t="s">
        <v>69</v>
      </c>
      <c r="AA36" s="168" t="s">
        <v>69</v>
      </c>
      <c r="AB36" s="131" t="s">
        <v>72</v>
      </c>
      <c r="AC36" s="174" t="s">
        <v>108</v>
      </c>
      <c r="AD36" s="130" t="s">
        <v>92</v>
      </c>
      <c r="AE36" s="168" t="s">
        <v>69</v>
      </c>
      <c r="AF36" s="168" t="s">
        <v>69</v>
      </c>
      <c r="AG36" s="168" t="s">
        <v>69</v>
      </c>
      <c r="AH36" s="168" t="s">
        <v>69</v>
      </c>
      <c r="AI36" s="168" t="s">
        <v>69</v>
      </c>
      <c r="AJ36" s="175" t="s">
        <v>108</v>
      </c>
    </row>
    <row r="37" spans="1:36">
      <c r="A37" s="5">
        <v>38</v>
      </c>
      <c r="B37" s="70" t="s">
        <v>35</v>
      </c>
      <c r="C37" s="186">
        <v>2</v>
      </c>
      <c r="D37" s="298">
        <v>2</v>
      </c>
      <c r="E37" s="312">
        <f t="shared" si="0"/>
        <v>0</v>
      </c>
      <c r="F37" s="250" t="s">
        <v>92</v>
      </c>
      <c r="G37" s="134" t="s">
        <v>69</v>
      </c>
      <c r="H37" s="175" t="s">
        <v>108</v>
      </c>
      <c r="I37" s="134" t="s">
        <v>69</v>
      </c>
      <c r="J37" s="134" t="s">
        <v>69</v>
      </c>
      <c r="K37" s="134" t="s">
        <v>69</v>
      </c>
      <c r="L37" s="134" t="s">
        <v>69</v>
      </c>
      <c r="M37" s="134" t="s">
        <v>69</v>
      </c>
      <c r="N37" s="273" t="s">
        <v>111</v>
      </c>
      <c r="O37" s="175" t="s">
        <v>108</v>
      </c>
      <c r="P37" s="168" t="s">
        <v>69</v>
      </c>
      <c r="Q37" s="168" t="s">
        <v>69</v>
      </c>
      <c r="R37" s="121" t="s">
        <v>72</v>
      </c>
      <c r="S37" s="121" t="s">
        <v>72</v>
      </c>
      <c r="T37" s="278" t="s">
        <v>111</v>
      </c>
      <c r="U37" s="168" t="s">
        <v>69</v>
      </c>
      <c r="V37" s="175" t="s">
        <v>108</v>
      </c>
      <c r="W37" s="168" t="s">
        <v>69</v>
      </c>
      <c r="X37" s="168" t="s">
        <v>69</v>
      </c>
      <c r="Y37" s="168" t="s">
        <v>69</v>
      </c>
      <c r="Z37" s="168" t="s">
        <v>69</v>
      </c>
      <c r="AA37" s="168" t="s">
        <v>69</v>
      </c>
      <c r="AB37" s="168" t="s">
        <v>69</v>
      </c>
      <c r="AC37" s="175" t="s">
        <v>108</v>
      </c>
      <c r="AD37" s="168" t="s">
        <v>69</v>
      </c>
      <c r="AE37" s="168" t="s">
        <v>69</v>
      </c>
      <c r="AF37" s="276" t="s">
        <v>175</v>
      </c>
      <c r="AG37" s="168" t="s">
        <v>69</v>
      </c>
      <c r="AH37" s="168" t="s">
        <v>69</v>
      </c>
      <c r="AI37" s="168" t="s">
        <v>69</v>
      </c>
      <c r="AJ37" s="175" t="s">
        <v>108</v>
      </c>
    </row>
    <row r="38" spans="1:36">
      <c r="A38" s="5">
        <v>39</v>
      </c>
      <c r="B38" s="70" t="s">
        <v>118</v>
      </c>
      <c r="C38" s="70">
        <v>0.5</v>
      </c>
      <c r="D38" s="299">
        <v>0.5</v>
      </c>
      <c r="E38" s="312">
        <f t="shared" si="0"/>
        <v>0</v>
      </c>
      <c r="F38" s="134" t="s">
        <v>69</v>
      </c>
      <c r="G38" s="134" t="s">
        <v>69</v>
      </c>
      <c r="H38" s="175" t="s">
        <v>108</v>
      </c>
      <c r="I38" s="134" t="s">
        <v>69</v>
      </c>
      <c r="J38" s="134" t="s">
        <v>69</v>
      </c>
      <c r="K38" s="134" t="s">
        <v>69</v>
      </c>
      <c r="L38" s="134" t="s">
        <v>69</v>
      </c>
      <c r="M38" s="134" t="s">
        <v>69</v>
      </c>
      <c r="N38" s="273" t="s">
        <v>111</v>
      </c>
      <c r="O38" s="175" t="s">
        <v>108</v>
      </c>
      <c r="P38" s="168" t="s">
        <v>69</v>
      </c>
      <c r="Q38" s="168" t="s">
        <v>69</v>
      </c>
      <c r="R38" s="205" t="s">
        <v>69</v>
      </c>
      <c r="S38" s="205" t="s">
        <v>69</v>
      </c>
      <c r="T38" s="278" t="s">
        <v>111</v>
      </c>
      <c r="U38" s="168" t="s">
        <v>69</v>
      </c>
      <c r="V38" s="175" t="s">
        <v>108</v>
      </c>
      <c r="W38" s="168" t="s">
        <v>69</v>
      </c>
      <c r="X38" s="168" t="s">
        <v>69</v>
      </c>
      <c r="Y38" s="168" t="s">
        <v>69</v>
      </c>
      <c r="Z38" s="168" t="s">
        <v>69</v>
      </c>
      <c r="AA38" s="168" t="s">
        <v>69</v>
      </c>
      <c r="AB38" s="168" t="s">
        <v>69</v>
      </c>
      <c r="AC38" s="175" t="s">
        <v>108</v>
      </c>
      <c r="AD38" s="168" t="s">
        <v>69</v>
      </c>
      <c r="AE38" s="168" t="s">
        <v>69</v>
      </c>
      <c r="AF38" s="286" t="s">
        <v>175</v>
      </c>
      <c r="AG38" s="132" t="s">
        <v>94</v>
      </c>
      <c r="AH38" s="168" t="s">
        <v>69</v>
      </c>
      <c r="AI38" s="168" t="s">
        <v>69</v>
      </c>
      <c r="AJ38" s="175" t="s">
        <v>108</v>
      </c>
    </row>
    <row r="39" spans="1:36">
      <c r="A39" s="5">
        <v>40</v>
      </c>
      <c r="B39" s="70" t="s">
        <v>36</v>
      </c>
      <c r="C39" s="70">
        <v>7.5</v>
      </c>
      <c r="D39" s="299">
        <v>1</v>
      </c>
      <c r="E39" s="312">
        <f t="shared" si="0"/>
        <v>6.5</v>
      </c>
      <c r="F39" s="134" t="s">
        <v>69</v>
      </c>
      <c r="G39" s="134" t="s">
        <v>69</v>
      </c>
      <c r="H39" s="175" t="s">
        <v>108</v>
      </c>
      <c r="I39" s="134" t="s">
        <v>69</v>
      </c>
      <c r="J39" s="147" t="s">
        <v>92</v>
      </c>
      <c r="K39" s="672" t="s">
        <v>69</v>
      </c>
      <c r="L39" s="672" t="s">
        <v>69</v>
      </c>
      <c r="M39" s="672" t="s">
        <v>69</v>
      </c>
      <c r="N39" s="273" t="s">
        <v>111</v>
      </c>
      <c r="O39" s="174" t="s">
        <v>108</v>
      </c>
      <c r="P39" s="168" t="s">
        <v>69</v>
      </c>
      <c r="Q39" s="168" t="s">
        <v>69</v>
      </c>
      <c r="R39" s="121" t="s">
        <v>72</v>
      </c>
      <c r="S39" s="121" t="s">
        <v>72</v>
      </c>
      <c r="T39" s="278" t="s">
        <v>111</v>
      </c>
      <c r="U39" s="132" t="s">
        <v>94</v>
      </c>
      <c r="V39" s="174" t="s">
        <v>108</v>
      </c>
      <c r="W39" s="168" t="s">
        <v>69</v>
      </c>
      <c r="X39" s="168" t="s">
        <v>69</v>
      </c>
      <c r="Y39" s="168" t="s">
        <v>69</v>
      </c>
      <c r="Z39" s="168" t="s">
        <v>69</v>
      </c>
      <c r="AA39" s="168" t="s">
        <v>69</v>
      </c>
      <c r="AB39" s="168" t="s">
        <v>69</v>
      </c>
      <c r="AC39" s="174" t="s">
        <v>108</v>
      </c>
      <c r="AD39" s="121" t="s">
        <v>72</v>
      </c>
      <c r="AE39" s="121" t="s">
        <v>72</v>
      </c>
      <c r="AF39" s="286" t="s">
        <v>175</v>
      </c>
      <c r="AG39" s="189" t="s">
        <v>72</v>
      </c>
      <c r="AH39" s="189" t="s">
        <v>72</v>
      </c>
      <c r="AI39" s="189" t="s">
        <v>72</v>
      </c>
      <c r="AJ39" s="175" t="s">
        <v>108</v>
      </c>
    </row>
    <row r="40" spans="1:36">
      <c r="A40" s="5">
        <v>41</v>
      </c>
      <c r="B40" s="70" t="s">
        <v>143</v>
      </c>
      <c r="C40" s="70">
        <v>0</v>
      </c>
      <c r="D40" s="299">
        <v>0</v>
      </c>
      <c r="E40" s="312">
        <f t="shared" si="0"/>
        <v>0</v>
      </c>
      <c r="F40" s="134" t="s">
        <v>69</v>
      </c>
      <c r="G40" s="134" t="s">
        <v>69</v>
      </c>
      <c r="H40" s="174" t="s">
        <v>108</v>
      </c>
      <c r="I40" s="134" t="s">
        <v>69</v>
      </c>
      <c r="J40" s="134" t="s">
        <v>69</v>
      </c>
      <c r="K40" s="134" t="s">
        <v>69</v>
      </c>
      <c r="L40" s="134" t="s">
        <v>69</v>
      </c>
      <c r="M40" s="134" t="s">
        <v>69</v>
      </c>
      <c r="N40" s="273" t="s">
        <v>111</v>
      </c>
      <c r="O40" s="175" t="s">
        <v>108</v>
      </c>
      <c r="P40" s="168" t="s">
        <v>69</v>
      </c>
      <c r="Q40" s="168" t="s">
        <v>69</v>
      </c>
      <c r="R40" s="168" t="s">
        <v>69</v>
      </c>
      <c r="S40" s="168" t="s">
        <v>69</v>
      </c>
      <c r="T40" s="278" t="s">
        <v>111</v>
      </c>
      <c r="U40" s="134" t="s">
        <v>69</v>
      </c>
      <c r="V40" s="175" t="s">
        <v>108</v>
      </c>
      <c r="W40" s="168" t="s">
        <v>69</v>
      </c>
      <c r="X40" s="168" t="s">
        <v>69</v>
      </c>
      <c r="Y40" s="168" t="s">
        <v>69</v>
      </c>
      <c r="Z40" s="168" t="s">
        <v>69</v>
      </c>
      <c r="AA40" s="168" t="s">
        <v>69</v>
      </c>
      <c r="AB40" s="168" t="s">
        <v>69</v>
      </c>
      <c r="AC40" s="175" t="s">
        <v>108</v>
      </c>
      <c r="AD40" s="168" t="s">
        <v>69</v>
      </c>
      <c r="AE40" s="168" t="s">
        <v>69</v>
      </c>
      <c r="AF40" s="286" t="s">
        <v>175</v>
      </c>
      <c r="AG40" s="170" t="s">
        <v>69</v>
      </c>
      <c r="AH40" s="170" t="s">
        <v>69</v>
      </c>
      <c r="AI40" s="170" t="s">
        <v>69</v>
      </c>
      <c r="AJ40" s="174" t="s">
        <v>108</v>
      </c>
    </row>
    <row r="41" spans="1:36">
      <c r="A41" s="5">
        <v>42</v>
      </c>
      <c r="B41" s="196" t="s">
        <v>38</v>
      </c>
      <c r="C41" s="186">
        <v>0</v>
      </c>
      <c r="D41" s="298">
        <v>0</v>
      </c>
      <c r="E41" s="312">
        <f t="shared" si="0"/>
        <v>0</v>
      </c>
      <c r="F41" s="134" t="s">
        <v>69</v>
      </c>
      <c r="G41" s="134" t="s">
        <v>69</v>
      </c>
      <c r="H41" s="175" t="s">
        <v>108</v>
      </c>
      <c r="I41" s="134" t="s">
        <v>121</v>
      </c>
      <c r="J41" s="134" t="s">
        <v>69</v>
      </c>
      <c r="K41" s="134" t="s">
        <v>69</v>
      </c>
      <c r="L41" s="134" t="s">
        <v>69</v>
      </c>
      <c r="M41" s="134" t="s">
        <v>69</v>
      </c>
      <c r="N41" s="273" t="s">
        <v>111</v>
      </c>
      <c r="O41" s="175" t="s">
        <v>108</v>
      </c>
      <c r="P41" s="168" t="s">
        <v>69</v>
      </c>
      <c r="Q41" s="168" t="s">
        <v>69</v>
      </c>
      <c r="R41" s="168" t="s">
        <v>69</v>
      </c>
      <c r="S41" s="168" t="s">
        <v>69</v>
      </c>
      <c r="T41" s="278" t="s">
        <v>111</v>
      </c>
      <c r="U41" s="278" t="s">
        <v>111</v>
      </c>
      <c r="V41" s="175" t="s">
        <v>108</v>
      </c>
      <c r="W41" s="168" t="s">
        <v>69</v>
      </c>
      <c r="X41" s="168" t="s">
        <v>69</v>
      </c>
      <c r="Y41" s="168" t="s">
        <v>69</v>
      </c>
      <c r="Z41" s="168" t="s">
        <v>69</v>
      </c>
      <c r="AA41" s="168" t="s">
        <v>69</v>
      </c>
      <c r="AB41" s="168" t="s">
        <v>69</v>
      </c>
      <c r="AC41" s="175" t="s">
        <v>108</v>
      </c>
      <c r="AD41" s="168" t="s">
        <v>69</v>
      </c>
      <c r="AE41" s="168" t="s">
        <v>69</v>
      </c>
      <c r="AF41" s="168" t="s">
        <v>69</v>
      </c>
      <c r="AG41" s="168" t="s">
        <v>69</v>
      </c>
      <c r="AH41" s="168" t="s">
        <v>69</v>
      </c>
      <c r="AI41" s="168" t="s">
        <v>69</v>
      </c>
      <c r="AJ41" s="175" t="s">
        <v>108</v>
      </c>
    </row>
    <row r="42" spans="1:36">
      <c r="A42" s="5">
        <v>43</v>
      </c>
      <c r="B42" s="196" t="s">
        <v>39</v>
      </c>
      <c r="C42" s="186">
        <v>0</v>
      </c>
      <c r="D42" s="298">
        <v>0</v>
      </c>
      <c r="E42" s="312">
        <f t="shared" si="0"/>
        <v>0</v>
      </c>
      <c r="F42" s="134" t="s">
        <v>69</v>
      </c>
      <c r="G42" s="134" t="s">
        <v>69</v>
      </c>
      <c r="H42" s="175" t="s">
        <v>108</v>
      </c>
      <c r="I42" s="134" t="s">
        <v>69</v>
      </c>
      <c r="J42" s="134" t="s">
        <v>69</v>
      </c>
      <c r="K42" s="134" t="s">
        <v>69</v>
      </c>
      <c r="L42" s="134" t="s">
        <v>69</v>
      </c>
      <c r="M42" s="134" t="s">
        <v>69</v>
      </c>
      <c r="N42" s="134" t="s">
        <v>69</v>
      </c>
      <c r="O42" s="174" t="s">
        <v>108</v>
      </c>
      <c r="P42" s="168" t="s">
        <v>69</v>
      </c>
      <c r="Q42" s="168" t="s">
        <v>69</v>
      </c>
      <c r="R42" s="220" t="s">
        <v>69</v>
      </c>
      <c r="S42" s="220" t="s">
        <v>69</v>
      </c>
      <c r="T42" s="279" t="s">
        <v>111</v>
      </c>
      <c r="U42" s="279" t="s">
        <v>111</v>
      </c>
      <c r="V42" s="174" t="s">
        <v>108</v>
      </c>
      <c r="W42" s="168" t="s">
        <v>69</v>
      </c>
      <c r="X42" s="168" t="s">
        <v>69</v>
      </c>
      <c r="Y42" s="168" t="s">
        <v>69</v>
      </c>
      <c r="Z42" s="168" t="s">
        <v>69</v>
      </c>
      <c r="AA42" s="168" t="s">
        <v>69</v>
      </c>
      <c r="AB42" s="168" t="s">
        <v>69</v>
      </c>
      <c r="AC42" s="174" t="s">
        <v>108</v>
      </c>
      <c r="AD42" s="168" t="s">
        <v>69</v>
      </c>
      <c r="AE42" s="168" t="s">
        <v>69</v>
      </c>
      <c r="AF42" s="168" t="s">
        <v>69</v>
      </c>
      <c r="AG42" s="168" t="s">
        <v>69</v>
      </c>
      <c r="AH42" s="168" t="s">
        <v>69</v>
      </c>
      <c r="AI42" s="168" t="s">
        <v>69</v>
      </c>
      <c r="AJ42" s="175" t="s">
        <v>108</v>
      </c>
    </row>
    <row r="43" spans="1:36">
      <c r="A43" s="5">
        <v>44</v>
      </c>
      <c r="B43" s="133" t="s">
        <v>101</v>
      </c>
      <c r="C43" s="133">
        <f>31-8</f>
        <v>23</v>
      </c>
      <c r="D43" s="301"/>
      <c r="E43" s="312">
        <f t="shared" si="0"/>
        <v>23</v>
      </c>
      <c r="F43" s="134" t="s">
        <v>69</v>
      </c>
      <c r="G43" s="121" t="s">
        <v>72</v>
      </c>
      <c r="H43" s="174" t="s">
        <v>108</v>
      </c>
      <c r="I43" s="134" t="s">
        <v>69</v>
      </c>
      <c r="J43" s="134" t="s">
        <v>69</v>
      </c>
      <c r="K43" s="134" t="s">
        <v>69</v>
      </c>
      <c r="L43" s="134" t="s">
        <v>69</v>
      </c>
      <c r="M43" s="130" t="s">
        <v>92</v>
      </c>
      <c r="N43" s="241" t="s">
        <v>111</v>
      </c>
      <c r="O43" s="175" t="s">
        <v>108</v>
      </c>
      <c r="P43" s="121" t="s">
        <v>72</v>
      </c>
      <c r="Q43" s="239" t="s">
        <v>69</v>
      </c>
      <c r="R43" s="131" t="s">
        <v>72</v>
      </c>
      <c r="S43" s="131" t="s">
        <v>72</v>
      </c>
      <c r="T43" s="131" t="s">
        <v>72</v>
      </c>
      <c r="U43" s="131" t="s">
        <v>72</v>
      </c>
      <c r="V43" s="238" t="s">
        <v>108</v>
      </c>
      <c r="W43" s="131" t="s">
        <v>72</v>
      </c>
      <c r="X43" s="131" t="s">
        <v>72</v>
      </c>
      <c r="Y43" s="131" t="s">
        <v>72</v>
      </c>
      <c r="Z43" s="131" t="s">
        <v>72</v>
      </c>
      <c r="AA43" s="131" t="s">
        <v>76</v>
      </c>
      <c r="AB43" s="131" t="s">
        <v>76</v>
      </c>
      <c r="AC43" s="175" t="s">
        <v>108</v>
      </c>
      <c r="AD43" s="121" t="s">
        <v>76</v>
      </c>
      <c r="AE43" s="121" t="s">
        <v>76</v>
      </c>
      <c r="AF43" s="121" t="s">
        <v>76</v>
      </c>
      <c r="AG43" s="121" t="s">
        <v>76</v>
      </c>
      <c r="AH43" s="121" t="s">
        <v>76</v>
      </c>
      <c r="AI43" s="121" t="s">
        <v>76</v>
      </c>
      <c r="AJ43" s="175" t="s">
        <v>108</v>
      </c>
    </row>
    <row r="44" spans="1:36">
      <c r="A44" s="5">
        <v>45</v>
      </c>
      <c r="B44" s="196" t="s">
        <v>40</v>
      </c>
      <c r="C44" s="186">
        <v>1</v>
      </c>
      <c r="D44" s="298">
        <v>1</v>
      </c>
      <c r="E44" s="312">
        <f t="shared" si="0"/>
        <v>0</v>
      </c>
      <c r="F44" s="134" t="s">
        <v>69</v>
      </c>
      <c r="G44" s="134" t="s">
        <v>69</v>
      </c>
      <c r="H44" s="175" t="s">
        <v>108</v>
      </c>
      <c r="I44" s="134" t="s">
        <v>69</v>
      </c>
      <c r="J44" s="134" t="s">
        <v>69</v>
      </c>
      <c r="K44" s="134" t="s">
        <v>69</v>
      </c>
      <c r="L44" s="134" t="s">
        <v>69</v>
      </c>
      <c r="M44" s="134" t="s">
        <v>69</v>
      </c>
      <c r="N44" s="134" t="s">
        <v>69</v>
      </c>
      <c r="O44" s="175" t="s">
        <v>108</v>
      </c>
      <c r="P44" s="168" t="s">
        <v>69</v>
      </c>
      <c r="Q44" s="168" t="s">
        <v>69</v>
      </c>
      <c r="R44" s="168" t="s">
        <v>69</v>
      </c>
      <c r="S44" s="168" t="s">
        <v>69</v>
      </c>
      <c r="T44" s="282" t="s">
        <v>111</v>
      </c>
      <c r="U44" s="282" t="s">
        <v>111</v>
      </c>
      <c r="V44" s="175" t="s">
        <v>108</v>
      </c>
      <c r="W44" s="134" t="s">
        <v>69</v>
      </c>
      <c r="X44" s="134" t="s">
        <v>69</v>
      </c>
      <c r="Y44" s="134" t="s">
        <v>69</v>
      </c>
      <c r="Z44" s="134" t="s">
        <v>69</v>
      </c>
      <c r="AA44" s="134" t="s">
        <v>69</v>
      </c>
      <c r="AB44" s="134" t="s">
        <v>69</v>
      </c>
      <c r="AC44" s="175" t="s">
        <v>108</v>
      </c>
      <c r="AD44" s="121" t="s">
        <v>72</v>
      </c>
      <c r="AE44" s="168" t="s">
        <v>69</v>
      </c>
      <c r="AF44" s="168" t="s">
        <v>69</v>
      </c>
      <c r="AG44" s="168" t="s">
        <v>69</v>
      </c>
      <c r="AH44" s="168" t="s">
        <v>69</v>
      </c>
      <c r="AI44" s="168" t="s">
        <v>69</v>
      </c>
      <c r="AJ44" s="175" t="s">
        <v>108</v>
      </c>
    </row>
    <row r="45" spans="1:36">
      <c r="A45" s="5">
        <v>46</v>
      </c>
      <c r="B45" s="70" t="s">
        <v>41</v>
      </c>
      <c r="C45" s="186">
        <v>1.5</v>
      </c>
      <c r="D45" s="298">
        <v>1</v>
      </c>
      <c r="E45" s="312">
        <f t="shared" si="0"/>
        <v>0.5</v>
      </c>
      <c r="F45" s="134" t="s">
        <v>69</v>
      </c>
      <c r="G45" s="215" t="s">
        <v>94</v>
      </c>
      <c r="H45" s="175" t="s">
        <v>108</v>
      </c>
      <c r="I45" s="134" t="s">
        <v>69</v>
      </c>
      <c r="J45" s="134" t="s">
        <v>69</v>
      </c>
      <c r="K45" s="134" t="s">
        <v>69</v>
      </c>
      <c r="L45" s="134" t="s">
        <v>69</v>
      </c>
      <c r="M45" s="121" t="s">
        <v>72</v>
      </c>
      <c r="N45" s="273" t="s">
        <v>111</v>
      </c>
      <c r="O45" s="174" t="s">
        <v>108</v>
      </c>
      <c r="P45" s="168" t="s">
        <v>69</v>
      </c>
      <c r="Q45" s="168" t="s">
        <v>69</v>
      </c>
      <c r="R45" s="168" t="s">
        <v>69</v>
      </c>
      <c r="S45" s="168" t="s">
        <v>69</v>
      </c>
      <c r="T45" s="282" t="s">
        <v>111</v>
      </c>
      <c r="U45" s="168" t="s">
        <v>69</v>
      </c>
      <c r="V45" s="174" t="s">
        <v>108</v>
      </c>
      <c r="W45" s="134" t="s">
        <v>69</v>
      </c>
      <c r="X45" s="134" t="s">
        <v>69</v>
      </c>
      <c r="Y45" s="134" t="s">
        <v>69</v>
      </c>
      <c r="Z45" s="134" t="s">
        <v>69</v>
      </c>
      <c r="AA45" s="134" t="s">
        <v>69</v>
      </c>
      <c r="AB45" s="134" t="s">
        <v>69</v>
      </c>
      <c r="AC45" s="174" t="s">
        <v>108</v>
      </c>
      <c r="AD45" s="168" t="s">
        <v>69</v>
      </c>
      <c r="AE45" s="168" t="s">
        <v>69</v>
      </c>
      <c r="AF45" s="276" t="s">
        <v>175</v>
      </c>
      <c r="AG45" s="134" t="s">
        <v>69</v>
      </c>
      <c r="AH45" s="134" t="s">
        <v>69</v>
      </c>
      <c r="AI45" s="134" t="s">
        <v>69</v>
      </c>
      <c r="AJ45" s="175" t="s">
        <v>108</v>
      </c>
    </row>
    <row r="46" spans="1:36">
      <c r="A46" s="5">
        <v>47</v>
      </c>
      <c r="B46" s="196" t="s">
        <v>42</v>
      </c>
      <c r="C46" s="186">
        <v>2.5</v>
      </c>
      <c r="D46" s="298">
        <v>2.5</v>
      </c>
      <c r="E46" s="312">
        <f t="shared" si="0"/>
        <v>0</v>
      </c>
      <c r="F46" s="134" t="s">
        <v>69</v>
      </c>
      <c r="G46" s="134" t="s">
        <v>69</v>
      </c>
      <c r="H46" s="175" t="s">
        <v>108</v>
      </c>
      <c r="I46" s="134" t="s">
        <v>69</v>
      </c>
      <c r="J46" s="134" t="s">
        <v>69</v>
      </c>
      <c r="K46" s="134" t="s">
        <v>69</v>
      </c>
      <c r="L46" s="134" t="s">
        <v>69</v>
      </c>
      <c r="M46" s="121" t="s">
        <v>72</v>
      </c>
      <c r="N46" s="273" t="s">
        <v>111</v>
      </c>
      <c r="O46" s="175" t="s">
        <v>108</v>
      </c>
      <c r="P46" s="168" t="s">
        <v>69</v>
      </c>
      <c r="Q46" s="168" t="s">
        <v>69</v>
      </c>
      <c r="R46" s="168" t="s">
        <v>69</v>
      </c>
      <c r="S46" s="168" t="s">
        <v>69</v>
      </c>
      <c r="T46" s="282" t="s">
        <v>111</v>
      </c>
      <c r="U46" s="168" t="s">
        <v>69</v>
      </c>
      <c r="V46" s="175" t="s">
        <v>108</v>
      </c>
      <c r="W46" s="132" t="s">
        <v>94</v>
      </c>
      <c r="X46" s="134" t="s">
        <v>69</v>
      </c>
      <c r="Y46" s="147" t="s">
        <v>92</v>
      </c>
      <c r="Z46" s="121" t="s">
        <v>72</v>
      </c>
      <c r="AA46" s="134" t="s">
        <v>69</v>
      </c>
      <c r="AB46" s="134" t="s">
        <v>69</v>
      </c>
      <c r="AC46" s="175" t="s">
        <v>108</v>
      </c>
      <c r="AD46" s="134" t="s">
        <v>69</v>
      </c>
      <c r="AE46" s="134" t="s">
        <v>69</v>
      </c>
      <c r="AF46" s="276" t="s">
        <v>175</v>
      </c>
      <c r="AG46" s="134" t="s">
        <v>69</v>
      </c>
      <c r="AH46" s="134" t="s">
        <v>69</v>
      </c>
      <c r="AI46" s="134" t="s">
        <v>69</v>
      </c>
      <c r="AJ46" s="174" t="s">
        <v>108</v>
      </c>
    </row>
    <row r="47" spans="1:36">
      <c r="A47" s="5">
        <v>48</v>
      </c>
      <c r="B47" s="70" t="s">
        <v>161</v>
      </c>
      <c r="C47" s="70">
        <v>2</v>
      </c>
      <c r="D47" s="299">
        <v>1</v>
      </c>
      <c r="E47" s="312">
        <f t="shared" si="0"/>
        <v>1</v>
      </c>
      <c r="F47" s="134" t="s">
        <v>69</v>
      </c>
      <c r="G47" s="168" t="s">
        <v>69</v>
      </c>
      <c r="H47" s="175" t="s">
        <v>108</v>
      </c>
      <c r="I47" s="134" t="s">
        <v>69</v>
      </c>
      <c r="J47" s="134" t="s">
        <v>69</v>
      </c>
      <c r="K47" s="134" t="s">
        <v>69</v>
      </c>
      <c r="L47" s="134" t="s">
        <v>69</v>
      </c>
      <c r="M47" s="134" t="s">
        <v>69</v>
      </c>
      <c r="N47" s="273" t="s">
        <v>111</v>
      </c>
      <c r="O47" s="175" t="s">
        <v>108</v>
      </c>
      <c r="P47" s="168" t="s">
        <v>69</v>
      </c>
      <c r="Q47" s="168" t="s">
        <v>69</v>
      </c>
      <c r="R47" s="168" t="s">
        <v>69</v>
      </c>
      <c r="S47" s="168" t="s">
        <v>69</v>
      </c>
      <c r="T47" s="282" t="s">
        <v>111</v>
      </c>
      <c r="U47" s="121" t="s">
        <v>72</v>
      </c>
      <c r="V47" s="175" t="s">
        <v>108</v>
      </c>
      <c r="W47" s="134" t="s">
        <v>69</v>
      </c>
      <c r="X47" s="134" t="s">
        <v>69</v>
      </c>
      <c r="Y47" s="134" t="s">
        <v>69</v>
      </c>
      <c r="Z47" s="134" t="s">
        <v>69</v>
      </c>
      <c r="AA47" s="134" t="s">
        <v>69</v>
      </c>
      <c r="AB47" s="134" t="s">
        <v>69</v>
      </c>
      <c r="AC47" s="175" t="s">
        <v>108</v>
      </c>
      <c r="AD47" s="168" t="s">
        <v>69</v>
      </c>
      <c r="AE47" s="168" t="s">
        <v>69</v>
      </c>
      <c r="AF47" s="276" t="s">
        <v>175</v>
      </c>
      <c r="AG47" s="121" t="s">
        <v>72</v>
      </c>
      <c r="AH47" s="134" t="s">
        <v>69</v>
      </c>
      <c r="AI47" s="134" t="s">
        <v>69</v>
      </c>
      <c r="AJ47" s="175" t="s">
        <v>108</v>
      </c>
    </row>
    <row r="48" spans="1:36">
      <c r="A48" s="5">
        <v>49</v>
      </c>
      <c r="B48" s="196" t="s">
        <v>47</v>
      </c>
      <c r="C48" s="186">
        <v>7</v>
      </c>
      <c r="D48" s="298">
        <v>7</v>
      </c>
      <c r="E48" s="312">
        <f t="shared" si="0"/>
        <v>0</v>
      </c>
      <c r="F48" s="197" t="s">
        <v>72</v>
      </c>
      <c r="G48" s="197" t="s">
        <v>72</v>
      </c>
      <c r="H48" s="174" t="s">
        <v>108</v>
      </c>
      <c r="I48" s="134" t="s">
        <v>69</v>
      </c>
      <c r="J48" s="134" t="s">
        <v>69</v>
      </c>
      <c r="K48" s="134" t="s">
        <v>69</v>
      </c>
      <c r="L48" s="134" t="s">
        <v>69</v>
      </c>
      <c r="M48" s="134" t="s">
        <v>69</v>
      </c>
      <c r="N48" s="273" t="s">
        <v>111</v>
      </c>
      <c r="O48" s="174" t="s">
        <v>108</v>
      </c>
      <c r="P48" s="168" t="s">
        <v>69</v>
      </c>
      <c r="Q48" s="168" t="s">
        <v>69</v>
      </c>
      <c r="R48" s="121" t="s">
        <v>72</v>
      </c>
      <c r="S48" s="121" t="s">
        <v>72</v>
      </c>
      <c r="T48" s="121" t="s">
        <v>72</v>
      </c>
      <c r="U48" s="121" t="s">
        <v>72</v>
      </c>
      <c r="V48" s="174" t="s">
        <v>108</v>
      </c>
      <c r="W48" s="134" t="s">
        <v>69</v>
      </c>
      <c r="X48" s="134" t="s">
        <v>69</v>
      </c>
      <c r="Y48" s="134" t="s">
        <v>69</v>
      </c>
      <c r="Z48" s="134" t="s">
        <v>69</v>
      </c>
      <c r="AA48" s="134" t="s">
        <v>69</v>
      </c>
      <c r="AB48" s="134" t="s">
        <v>69</v>
      </c>
      <c r="AC48" s="174" t="s">
        <v>108</v>
      </c>
      <c r="AD48" s="121" t="s">
        <v>72</v>
      </c>
      <c r="AE48" s="168" t="s">
        <v>69</v>
      </c>
      <c r="AF48" s="276" t="s">
        <v>175</v>
      </c>
      <c r="AG48" s="134" t="s">
        <v>69</v>
      </c>
      <c r="AH48" s="134" t="s">
        <v>69</v>
      </c>
      <c r="AI48" s="134" t="s">
        <v>69</v>
      </c>
      <c r="AJ48" s="175" t="s">
        <v>108</v>
      </c>
    </row>
    <row r="49" spans="1:36">
      <c r="A49" s="5">
        <v>50</v>
      </c>
      <c r="B49" s="196" t="s">
        <v>48</v>
      </c>
      <c r="C49" s="186">
        <v>14</v>
      </c>
      <c r="D49" s="298">
        <v>6</v>
      </c>
      <c r="E49" s="312">
        <f t="shared" si="0"/>
        <v>8</v>
      </c>
      <c r="F49" s="197" t="s">
        <v>72</v>
      </c>
      <c r="G49" s="197" t="s">
        <v>72</v>
      </c>
      <c r="H49" s="175" t="s">
        <v>108</v>
      </c>
      <c r="I49" s="121" t="s">
        <v>72</v>
      </c>
      <c r="J49" s="121" t="s">
        <v>72</v>
      </c>
      <c r="K49" s="121" t="s">
        <v>72</v>
      </c>
      <c r="L49" s="121" t="s">
        <v>72</v>
      </c>
      <c r="M49" s="121" t="s">
        <v>72</v>
      </c>
      <c r="N49" s="273" t="s">
        <v>111</v>
      </c>
      <c r="O49" s="175" t="s">
        <v>108</v>
      </c>
      <c r="P49" s="121" t="s">
        <v>72</v>
      </c>
      <c r="Q49" s="121" t="s">
        <v>72</v>
      </c>
      <c r="R49" s="121" t="s">
        <v>72</v>
      </c>
      <c r="S49" s="134" t="s">
        <v>69</v>
      </c>
      <c r="T49" s="276" t="s">
        <v>111</v>
      </c>
      <c r="U49" s="134" t="s">
        <v>69</v>
      </c>
      <c r="V49" s="175" t="s">
        <v>108</v>
      </c>
      <c r="W49" s="134" t="s">
        <v>69</v>
      </c>
      <c r="X49" s="134" t="s">
        <v>69</v>
      </c>
      <c r="Y49" s="134" t="s">
        <v>69</v>
      </c>
      <c r="Z49" s="134" t="s">
        <v>69</v>
      </c>
      <c r="AA49" s="134" t="s">
        <v>69</v>
      </c>
      <c r="AB49" s="134" t="s">
        <v>69</v>
      </c>
      <c r="AC49" s="175" t="s">
        <v>108</v>
      </c>
      <c r="AD49" s="134" t="s">
        <v>69</v>
      </c>
      <c r="AE49" s="134" t="s">
        <v>69</v>
      </c>
      <c r="AF49" s="276" t="s">
        <v>175</v>
      </c>
      <c r="AG49" s="134" t="s">
        <v>69</v>
      </c>
      <c r="AH49" s="121" t="s">
        <v>72</v>
      </c>
      <c r="AI49" s="134" t="s">
        <v>69</v>
      </c>
      <c r="AJ49" s="175" t="s">
        <v>108</v>
      </c>
    </row>
    <row r="50" spans="1:36">
      <c r="A50" s="5">
        <v>51</v>
      </c>
      <c r="B50" s="196" t="s">
        <v>49</v>
      </c>
      <c r="C50" s="186">
        <v>0</v>
      </c>
      <c r="D50" s="298">
        <v>0</v>
      </c>
      <c r="E50" s="312">
        <f t="shared" si="0"/>
        <v>0</v>
      </c>
      <c r="F50" s="205" t="s">
        <v>69</v>
      </c>
      <c r="G50" s="205" t="s">
        <v>69</v>
      </c>
      <c r="H50" s="175" t="s">
        <v>108</v>
      </c>
      <c r="I50" s="205" t="s">
        <v>69</v>
      </c>
      <c r="J50" s="205" t="s">
        <v>69</v>
      </c>
      <c r="K50" s="205" t="s">
        <v>69</v>
      </c>
      <c r="L50" s="205" t="s">
        <v>69</v>
      </c>
      <c r="M50" s="130" t="s">
        <v>92</v>
      </c>
      <c r="N50" s="273" t="s">
        <v>111</v>
      </c>
      <c r="O50" s="175" t="s">
        <v>108</v>
      </c>
      <c r="P50" s="168" t="s">
        <v>69</v>
      </c>
      <c r="Q50" s="168" t="s">
        <v>69</v>
      </c>
      <c r="R50" s="672" t="s">
        <v>69</v>
      </c>
      <c r="S50" s="672" t="s">
        <v>69</v>
      </c>
      <c r="T50" s="276" t="s">
        <v>111</v>
      </c>
      <c r="U50" s="134" t="s">
        <v>69</v>
      </c>
      <c r="V50" s="175" t="s">
        <v>108</v>
      </c>
      <c r="W50" s="134" t="s">
        <v>69</v>
      </c>
      <c r="X50" s="134" t="s">
        <v>69</v>
      </c>
      <c r="Y50" s="134" t="s">
        <v>69</v>
      </c>
      <c r="Z50" s="134" t="s">
        <v>69</v>
      </c>
      <c r="AA50" s="134" t="s">
        <v>69</v>
      </c>
      <c r="AB50" s="134" t="s">
        <v>69</v>
      </c>
      <c r="AC50" s="175" t="s">
        <v>108</v>
      </c>
      <c r="AD50" s="168" t="s">
        <v>69</v>
      </c>
      <c r="AE50" s="168" t="s">
        <v>69</v>
      </c>
      <c r="AF50" s="276" t="s">
        <v>175</v>
      </c>
      <c r="AG50" s="134" t="s">
        <v>69</v>
      </c>
      <c r="AH50" s="134" t="s">
        <v>69</v>
      </c>
      <c r="AI50" s="159" t="s">
        <v>92</v>
      </c>
      <c r="AJ50" s="175" t="s">
        <v>108</v>
      </c>
    </row>
    <row r="51" spans="1:36">
      <c r="A51" s="5">
        <v>52</v>
      </c>
      <c r="B51" s="196" t="s">
        <v>185</v>
      </c>
      <c r="C51" s="186">
        <v>27</v>
      </c>
      <c r="D51" s="298">
        <v>0</v>
      </c>
      <c r="E51" s="312">
        <f t="shared" si="0"/>
        <v>27</v>
      </c>
      <c r="F51" s="197" t="s">
        <v>72</v>
      </c>
      <c r="G51" s="197" t="s">
        <v>72</v>
      </c>
      <c r="H51" s="175" t="s">
        <v>108</v>
      </c>
      <c r="I51" s="121" t="s">
        <v>72</v>
      </c>
      <c r="J51" s="121" t="s">
        <v>72</v>
      </c>
      <c r="K51" s="121" t="s">
        <v>72</v>
      </c>
      <c r="L51" s="121" t="s">
        <v>72</v>
      </c>
      <c r="M51" s="121" t="s">
        <v>72</v>
      </c>
      <c r="N51" s="121" t="s">
        <v>72</v>
      </c>
      <c r="O51" s="174" t="s">
        <v>108</v>
      </c>
      <c r="P51" s="121" t="s">
        <v>72</v>
      </c>
      <c r="Q51" s="121" t="s">
        <v>72</v>
      </c>
      <c r="R51" s="121" t="s">
        <v>72</v>
      </c>
      <c r="S51" s="121" t="s">
        <v>72</v>
      </c>
      <c r="T51" s="121" t="s">
        <v>72</v>
      </c>
      <c r="U51" s="121" t="s">
        <v>72</v>
      </c>
      <c r="V51" s="174" t="s">
        <v>108</v>
      </c>
      <c r="W51" s="121" t="s">
        <v>72</v>
      </c>
      <c r="X51" s="121" t="s">
        <v>72</v>
      </c>
      <c r="Y51" s="121" t="s">
        <v>72</v>
      </c>
      <c r="Z51" s="121" t="s">
        <v>72</v>
      </c>
      <c r="AA51" s="121" t="s">
        <v>72</v>
      </c>
      <c r="AB51" s="121" t="s">
        <v>72</v>
      </c>
      <c r="AC51" s="174" t="s">
        <v>108</v>
      </c>
      <c r="AD51" s="131" t="s">
        <v>72</v>
      </c>
      <c r="AE51" s="131" t="s">
        <v>72</v>
      </c>
      <c r="AF51" s="131" t="s">
        <v>72</v>
      </c>
      <c r="AG51" s="134" t="s">
        <v>69</v>
      </c>
      <c r="AH51" s="147" t="s">
        <v>92</v>
      </c>
      <c r="AI51" s="239" t="s">
        <v>69</v>
      </c>
      <c r="AJ51" s="174" t="s">
        <v>108</v>
      </c>
    </row>
    <row r="52" spans="1:36">
      <c r="A52" s="5">
        <v>53</v>
      </c>
      <c r="B52" s="196" t="s">
        <v>50</v>
      </c>
      <c r="C52" s="186">
        <v>2</v>
      </c>
      <c r="D52" s="298">
        <v>2</v>
      </c>
      <c r="E52" s="312">
        <f t="shared" si="0"/>
        <v>0</v>
      </c>
      <c r="F52" s="205" t="s">
        <v>69</v>
      </c>
      <c r="G52" s="205" t="s">
        <v>69</v>
      </c>
      <c r="H52" s="175" t="s">
        <v>108</v>
      </c>
      <c r="I52" s="205" t="s">
        <v>69</v>
      </c>
      <c r="J52" s="205" t="s">
        <v>69</v>
      </c>
      <c r="K52" s="205" t="s">
        <v>69</v>
      </c>
      <c r="L52" s="205" t="s">
        <v>69</v>
      </c>
      <c r="M52" s="205" t="s">
        <v>69</v>
      </c>
      <c r="N52" s="273" t="s">
        <v>111</v>
      </c>
      <c r="O52" s="174" t="s">
        <v>108</v>
      </c>
      <c r="P52" s="168" t="s">
        <v>69</v>
      </c>
      <c r="Q52" s="168" t="s">
        <v>69</v>
      </c>
      <c r="R52" s="672" t="s">
        <v>69</v>
      </c>
      <c r="S52" s="672" t="s">
        <v>69</v>
      </c>
      <c r="T52" s="276" t="s">
        <v>111</v>
      </c>
      <c r="U52" s="121" t="s">
        <v>72</v>
      </c>
      <c r="V52" s="174" t="s">
        <v>108</v>
      </c>
      <c r="W52" s="134" t="s">
        <v>69</v>
      </c>
      <c r="X52" s="121" t="s">
        <v>121</v>
      </c>
      <c r="Y52" s="134" t="s">
        <v>69</v>
      </c>
      <c r="Z52" s="134" t="s">
        <v>69</v>
      </c>
      <c r="AA52" s="134" t="s">
        <v>69</v>
      </c>
      <c r="AB52" s="134" t="s">
        <v>69</v>
      </c>
      <c r="AC52" s="174" t="s">
        <v>108</v>
      </c>
      <c r="AD52" s="134" t="s">
        <v>69</v>
      </c>
      <c r="AE52" s="134" t="s">
        <v>69</v>
      </c>
      <c r="AF52" s="276" t="s">
        <v>175</v>
      </c>
      <c r="AG52" s="134" t="s">
        <v>69</v>
      </c>
      <c r="AH52" s="121" t="s">
        <v>72</v>
      </c>
      <c r="AI52" s="239" t="s">
        <v>69</v>
      </c>
      <c r="AJ52" s="175" t="s">
        <v>108</v>
      </c>
    </row>
    <row r="53" spans="1:36">
      <c r="A53" s="5">
        <v>54</v>
      </c>
      <c r="B53" s="192" t="s">
        <v>104</v>
      </c>
      <c r="C53" s="192">
        <v>2</v>
      </c>
      <c r="D53" s="302">
        <v>2</v>
      </c>
      <c r="E53" s="312">
        <f t="shared" si="0"/>
        <v>0</v>
      </c>
      <c r="F53" s="205" t="s">
        <v>69</v>
      </c>
      <c r="G53" s="205" t="s">
        <v>69</v>
      </c>
      <c r="H53" s="175" t="s">
        <v>108</v>
      </c>
      <c r="I53" s="205" t="s">
        <v>69</v>
      </c>
      <c r="J53" s="205" t="s">
        <v>69</v>
      </c>
      <c r="K53" s="205" t="s">
        <v>69</v>
      </c>
      <c r="L53" s="205" t="s">
        <v>69</v>
      </c>
      <c r="M53" s="205" t="s">
        <v>69</v>
      </c>
      <c r="N53" s="273" t="s">
        <v>111</v>
      </c>
      <c r="O53" s="175" t="s">
        <v>108</v>
      </c>
      <c r="P53" s="168" t="s">
        <v>69</v>
      </c>
      <c r="Q53" s="168" t="s">
        <v>69</v>
      </c>
      <c r="R53" s="121" t="s">
        <v>72</v>
      </c>
      <c r="S53" s="121" t="s">
        <v>72</v>
      </c>
      <c r="T53" s="276" t="s">
        <v>111</v>
      </c>
      <c r="U53" s="134" t="s">
        <v>69</v>
      </c>
      <c r="V53" s="175" t="s">
        <v>108</v>
      </c>
      <c r="W53" s="134" t="s">
        <v>69</v>
      </c>
      <c r="X53" s="134" t="s">
        <v>69</v>
      </c>
      <c r="Y53" s="134" t="s">
        <v>69</v>
      </c>
      <c r="Z53" s="134" t="s">
        <v>69</v>
      </c>
      <c r="AA53" s="134" t="s">
        <v>69</v>
      </c>
      <c r="AB53" s="134" t="s">
        <v>69</v>
      </c>
      <c r="AC53" s="175" t="s">
        <v>108</v>
      </c>
      <c r="AD53" s="134" t="s">
        <v>69</v>
      </c>
      <c r="AE53" s="134" t="s">
        <v>69</v>
      </c>
      <c r="AF53" s="276" t="s">
        <v>175</v>
      </c>
      <c r="AG53" s="134" t="s">
        <v>69</v>
      </c>
      <c r="AH53" s="134" t="s">
        <v>69</v>
      </c>
      <c r="AI53" s="239" t="s">
        <v>69</v>
      </c>
      <c r="AJ53" s="175" t="s">
        <v>108</v>
      </c>
    </row>
    <row r="54" spans="1:36">
      <c r="A54" s="5">
        <v>55</v>
      </c>
      <c r="B54" s="192" t="s">
        <v>186</v>
      </c>
      <c r="C54" s="294">
        <v>17</v>
      </c>
      <c r="D54" s="303">
        <v>0</v>
      </c>
      <c r="E54" s="312">
        <f t="shared" si="0"/>
        <v>17</v>
      </c>
      <c r="F54" s="197" t="s">
        <v>72</v>
      </c>
      <c r="G54" s="197" t="s">
        <v>72</v>
      </c>
      <c r="H54" s="175" t="s">
        <v>108</v>
      </c>
      <c r="I54" s="197" t="s">
        <v>72</v>
      </c>
      <c r="J54" s="197" t="s">
        <v>72</v>
      </c>
      <c r="K54" s="197" t="s">
        <v>72</v>
      </c>
      <c r="L54" s="197" t="s">
        <v>72</v>
      </c>
      <c r="M54" s="197" t="s">
        <v>72</v>
      </c>
      <c r="N54" s="197" t="s">
        <v>72</v>
      </c>
      <c r="O54" s="175" t="s">
        <v>108</v>
      </c>
      <c r="P54" s="131" t="s">
        <v>72</v>
      </c>
      <c r="Q54" s="131" t="s">
        <v>72</v>
      </c>
      <c r="R54" s="131" t="s">
        <v>72</v>
      </c>
      <c r="S54" s="131" t="s">
        <v>72</v>
      </c>
      <c r="T54" s="131" t="s">
        <v>72</v>
      </c>
      <c r="U54" s="131" t="s">
        <v>72</v>
      </c>
      <c r="V54" s="174" t="s">
        <v>108</v>
      </c>
      <c r="W54" s="134" t="s">
        <v>69</v>
      </c>
      <c r="X54" s="134" t="s">
        <v>69</v>
      </c>
      <c r="Y54" s="134" t="s">
        <v>69</v>
      </c>
      <c r="Z54" s="134" t="s">
        <v>69</v>
      </c>
      <c r="AA54" s="134" t="s">
        <v>69</v>
      </c>
      <c r="AB54" s="134" t="s">
        <v>69</v>
      </c>
      <c r="AC54" s="174" t="s">
        <v>108</v>
      </c>
      <c r="AD54" s="134" t="s">
        <v>69</v>
      </c>
      <c r="AE54" s="134" t="s">
        <v>69</v>
      </c>
      <c r="AF54" s="276" t="s">
        <v>175</v>
      </c>
      <c r="AG54" s="134" t="s">
        <v>69</v>
      </c>
      <c r="AH54" s="134" t="s">
        <v>69</v>
      </c>
      <c r="AI54" s="134" t="s">
        <v>69</v>
      </c>
      <c r="AJ54" s="175" t="s">
        <v>108</v>
      </c>
    </row>
    <row r="55" spans="1:36">
      <c r="A55" s="5">
        <v>56</v>
      </c>
      <c r="B55" s="196" t="s">
        <v>187</v>
      </c>
      <c r="C55" s="295">
        <v>5</v>
      </c>
      <c r="D55" s="304">
        <v>0</v>
      </c>
      <c r="E55" s="312">
        <f t="shared" si="0"/>
        <v>5</v>
      </c>
      <c r="F55" s="121" t="s">
        <v>72</v>
      </c>
      <c r="G55" s="121" t="s">
        <v>72</v>
      </c>
      <c r="H55" s="174" t="s">
        <v>108</v>
      </c>
      <c r="I55" s="121" t="s">
        <v>72</v>
      </c>
      <c r="J55" s="121" t="s">
        <v>72</v>
      </c>
      <c r="K55" s="134" t="s">
        <v>69</v>
      </c>
      <c r="L55" s="134" t="s">
        <v>69</v>
      </c>
      <c r="M55" s="130" t="s">
        <v>92</v>
      </c>
      <c r="N55" s="273" t="s">
        <v>111</v>
      </c>
      <c r="O55" s="174" t="s">
        <v>108</v>
      </c>
      <c r="P55" s="168" t="s">
        <v>69</v>
      </c>
      <c r="Q55" s="168" t="s">
        <v>69</v>
      </c>
      <c r="R55" s="134" t="s">
        <v>69</v>
      </c>
      <c r="S55" s="134" t="s">
        <v>69</v>
      </c>
      <c r="T55" s="276" t="s">
        <v>111</v>
      </c>
      <c r="U55" s="134" t="s">
        <v>69</v>
      </c>
      <c r="V55" s="174" t="s">
        <v>108</v>
      </c>
      <c r="W55" s="134" t="s">
        <v>69</v>
      </c>
      <c r="X55" s="134" t="s">
        <v>69</v>
      </c>
      <c r="Y55" s="134" t="s">
        <v>69</v>
      </c>
      <c r="Z55" s="134" t="s">
        <v>69</v>
      </c>
      <c r="AA55" s="134" t="s">
        <v>69</v>
      </c>
      <c r="AB55" s="134" t="s">
        <v>69</v>
      </c>
      <c r="AC55" s="174" t="s">
        <v>108</v>
      </c>
      <c r="AD55" s="130" t="s">
        <v>92</v>
      </c>
      <c r="AE55" s="134" t="s">
        <v>69</v>
      </c>
      <c r="AF55" s="276" t="s">
        <v>175</v>
      </c>
      <c r="AG55" s="134" t="s">
        <v>69</v>
      </c>
      <c r="AH55" s="134" t="s">
        <v>69</v>
      </c>
      <c r="AI55" s="134" t="s">
        <v>69</v>
      </c>
      <c r="AJ55" s="175" t="s">
        <v>108</v>
      </c>
    </row>
    <row r="56" spans="1:36">
      <c r="A56" s="5">
        <v>57</v>
      </c>
      <c r="B56" s="196" t="s">
        <v>52</v>
      </c>
      <c r="C56" s="186">
        <v>0</v>
      </c>
      <c r="D56" s="298">
        <v>0</v>
      </c>
      <c r="E56" s="312">
        <f t="shared" si="0"/>
        <v>0</v>
      </c>
      <c r="F56" s="205" t="s">
        <v>69</v>
      </c>
      <c r="G56" s="205" t="s">
        <v>69</v>
      </c>
      <c r="H56" s="175" t="s">
        <v>108</v>
      </c>
      <c r="I56" s="205" t="s">
        <v>69</v>
      </c>
      <c r="J56" s="205" t="s">
        <v>69</v>
      </c>
      <c r="K56" s="205" t="s">
        <v>69</v>
      </c>
      <c r="L56" s="205" t="s">
        <v>69</v>
      </c>
      <c r="M56" s="205" t="s">
        <v>151</v>
      </c>
      <c r="N56" s="168" t="s">
        <v>69</v>
      </c>
      <c r="O56" s="175" t="s">
        <v>108</v>
      </c>
      <c r="P56" s="168" t="s">
        <v>69</v>
      </c>
      <c r="Q56" s="168" t="s">
        <v>69</v>
      </c>
      <c r="R56" s="134" t="s">
        <v>69</v>
      </c>
      <c r="S56" s="134" t="s">
        <v>69</v>
      </c>
      <c r="T56" s="276" t="s">
        <v>111</v>
      </c>
      <c r="U56" s="276" t="s">
        <v>111</v>
      </c>
      <c r="V56" s="177" t="s">
        <v>108</v>
      </c>
      <c r="W56" s="134" t="s">
        <v>69</v>
      </c>
      <c r="X56" s="134" t="s">
        <v>69</v>
      </c>
      <c r="Y56" s="134" t="s">
        <v>69</v>
      </c>
      <c r="Z56" s="134" t="s">
        <v>69</v>
      </c>
      <c r="AA56" s="134" t="s">
        <v>69</v>
      </c>
      <c r="AB56" s="134" t="s">
        <v>69</v>
      </c>
      <c r="AC56" s="175" t="s">
        <v>108</v>
      </c>
      <c r="AD56" s="134" t="s">
        <v>69</v>
      </c>
      <c r="AE56" s="134" t="s">
        <v>69</v>
      </c>
      <c r="AF56" s="134" t="s">
        <v>69</v>
      </c>
      <c r="AG56" s="134" t="s">
        <v>69</v>
      </c>
      <c r="AH56" s="134" t="s">
        <v>69</v>
      </c>
      <c r="AI56" s="134" t="s">
        <v>69</v>
      </c>
      <c r="AJ56" s="175" t="s">
        <v>108</v>
      </c>
    </row>
    <row r="57" spans="1:36">
      <c r="A57" s="5">
        <v>58</v>
      </c>
      <c r="B57" s="196" t="s">
        <v>53</v>
      </c>
      <c r="C57" s="186">
        <v>17</v>
      </c>
      <c r="D57" s="298">
        <v>11</v>
      </c>
      <c r="E57" s="312">
        <f t="shared" si="0"/>
        <v>6</v>
      </c>
      <c r="F57" s="204" t="s">
        <v>72</v>
      </c>
      <c r="G57" s="142" t="s">
        <v>72</v>
      </c>
      <c r="H57" s="175" t="s">
        <v>108</v>
      </c>
      <c r="I57" s="121" t="s">
        <v>72</v>
      </c>
      <c r="J57" s="121" t="s">
        <v>72</v>
      </c>
      <c r="K57" s="121" t="s">
        <v>72</v>
      </c>
      <c r="L57" s="121" t="s">
        <v>72</v>
      </c>
      <c r="M57" s="121" t="s">
        <v>72</v>
      </c>
      <c r="N57" s="275" t="s">
        <v>111</v>
      </c>
      <c r="O57" s="174" t="s">
        <v>108</v>
      </c>
      <c r="P57" s="189" t="s">
        <v>72</v>
      </c>
      <c r="Q57" s="189" t="s">
        <v>72</v>
      </c>
      <c r="R57" s="121" t="s">
        <v>72</v>
      </c>
      <c r="S57" s="121" t="s">
        <v>72</v>
      </c>
      <c r="T57" s="276" t="s">
        <v>111</v>
      </c>
      <c r="U57" s="121" t="s">
        <v>72</v>
      </c>
      <c r="V57" s="270" t="s">
        <v>108</v>
      </c>
      <c r="W57" s="134" t="s">
        <v>69</v>
      </c>
      <c r="X57" s="134" t="s">
        <v>69</v>
      </c>
      <c r="Y57" s="134" t="s">
        <v>69</v>
      </c>
      <c r="Z57" s="134" t="s">
        <v>69</v>
      </c>
      <c r="AA57" s="134" t="s">
        <v>69</v>
      </c>
      <c r="AB57" s="134" t="s">
        <v>69</v>
      </c>
      <c r="AC57" s="174" t="s">
        <v>108</v>
      </c>
      <c r="AD57" s="132" t="s">
        <v>94</v>
      </c>
      <c r="AE57" s="134" t="s">
        <v>69</v>
      </c>
      <c r="AF57" s="276" t="s">
        <v>175</v>
      </c>
      <c r="AG57" s="121" t="s">
        <v>72</v>
      </c>
      <c r="AH57" s="134" t="s">
        <v>69</v>
      </c>
      <c r="AI57" s="134" t="s">
        <v>69</v>
      </c>
      <c r="AJ57" s="174" t="s">
        <v>108</v>
      </c>
    </row>
    <row r="58" spans="1:36">
      <c r="A58" s="5">
        <v>59</v>
      </c>
      <c r="B58" s="196" t="s">
        <v>162</v>
      </c>
      <c r="C58" s="186">
        <v>2</v>
      </c>
      <c r="D58" s="298">
        <v>2</v>
      </c>
      <c r="E58" s="312">
        <f t="shared" si="0"/>
        <v>0</v>
      </c>
      <c r="F58" s="199" t="s">
        <v>69</v>
      </c>
      <c r="G58" s="220" t="s">
        <v>69</v>
      </c>
      <c r="H58" s="174" t="s">
        <v>108</v>
      </c>
      <c r="I58" s="672" t="s">
        <v>69</v>
      </c>
      <c r="J58" s="672" t="s">
        <v>69</v>
      </c>
      <c r="K58" s="672" t="s">
        <v>69</v>
      </c>
      <c r="L58" s="672" t="s">
        <v>69</v>
      </c>
      <c r="M58" s="672" t="s">
        <v>69</v>
      </c>
      <c r="N58" s="275" t="s">
        <v>111</v>
      </c>
      <c r="O58" s="175" t="s">
        <v>108</v>
      </c>
      <c r="P58" s="168" t="s">
        <v>69</v>
      </c>
      <c r="Q58" s="168" t="s">
        <v>69</v>
      </c>
      <c r="R58" s="283" t="s">
        <v>69</v>
      </c>
      <c r="S58" s="283" t="s">
        <v>69</v>
      </c>
      <c r="T58" s="276" t="s">
        <v>111</v>
      </c>
      <c r="U58" s="121" t="s">
        <v>72</v>
      </c>
      <c r="V58" s="175" t="s">
        <v>108</v>
      </c>
      <c r="W58" s="284" t="s">
        <v>72</v>
      </c>
      <c r="X58" s="134" t="s">
        <v>121</v>
      </c>
      <c r="Y58" s="134" t="s">
        <v>69</v>
      </c>
      <c r="Z58" s="134" t="s">
        <v>69</v>
      </c>
      <c r="AA58" s="134" t="s">
        <v>69</v>
      </c>
      <c r="AB58" s="134" t="s">
        <v>69</v>
      </c>
      <c r="AC58" s="175" t="s">
        <v>108</v>
      </c>
      <c r="AD58" s="240" t="s">
        <v>69</v>
      </c>
      <c r="AE58" s="139" t="s">
        <v>92</v>
      </c>
      <c r="AF58" s="276" t="s">
        <v>175</v>
      </c>
      <c r="AG58" s="168" t="s">
        <v>69</v>
      </c>
      <c r="AH58" s="168" t="s">
        <v>69</v>
      </c>
      <c r="AI58" s="168" t="s">
        <v>69</v>
      </c>
      <c r="AJ58" s="175" t="s">
        <v>108</v>
      </c>
    </row>
    <row r="59" spans="1:36">
      <c r="A59" s="5">
        <v>60</v>
      </c>
      <c r="B59" s="196" t="s">
        <v>55</v>
      </c>
      <c r="C59" s="186">
        <v>1</v>
      </c>
      <c r="D59" s="298">
        <v>1</v>
      </c>
      <c r="E59" s="312">
        <f t="shared" si="0"/>
        <v>0</v>
      </c>
      <c r="F59" s="199" t="s">
        <v>69</v>
      </c>
      <c r="G59" s="220" t="s">
        <v>69</v>
      </c>
      <c r="H59" s="175" t="s">
        <v>108</v>
      </c>
      <c r="I59" s="672" t="s">
        <v>69</v>
      </c>
      <c r="J59" s="672" t="s">
        <v>69</v>
      </c>
      <c r="K59" s="672" t="s">
        <v>69</v>
      </c>
      <c r="L59" s="672" t="s">
        <v>69</v>
      </c>
      <c r="M59" s="121" t="s">
        <v>72</v>
      </c>
      <c r="N59" s="275" t="s">
        <v>111</v>
      </c>
      <c r="O59" s="175" t="s">
        <v>108</v>
      </c>
      <c r="P59" s="168" t="s">
        <v>69</v>
      </c>
      <c r="Q59" s="168" t="s">
        <v>69</v>
      </c>
      <c r="R59" s="283" t="s">
        <v>69</v>
      </c>
      <c r="S59" s="283" t="s">
        <v>69</v>
      </c>
      <c r="T59" s="276" t="s">
        <v>111</v>
      </c>
      <c r="U59" s="168" t="s">
        <v>69</v>
      </c>
      <c r="V59" s="175" t="s">
        <v>108</v>
      </c>
      <c r="W59" s="168" t="s">
        <v>69</v>
      </c>
      <c r="X59" s="168" t="s">
        <v>69</v>
      </c>
      <c r="Y59" s="168" t="s">
        <v>69</v>
      </c>
      <c r="Z59" s="168" t="s">
        <v>69</v>
      </c>
      <c r="AA59" s="168" t="s">
        <v>69</v>
      </c>
      <c r="AB59" s="168" t="s">
        <v>69</v>
      </c>
      <c r="AC59" s="175" t="s">
        <v>108</v>
      </c>
      <c r="AD59" s="240" t="s">
        <v>69</v>
      </c>
      <c r="AE59" s="240" t="s">
        <v>69</v>
      </c>
      <c r="AF59" s="240" t="s">
        <v>69</v>
      </c>
      <c r="AG59" s="240" t="s">
        <v>69</v>
      </c>
      <c r="AH59" s="240" t="s">
        <v>69</v>
      </c>
      <c r="AI59" s="169"/>
      <c r="AJ59" s="175" t="s">
        <v>108</v>
      </c>
    </row>
    <row r="60" spans="1:36">
      <c r="A60" s="5">
        <v>61</v>
      </c>
      <c r="B60" s="196" t="s">
        <v>57</v>
      </c>
      <c r="C60" s="186">
        <v>4</v>
      </c>
      <c r="D60" s="298">
        <v>4</v>
      </c>
      <c r="E60" s="312">
        <f t="shared" si="0"/>
        <v>0</v>
      </c>
      <c r="F60" s="213" t="s">
        <v>72</v>
      </c>
      <c r="G60" s="213" t="s">
        <v>72</v>
      </c>
      <c r="H60" s="175" t="s">
        <v>108</v>
      </c>
      <c r="I60" s="672" t="s">
        <v>69</v>
      </c>
      <c r="J60" s="672" t="s">
        <v>69</v>
      </c>
      <c r="K60" s="144" t="s">
        <v>72</v>
      </c>
      <c r="L60" s="134" t="s">
        <v>69</v>
      </c>
      <c r="M60" s="132" t="s">
        <v>94</v>
      </c>
      <c r="N60" s="275" t="s">
        <v>111</v>
      </c>
      <c r="O60" s="174" t="s">
        <v>108</v>
      </c>
      <c r="P60" s="168" t="s">
        <v>69</v>
      </c>
      <c r="Q60" s="147" t="s">
        <v>92</v>
      </c>
      <c r="R60" s="283" t="s">
        <v>69</v>
      </c>
      <c r="S60" s="283" t="s">
        <v>69</v>
      </c>
      <c r="T60" s="276" t="s">
        <v>111</v>
      </c>
      <c r="U60" s="276" t="s">
        <v>111</v>
      </c>
      <c r="V60" s="174" t="s">
        <v>108</v>
      </c>
      <c r="W60" s="168" t="s">
        <v>69</v>
      </c>
      <c r="X60" s="168" t="s">
        <v>69</v>
      </c>
      <c r="Y60" s="168" t="s">
        <v>69</v>
      </c>
      <c r="Z60" s="134" t="s">
        <v>69</v>
      </c>
      <c r="AA60" s="134" t="s">
        <v>69</v>
      </c>
      <c r="AB60" s="134" t="s">
        <v>69</v>
      </c>
      <c r="AC60" s="174" t="s">
        <v>108</v>
      </c>
      <c r="AD60" s="168" t="s">
        <v>69</v>
      </c>
      <c r="AE60" s="168" t="s">
        <v>69</v>
      </c>
      <c r="AF60" s="197" t="s">
        <v>72</v>
      </c>
      <c r="AG60" s="134" t="s">
        <v>69</v>
      </c>
      <c r="AH60" s="134" t="s">
        <v>69</v>
      </c>
      <c r="AI60" s="134" t="s">
        <v>69</v>
      </c>
      <c r="AJ60" s="175" t="s">
        <v>108</v>
      </c>
    </row>
    <row r="61" spans="1:36">
      <c r="A61" s="5">
        <v>62</v>
      </c>
      <c r="B61" s="69" t="s">
        <v>188</v>
      </c>
      <c r="C61" s="133"/>
      <c r="D61" s="301"/>
      <c r="E61" s="312">
        <f t="shared" si="0"/>
        <v>0</v>
      </c>
      <c r="F61" s="252" t="s">
        <v>69</v>
      </c>
      <c r="G61" s="258" t="s">
        <v>69</v>
      </c>
      <c r="H61" s="175" t="s">
        <v>108</v>
      </c>
      <c r="I61" s="672" t="s">
        <v>69</v>
      </c>
      <c r="J61" s="672" t="s">
        <v>69</v>
      </c>
      <c r="K61" s="672" t="s">
        <v>69</v>
      </c>
      <c r="L61" s="121" t="s">
        <v>72</v>
      </c>
      <c r="M61" s="147" t="s">
        <v>92</v>
      </c>
      <c r="N61" s="275" t="s">
        <v>111</v>
      </c>
      <c r="O61" s="175" t="s">
        <v>108</v>
      </c>
      <c r="P61" s="121" t="s">
        <v>72</v>
      </c>
      <c r="Q61" s="121" t="s">
        <v>72</v>
      </c>
      <c r="R61" s="134" t="s">
        <v>69</v>
      </c>
      <c r="S61" s="121" t="s">
        <v>72</v>
      </c>
      <c r="T61" s="121" t="s">
        <v>72</v>
      </c>
      <c r="U61" s="121" t="s">
        <v>72</v>
      </c>
      <c r="V61" s="175" t="s">
        <v>108</v>
      </c>
      <c r="W61" s="121" t="s">
        <v>72</v>
      </c>
      <c r="X61" s="121" t="s">
        <v>72</v>
      </c>
      <c r="Y61" s="121" t="s">
        <v>72</v>
      </c>
      <c r="Z61" s="121" t="s">
        <v>72</v>
      </c>
      <c r="AA61" s="121" t="s">
        <v>76</v>
      </c>
      <c r="AB61" s="121" t="s">
        <v>76</v>
      </c>
      <c r="AC61" s="175" t="s">
        <v>108</v>
      </c>
      <c r="AD61" s="121" t="s">
        <v>76</v>
      </c>
      <c r="AE61" s="121" t="s">
        <v>76</v>
      </c>
      <c r="AF61" s="121" t="s">
        <v>76</v>
      </c>
      <c r="AG61" s="121" t="s">
        <v>76</v>
      </c>
      <c r="AH61" s="121" t="s">
        <v>76</v>
      </c>
      <c r="AI61" s="121" t="s">
        <v>76</v>
      </c>
      <c r="AJ61" s="175" t="s">
        <v>108</v>
      </c>
    </row>
    <row r="62" spans="1:36">
      <c r="A62" s="5">
        <v>63</v>
      </c>
      <c r="B62" s="196" t="s">
        <v>80</v>
      </c>
      <c r="C62" s="70">
        <v>2.5</v>
      </c>
      <c r="D62" s="299">
        <v>1</v>
      </c>
      <c r="E62" s="312">
        <f t="shared" si="0"/>
        <v>1.5</v>
      </c>
      <c r="F62" s="252" t="s">
        <v>69</v>
      </c>
      <c r="G62" s="121" t="s">
        <v>72</v>
      </c>
      <c r="H62" s="175" t="s">
        <v>108</v>
      </c>
      <c r="I62" s="672" t="s">
        <v>69</v>
      </c>
      <c r="J62" s="672" t="s">
        <v>69</v>
      </c>
      <c r="K62" s="672" t="s">
        <v>69</v>
      </c>
      <c r="L62" s="672" t="s">
        <v>69</v>
      </c>
      <c r="M62" s="672" t="s">
        <v>69</v>
      </c>
      <c r="N62" s="275" t="s">
        <v>111</v>
      </c>
      <c r="O62" s="175" t="s">
        <v>108</v>
      </c>
      <c r="P62" s="121" t="s">
        <v>72</v>
      </c>
      <c r="Q62" s="134" t="s">
        <v>69</v>
      </c>
      <c r="R62" s="134" t="s">
        <v>69</v>
      </c>
      <c r="S62" s="134" t="s">
        <v>69</v>
      </c>
      <c r="T62" s="280" t="s">
        <v>111</v>
      </c>
      <c r="U62" s="280" t="s">
        <v>111</v>
      </c>
      <c r="V62" s="175" t="s">
        <v>108</v>
      </c>
      <c r="W62" s="168" t="s">
        <v>69</v>
      </c>
      <c r="X62" s="147" t="s">
        <v>92</v>
      </c>
      <c r="Y62" s="283" t="s">
        <v>69</v>
      </c>
      <c r="Z62" s="283" t="s">
        <v>69</v>
      </c>
      <c r="AA62" s="283" t="s">
        <v>69</v>
      </c>
      <c r="AB62" s="283" t="s">
        <v>69</v>
      </c>
      <c r="AC62" s="175" t="s">
        <v>108</v>
      </c>
      <c r="AD62" s="134" t="s">
        <v>69</v>
      </c>
      <c r="AE62" s="132" t="s">
        <v>94</v>
      </c>
      <c r="AF62" s="205" t="s">
        <v>69</v>
      </c>
      <c r="AG62" s="205" t="s">
        <v>69</v>
      </c>
      <c r="AH62" s="205" t="s">
        <v>69</v>
      </c>
      <c r="AI62" s="205" t="s">
        <v>69</v>
      </c>
      <c r="AJ62" s="175" t="s">
        <v>108</v>
      </c>
    </row>
    <row r="63" spans="1:36">
      <c r="A63" s="5">
        <v>64</v>
      </c>
      <c r="B63" s="196" t="s">
        <v>58</v>
      </c>
      <c r="C63" s="186">
        <v>0</v>
      </c>
      <c r="D63" s="298">
        <v>0</v>
      </c>
      <c r="E63" s="312">
        <f t="shared" si="0"/>
        <v>0</v>
      </c>
      <c r="F63" s="253" t="s">
        <v>92</v>
      </c>
      <c r="G63" s="205" t="s">
        <v>69</v>
      </c>
      <c r="H63" s="174" t="s">
        <v>108</v>
      </c>
      <c r="I63" s="672" t="s">
        <v>69</v>
      </c>
      <c r="J63" s="672" t="s">
        <v>69</v>
      </c>
      <c r="K63" s="672" t="s">
        <v>69</v>
      </c>
      <c r="L63" s="672" t="s">
        <v>69</v>
      </c>
      <c r="M63" s="672" t="s">
        <v>69</v>
      </c>
      <c r="N63" s="275" t="s">
        <v>111</v>
      </c>
      <c r="O63" s="174" t="s">
        <v>108</v>
      </c>
      <c r="P63" s="134" t="s">
        <v>69</v>
      </c>
      <c r="Q63" s="147" t="s">
        <v>92</v>
      </c>
      <c r="R63" s="134" t="s">
        <v>69</v>
      </c>
      <c r="S63" s="134" t="s">
        <v>69</v>
      </c>
      <c r="T63" s="280" t="s">
        <v>111</v>
      </c>
      <c r="U63" s="134" t="s">
        <v>69</v>
      </c>
      <c r="V63" s="174" t="s">
        <v>108</v>
      </c>
      <c r="W63" s="672" t="s">
        <v>69</v>
      </c>
      <c r="X63" s="672" t="s">
        <v>69</v>
      </c>
      <c r="Y63" s="134" t="s">
        <v>69</v>
      </c>
      <c r="Z63" s="134" t="s">
        <v>69</v>
      </c>
      <c r="AA63" s="134" t="s">
        <v>69</v>
      </c>
      <c r="AB63" s="134" t="s">
        <v>69</v>
      </c>
      <c r="AC63" s="174" t="s">
        <v>108</v>
      </c>
      <c r="AD63" s="134" t="s">
        <v>69</v>
      </c>
      <c r="AE63" s="134" t="s">
        <v>69</v>
      </c>
      <c r="AF63" s="276" t="s">
        <v>175</v>
      </c>
      <c r="AG63" s="205" t="s">
        <v>69</v>
      </c>
      <c r="AH63" s="205" t="s">
        <v>69</v>
      </c>
      <c r="AI63" s="205" t="s">
        <v>69</v>
      </c>
      <c r="AJ63" s="174" t="s">
        <v>108</v>
      </c>
    </row>
    <row r="64" spans="1:36">
      <c r="A64" s="5">
        <v>65</v>
      </c>
      <c r="B64" s="196" t="s">
        <v>189</v>
      </c>
      <c r="C64" s="186">
        <v>13</v>
      </c>
      <c r="D64" s="298">
        <v>0</v>
      </c>
      <c r="E64" s="312">
        <f t="shared" si="0"/>
        <v>13</v>
      </c>
      <c r="F64" s="213" t="s">
        <v>72</v>
      </c>
      <c r="G64" s="213" t="s">
        <v>72</v>
      </c>
      <c r="H64" s="175" t="s">
        <v>108</v>
      </c>
      <c r="I64" s="121" t="s">
        <v>72</v>
      </c>
      <c r="J64" s="121" t="s">
        <v>72</v>
      </c>
      <c r="K64" s="121" t="s">
        <v>72</v>
      </c>
      <c r="L64" s="121" t="s">
        <v>72</v>
      </c>
      <c r="M64" s="121" t="s">
        <v>72</v>
      </c>
      <c r="N64" s="121" t="s">
        <v>72</v>
      </c>
      <c r="O64" s="175" t="s">
        <v>108</v>
      </c>
      <c r="P64" s="121" t="s">
        <v>72</v>
      </c>
      <c r="Q64" s="134" t="s">
        <v>69</v>
      </c>
      <c r="R64" s="134" t="s">
        <v>69</v>
      </c>
      <c r="S64" s="134" t="s">
        <v>69</v>
      </c>
      <c r="T64" s="276" t="s">
        <v>111</v>
      </c>
      <c r="U64" s="134" t="s">
        <v>69</v>
      </c>
      <c r="V64" s="175" t="s">
        <v>108</v>
      </c>
      <c r="W64" s="134" t="s">
        <v>69</v>
      </c>
      <c r="X64" s="121" t="s">
        <v>72</v>
      </c>
      <c r="Y64" s="672" t="s">
        <v>69</v>
      </c>
      <c r="Z64" s="672" t="s">
        <v>69</v>
      </c>
      <c r="AA64" s="672" t="s">
        <v>69</v>
      </c>
      <c r="AB64" s="672" t="s">
        <v>69</v>
      </c>
      <c r="AC64" s="175" t="s">
        <v>108</v>
      </c>
      <c r="AD64" s="134" t="s">
        <v>69</v>
      </c>
      <c r="AE64" s="134" t="s">
        <v>69</v>
      </c>
      <c r="AF64" s="121" t="s">
        <v>72</v>
      </c>
      <c r="AG64" s="287" t="s">
        <v>92</v>
      </c>
      <c r="AH64" s="239" t="s">
        <v>69</v>
      </c>
      <c r="AI64" s="159" t="s">
        <v>92</v>
      </c>
      <c r="AJ64" s="175" t="s">
        <v>108</v>
      </c>
    </row>
    <row r="65" spans="1:36">
      <c r="A65" s="5">
        <v>66</v>
      </c>
      <c r="B65" s="70" t="s">
        <v>60</v>
      </c>
      <c r="C65" s="186">
        <v>1</v>
      </c>
      <c r="D65" s="298">
        <v>1</v>
      </c>
      <c r="E65" s="312">
        <f t="shared" si="0"/>
        <v>0</v>
      </c>
      <c r="F65" s="226" t="s">
        <v>69</v>
      </c>
      <c r="G65" s="226" t="s">
        <v>69</v>
      </c>
      <c r="H65" s="175" t="s">
        <v>108</v>
      </c>
      <c r="I65" s="672" t="s">
        <v>69</v>
      </c>
      <c r="J65" s="672" t="s">
        <v>69</v>
      </c>
      <c r="K65" s="672" t="s">
        <v>69</v>
      </c>
      <c r="L65" s="672" t="s">
        <v>69</v>
      </c>
      <c r="M65" s="121" t="s">
        <v>72</v>
      </c>
      <c r="N65" s="241" t="s">
        <v>111</v>
      </c>
      <c r="O65" s="175" t="s">
        <v>108</v>
      </c>
      <c r="P65" s="134" t="s">
        <v>69</v>
      </c>
      <c r="Q65" s="134" t="s">
        <v>69</v>
      </c>
      <c r="R65" s="134" t="s">
        <v>69</v>
      </c>
      <c r="S65" s="134" t="s">
        <v>69</v>
      </c>
      <c r="T65" s="276" t="s">
        <v>111</v>
      </c>
      <c r="U65" s="130" t="s">
        <v>92</v>
      </c>
      <c r="V65" s="175" t="s">
        <v>108</v>
      </c>
      <c r="W65" s="134" t="s">
        <v>69</v>
      </c>
      <c r="X65" s="168" t="s">
        <v>69</v>
      </c>
      <c r="Y65" s="168" t="s">
        <v>69</v>
      </c>
      <c r="Z65" s="168" t="s">
        <v>69</v>
      </c>
      <c r="AA65" s="168" t="s">
        <v>69</v>
      </c>
      <c r="AB65" s="168" t="s">
        <v>69</v>
      </c>
      <c r="AC65" s="175" t="s">
        <v>108</v>
      </c>
      <c r="AD65" s="134" t="s">
        <v>69</v>
      </c>
      <c r="AE65" s="134" t="s">
        <v>69</v>
      </c>
      <c r="AF65" s="286" t="s">
        <v>175</v>
      </c>
      <c r="AG65" s="134" t="s">
        <v>69</v>
      </c>
      <c r="AH65" s="134" t="s">
        <v>69</v>
      </c>
      <c r="AI65" s="134" t="s">
        <v>69</v>
      </c>
      <c r="AJ65" s="175" t="s">
        <v>108</v>
      </c>
    </row>
    <row r="66" spans="1:36">
      <c r="A66" s="5">
        <v>67</v>
      </c>
      <c r="B66" s="315" t="s">
        <v>190</v>
      </c>
      <c r="C66" s="186">
        <v>3</v>
      </c>
      <c r="D66" s="298">
        <v>1</v>
      </c>
      <c r="E66" s="312">
        <f t="shared" si="0"/>
        <v>2</v>
      </c>
      <c r="F66" s="213" t="s">
        <v>72</v>
      </c>
      <c r="G66" s="213" t="s">
        <v>72</v>
      </c>
      <c r="H66" s="174" t="s">
        <v>108</v>
      </c>
      <c r="I66" s="672" t="s">
        <v>69</v>
      </c>
      <c r="J66" s="672" t="s">
        <v>69</v>
      </c>
      <c r="K66" s="672" t="s">
        <v>69</v>
      </c>
      <c r="L66" s="672" t="s">
        <v>69</v>
      </c>
      <c r="M66" s="130" t="s">
        <v>92</v>
      </c>
      <c r="N66" s="273" t="s">
        <v>111</v>
      </c>
      <c r="O66" s="175" t="s">
        <v>108</v>
      </c>
      <c r="P66" s="134" t="s">
        <v>69</v>
      </c>
      <c r="Q66" s="134" t="s">
        <v>69</v>
      </c>
      <c r="R66" s="134" t="s">
        <v>69</v>
      </c>
      <c r="S66" s="134" t="s">
        <v>69</v>
      </c>
      <c r="T66" s="276" t="s">
        <v>111</v>
      </c>
      <c r="U66" s="168" t="s">
        <v>69</v>
      </c>
      <c r="V66" s="175" t="s">
        <v>108</v>
      </c>
      <c r="W66" s="121" t="s">
        <v>72</v>
      </c>
      <c r="X66" s="168" t="s">
        <v>69</v>
      </c>
      <c r="Y66" s="168" t="s">
        <v>69</v>
      </c>
      <c r="Z66" s="168" t="s">
        <v>69</v>
      </c>
      <c r="AA66" s="168" t="s">
        <v>69</v>
      </c>
      <c r="AB66" s="168" t="s">
        <v>69</v>
      </c>
      <c r="AC66" s="175" t="s">
        <v>108</v>
      </c>
      <c r="AD66" s="134" t="s">
        <v>69</v>
      </c>
      <c r="AE66" s="134" t="s">
        <v>69</v>
      </c>
      <c r="AF66" s="286" t="s">
        <v>175</v>
      </c>
      <c r="AG66" s="134" t="s">
        <v>69</v>
      </c>
      <c r="AH66" s="134" t="s">
        <v>178</v>
      </c>
      <c r="AI66" s="239" t="s">
        <v>69</v>
      </c>
      <c r="AJ66" s="175" t="s">
        <v>108</v>
      </c>
    </row>
    <row r="67" spans="1:36">
      <c r="A67" s="5">
        <v>68</v>
      </c>
      <c r="B67" s="70" t="s">
        <v>106</v>
      </c>
      <c r="C67" s="186">
        <v>2</v>
      </c>
      <c r="D67" s="298">
        <v>1</v>
      </c>
      <c r="E67" s="312">
        <f t="shared" ref="E67:E70" si="1">C67-D67</f>
        <v>1</v>
      </c>
      <c r="F67" s="213" t="s">
        <v>72</v>
      </c>
      <c r="G67" s="213" t="s">
        <v>72</v>
      </c>
      <c r="H67" s="175" t="s">
        <v>108</v>
      </c>
      <c r="I67" s="672" t="s">
        <v>69</v>
      </c>
      <c r="J67" s="672" t="s">
        <v>69</v>
      </c>
      <c r="K67" s="672" t="s">
        <v>69</v>
      </c>
      <c r="L67" s="672" t="s">
        <v>69</v>
      </c>
      <c r="M67" s="672" t="s">
        <v>69</v>
      </c>
      <c r="N67" s="273" t="s">
        <v>111</v>
      </c>
      <c r="O67" s="175" t="s">
        <v>108</v>
      </c>
      <c r="P67" s="134" t="s">
        <v>69</v>
      </c>
      <c r="Q67" s="134" t="s">
        <v>69</v>
      </c>
      <c r="R67" s="134" t="s">
        <v>69</v>
      </c>
      <c r="S67" s="134" t="s">
        <v>69</v>
      </c>
      <c r="T67" s="276" t="s">
        <v>111</v>
      </c>
      <c r="U67" s="168" t="s">
        <v>69</v>
      </c>
      <c r="V67" s="175" t="s">
        <v>108</v>
      </c>
      <c r="W67" s="168" t="s">
        <v>69</v>
      </c>
      <c r="X67" s="168" t="s">
        <v>69</v>
      </c>
      <c r="Y67" s="168" t="s">
        <v>69</v>
      </c>
      <c r="Z67" s="168" t="s">
        <v>69</v>
      </c>
      <c r="AA67" s="168" t="s">
        <v>69</v>
      </c>
      <c r="AB67" s="168" t="s">
        <v>69</v>
      </c>
      <c r="AC67" s="175" t="s">
        <v>108</v>
      </c>
      <c r="AD67" s="134" t="s">
        <v>69</v>
      </c>
      <c r="AE67" s="134" t="s">
        <v>69</v>
      </c>
      <c r="AF67" s="134" t="s">
        <v>69</v>
      </c>
      <c r="AG67" s="134" t="s">
        <v>69</v>
      </c>
      <c r="AH67" s="134" t="s">
        <v>69</v>
      </c>
      <c r="AI67" s="134" t="s">
        <v>69</v>
      </c>
      <c r="AJ67" s="175" t="s">
        <v>108</v>
      </c>
    </row>
    <row r="68" spans="1:36">
      <c r="A68" s="5">
        <v>69</v>
      </c>
      <c r="B68" s="196" t="s">
        <v>61</v>
      </c>
      <c r="C68" s="186">
        <v>2</v>
      </c>
      <c r="D68" s="298">
        <v>2</v>
      </c>
      <c r="E68" s="312">
        <f t="shared" si="1"/>
        <v>0</v>
      </c>
      <c r="F68" s="251" t="s">
        <v>92</v>
      </c>
      <c r="G68" s="234" t="s">
        <v>69</v>
      </c>
      <c r="H68" s="175" t="s">
        <v>108</v>
      </c>
      <c r="I68" s="672" t="s">
        <v>69</v>
      </c>
      <c r="J68" s="672" t="s">
        <v>69</v>
      </c>
      <c r="K68" s="134" t="s">
        <v>69</v>
      </c>
      <c r="L68" s="134" t="s">
        <v>69</v>
      </c>
      <c r="M68" s="134" t="s">
        <v>69</v>
      </c>
      <c r="N68" s="273" t="s">
        <v>111</v>
      </c>
      <c r="O68" s="175" t="s">
        <v>108</v>
      </c>
      <c r="P68" s="134" t="s">
        <v>69</v>
      </c>
      <c r="Q68" s="134" t="s">
        <v>69</v>
      </c>
      <c r="R68" s="134" t="s">
        <v>69</v>
      </c>
      <c r="S68" s="134" t="s">
        <v>69</v>
      </c>
      <c r="T68" s="276" t="s">
        <v>111</v>
      </c>
      <c r="U68" s="168" t="s">
        <v>69</v>
      </c>
      <c r="V68" s="175" t="s">
        <v>108</v>
      </c>
      <c r="W68" s="168" t="s">
        <v>69</v>
      </c>
      <c r="X68" s="121" t="s">
        <v>72</v>
      </c>
      <c r="Y68" s="197" t="s">
        <v>72</v>
      </c>
      <c r="Z68" s="168" t="s">
        <v>69</v>
      </c>
      <c r="AA68" s="168" t="s">
        <v>69</v>
      </c>
      <c r="AB68" s="147" t="s">
        <v>92</v>
      </c>
      <c r="AC68" s="175" t="s">
        <v>108</v>
      </c>
      <c r="AD68" s="168" t="s">
        <v>69</v>
      </c>
      <c r="AE68" s="168" t="s">
        <v>69</v>
      </c>
      <c r="AF68" s="286" t="s">
        <v>175</v>
      </c>
      <c r="AG68" s="168" t="s">
        <v>69</v>
      </c>
      <c r="AH68" s="168" t="s">
        <v>69</v>
      </c>
      <c r="AI68" s="168" t="s">
        <v>69</v>
      </c>
      <c r="AJ68" s="175" t="s">
        <v>108</v>
      </c>
    </row>
    <row r="69" spans="1:36">
      <c r="A69" s="5">
        <v>70</v>
      </c>
      <c r="B69" s="196" t="s">
        <v>62</v>
      </c>
      <c r="C69" s="186">
        <v>5</v>
      </c>
      <c r="D69" s="298">
        <v>5</v>
      </c>
      <c r="E69" s="312">
        <f t="shared" si="1"/>
        <v>0</v>
      </c>
      <c r="F69" s="134" t="s">
        <v>69</v>
      </c>
      <c r="G69" s="168" t="s">
        <v>69</v>
      </c>
      <c r="H69" s="175" t="s">
        <v>108</v>
      </c>
      <c r="I69" s="672" t="s">
        <v>69</v>
      </c>
      <c r="J69" s="672" t="s">
        <v>69</v>
      </c>
      <c r="K69" s="672" t="s">
        <v>69</v>
      </c>
      <c r="L69" s="672" t="s">
        <v>69</v>
      </c>
      <c r="M69" s="672" t="s">
        <v>69</v>
      </c>
      <c r="N69" s="273" t="s">
        <v>111</v>
      </c>
      <c r="O69" s="174" t="s">
        <v>108</v>
      </c>
      <c r="P69" s="134" t="s">
        <v>69</v>
      </c>
      <c r="Q69" s="147" t="s">
        <v>92</v>
      </c>
      <c r="R69" s="134" t="s">
        <v>69</v>
      </c>
      <c r="S69" s="134" t="s">
        <v>69</v>
      </c>
      <c r="T69" s="276" t="s">
        <v>111</v>
      </c>
      <c r="U69" s="121" t="s">
        <v>72</v>
      </c>
      <c r="V69" s="174" t="s">
        <v>108</v>
      </c>
      <c r="W69" s="121" t="s">
        <v>72</v>
      </c>
      <c r="X69" s="134" t="s">
        <v>121</v>
      </c>
      <c r="Y69" s="134" t="s">
        <v>69</v>
      </c>
      <c r="Z69" s="134" t="s">
        <v>69</v>
      </c>
      <c r="AA69" s="134" t="s">
        <v>69</v>
      </c>
      <c r="AB69" s="121" t="s">
        <v>72</v>
      </c>
      <c r="AC69" s="174" t="s">
        <v>108</v>
      </c>
      <c r="AD69" s="134" t="s">
        <v>69</v>
      </c>
      <c r="AE69" s="130" t="s">
        <v>92</v>
      </c>
      <c r="AF69" s="276" t="s">
        <v>175</v>
      </c>
      <c r="AG69" s="121" t="s">
        <v>72</v>
      </c>
      <c r="AH69" s="121" t="s">
        <v>72</v>
      </c>
      <c r="AI69" s="239" t="s">
        <v>69</v>
      </c>
      <c r="AJ69" s="174" t="s">
        <v>108</v>
      </c>
    </row>
    <row r="70" spans="1:36">
      <c r="A70" s="5">
        <v>71</v>
      </c>
      <c r="B70" s="196" t="s">
        <v>171</v>
      </c>
      <c r="C70" s="186">
        <v>0</v>
      </c>
      <c r="D70" s="298">
        <v>0</v>
      </c>
      <c r="E70" s="312">
        <f t="shared" si="1"/>
        <v>0</v>
      </c>
      <c r="F70" s="205" t="s">
        <v>69</v>
      </c>
      <c r="G70" s="205" t="s">
        <v>69</v>
      </c>
      <c r="H70" s="175" t="s">
        <v>108</v>
      </c>
      <c r="I70" s="134" t="s">
        <v>69</v>
      </c>
      <c r="J70" s="134" t="s">
        <v>69</v>
      </c>
      <c r="K70" s="134" t="s">
        <v>69</v>
      </c>
      <c r="L70" s="134" t="s">
        <v>69</v>
      </c>
      <c r="M70" s="134" t="s">
        <v>69</v>
      </c>
      <c r="N70" s="274" t="s">
        <v>111</v>
      </c>
      <c r="O70" s="175" t="s">
        <v>108</v>
      </c>
      <c r="P70" s="134" t="s">
        <v>69</v>
      </c>
      <c r="Q70" s="134" t="s">
        <v>69</v>
      </c>
      <c r="R70" s="134" t="s">
        <v>69</v>
      </c>
      <c r="S70" s="134" t="s">
        <v>69</v>
      </c>
      <c r="T70" s="280" t="s">
        <v>111</v>
      </c>
      <c r="U70" s="168" t="s">
        <v>69</v>
      </c>
      <c r="V70" s="175" t="s">
        <v>108</v>
      </c>
      <c r="W70" s="168" t="s">
        <v>69</v>
      </c>
      <c r="X70" s="168" t="s">
        <v>69</v>
      </c>
      <c r="Y70" s="168" t="s">
        <v>69</v>
      </c>
      <c r="Z70" s="168" t="s">
        <v>69</v>
      </c>
      <c r="AA70" s="168" t="s">
        <v>69</v>
      </c>
      <c r="AB70" s="168" t="s">
        <v>69</v>
      </c>
      <c r="AC70" s="175" t="s">
        <v>108</v>
      </c>
      <c r="AD70" s="168" t="s">
        <v>69</v>
      </c>
      <c r="AE70" s="168" t="s">
        <v>69</v>
      </c>
      <c r="AF70" s="276" t="s">
        <v>175</v>
      </c>
      <c r="AG70" s="170" t="s">
        <v>69</v>
      </c>
      <c r="AH70" s="170" t="s">
        <v>69</v>
      </c>
      <c r="AI70" s="170" t="s">
        <v>69</v>
      </c>
      <c r="AJ70" s="175" t="s">
        <v>108</v>
      </c>
    </row>
    <row r="71" spans="1:36">
      <c r="A71" s="5"/>
      <c r="B71" s="196"/>
      <c r="C71" s="70"/>
      <c r="D71" s="299"/>
      <c r="E71" s="313"/>
      <c r="F71" s="203"/>
      <c r="G71" s="206"/>
      <c r="H71" s="168"/>
      <c r="I71" s="168"/>
      <c r="J71" s="168"/>
      <c r="K71" s="168"/>
      <c r="L71" s="168"/>
      <c r="M71" s="174"/>
      <c r="N71" s="168"/>
      <c r="O71" s="121"/>
      <c r="P71" s="134"/>
      <c r="Q71" s="134"/>
      <c r="R71" s="134"/>
      <c r="S71" s="134"/>
      <c r="T71" s="175"/>
      <c r="U71" s="168"/>
      <c r="V71" s="168"/>
      <c r="W71" s="168"/>
      <c r="X71" s="168"/>
      <c r="Y71" s="168"/>
      <c r="Z71" s="168"/>
      <c r="AA71" s="174"/>
      <c r="AB71" s="168"/>
      <c r="AC71" s="168"/>
      <c r="AD71" s="168"/>
      <c r="AE71" s="168"/>
      <c r="AF71" s="168"/>
      <c r="AG71" s="168"/>
      <c r="AH71" s="177"/>
      <c r="AI71" s="169"/>
      <c r="AJ71" s="7"/>
    </row>
    <row r="72" spans="1:36">
      <c r="A72" s="5"/>
      <c r="B72" s="69"/>
      <c r="C72" s="133"/>
      <c r="D72" s="301"/>
      <c r="E72" s="313"/>
      <c r="F72" s="193"/>
      <c r="G72" s="121"/>
      <c r="H72" s="121"/>
      <c r="I72" s="121"/>
      <c r="J72" s="121"/>
      <c r="K72" s="121"/>
      <c r="L72" s="121"/>
      <c r="M72" s="175"/>
      <c r="N72" s="121"/>
      <c r="O72" s="121"/>
      <c r="P72" s="121"/>
      <c r="Q72" s="121"/>
      <c r="R72" s="121"/>
      <c r="S72" s="121"/>
      <c r="T72" s="175"/>
      <c r="U72" s="121"/>
      <c r="V72" s="121"/>
      <c r="W72" s="121"/>
      <c r="X72" s="121"/>
      <c r="Y72" s="121"/>
      <c r="Z72" s="121"/>
      <c r="AA72" s="175"/>
      <c r="AB72" s="121"/>
      <c r="AC72" s="121"/>
      <c r="AD72" s="131"/>
      <c r="AE72" s="131"/>
      <c r="AF72" s="131"/>
      <c r="AG72" s="131"/>
      <c r="AH72" s="177"/>
      <c r="AI72" s="153"/>
      <c r="AJ72" s="7"/>
    </row>
    <row r="73" spans="1:36">
      <c r="A73" s="5"/>
      <c r="B73" s="133"/>
      <c r="C73" s="133"/>
      <c r="D73" s="301"/>
      <c r="E73" s="313"/>
      <c r="F73" s="194"/>
      <c r="G73" s="131"/>
      <c r="H73" s="131"/>
      <c r="I73" s="131"/>
      <c r="J73" s="131"/>
      <c r="K73" s="131"/>
      <c r="L73" s="131"/>
      <c r="M73" s="175"/>
      <c r="N73" s="131"/>
      <c r="O73" s="131"/>
      <c r="P73" s="131"/>
      <c r="Q73" s="131"/>
      <c r="R73" s="131"/>
      <c r="S73" s="131"/>
      <c r="T73" s="175"/>
      <c r="U73" s="168"/>
      <c r="V73" s="168"/>
      <c r="W73" s="168"/>
      <c r="X73" s="168"/>
      <c r="Y73" s="168"/>
      <c r="Z73" s="168"/>
      <c r="AA73" s="175"/>
      <c r="AB73" s="132"/>
      <c r="AC73" s="121"/>
      <c r="AD73" s="121"/>
      <c r="AE73" s="121"/>
      <c r="AF73" s="121"/>
      <c r="AG73" s="121"/>
      <c r="AH73" s="177"/>
      <c r="AI73" s="153"/>
      <c r="AJ73" s="7"/>
    </row>
    <row r="74" spans="1:36">
      <c r="B74" s="155" t="s">
        <v>125</v>
      </c>
      <c r="C74" s="155"/>
      <c r="D74" s="305"/>
    </row>
    <row r="75" spans="1:36">
      <c r="B75" s="155" t="s">
        <v>126</v>
      </c>
      <c r="C75" s="155"/>
      <c r="D75" s="305"/>
    </row>
    <row r="76" spans="1:36">
      <c r="B76" s="42" t="s">
        <v>127</v>
      </c>
      <c r="C76" s="42"/>
      <c r="D76" s="306"/>
    </row>
    <row r="77" spans="1:36">
      <c r="B77" s="42" t="s">
        <v>128</v>
      </c>
      <c r="C77" s="42"/>
      <c r="D77" s="306"/>
    </row>
    <row r="78" spans="1:36">
      <c r="B78" s="42" t="s">
        <v>129</v>
      </c>
      <c r="C78" s="42"/>
      <c r="D78" s="306"/>
    </row>
    <row r="79" spans="1:36">
      <c r="B79" s="42" t="s">
        <v>130</v>
      </c>
      <c r="C79" s="42"/>
      <c r="D79" s="306"/>
    </row>
    <row r="80" spans="1:36">
      <c r="B80" s="42" t="s">
        <v>131</v>
      </c>
      <c r="C80" s="42"/>
      <c r="D80" s="306"/>
    </row>
    <row r="81" spans="2:4">
      <c r="B81" s="42" t="s">
        <v>132</v>
      </c>
      <c r="C81" s="42"/>
      <c r="D81" s="306"/>
    </row>
    <row r="82" spans="2:4" ht="51.75" customHeight="1">
      <c r="B82" s="290" t="s">
        <v>191</v>
      </c>
      <c r="C82" s="296"/>
      <c r="D82" s="307"/>
    </row>
  </sheetData>
  <autoFilter ref="E1:E82" xr:uid="{187D8802-18D1-43A4-857C-308C84456071}"/>
  <sortState xmlns:xlrd2="http://schemas.microsoft.com/office/spreadsheetml/2017/richdata2" ref="A2:AJ70">
    <sortCondition ref="B2:B70"/>
  </sortState>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1ACA-5830-45AB-9CEC-0FDB09A50761}">
  <dimension ref="A1:AJ85"/>
  <sheetViews>
    <sheetView workbookViewId="0">
      <pane xSplit="2" topLeftCell="C1" activePane="topRight" state="frozen"/>
      <selection pane="topRight" activeCell="B20" sqref="B20"/>
    </sheetView>
  </sheetViews>
  <sheetFormatPr defaultRowHeight="14.25"/>
  <cols>
    <col min="2" max="2" width="32.265625" bestFit="1" customWidth="1"/>
    <col min="11" max="11" width="10.265625" bestFit="1" customWidth="1"/>
  </cols>
  <sheetData>
    <row r="1" spans="1:36" ht="18">
      <c r="A1" s="29" t="s">
        <v>64</v>
      </c>
      <c r="B1" s="29" t="s">
        <v>65</v>
      </c>
      <c r="C1" s="336" t="s">
        <v>68</v>
      </c>
      <c r="D1" s="336" t="s">
        <v>66</v>
      </c>
      <c r="E1" s="336" t="s">
        <v>67</v>
      </c>
      <c r="F1" s="165">
        <v>1</v>
      </c>
      <c r="G1" s="165">
        <v>2</v>
      </c>
      <c r="H1" s="165">
        <v>3</v>
      </c>
      <c r="I1" s="165">
        <v>4</v>
      </c>
      <c r="J1" s="165">
        <v>5</v>
      </c>
      <c r="K1" s="165">
        <v>6</v>
      </c>
      <c r="L1" s="165">
        <v>7</v>
      </c>
      <c r="M1" s="122">
        <v>8</v>
      </c>
      <c r="N1" s="165">
        <v>9</v>
      </c>
      <c r="O1" s="165">
        <v>10</v>
      </c>
      <c r="P1" s="165">
        <v>11</v>
      </c>
      <c r="Q1" s="165">
        <v>12</v>
      </c>
      <c r="R1" s="165">
        <v>13</v>
      </c>
      <c r="S1" s="165">
        <v>14</v>
      </c>
      <c r="T1" s="165">
        <v>15</v>
      </c>
      <c r="U1" s="165">
        <v>16</v>
      </c>
      <c r="V1" s="165">
        <v>17</v>
      </c>
      <c r="W1" s="165">
        <v>18</v>
      </c>
      <c r="X1" s="165">
        <v>19</v>
      </c>
      <c r="Y1" s="165">
        <v>20</v>
      </c>
      <c r="Z1" s="165">
        <v>21</v>
      </c>
      <c r="AA1" s="165">
        <v>22</v>
      </c>
      <c r="AB1" s="165">
        <v>23</v>
      </c>
      <c r="AC1" s="165">
        <v>24</v>
      </c>
      <c r="AD1" s="165">
        <v>25</v>
      </c>
      <c r="AE1" s="165">
        <v>26</v>
      </c>
      <c r="AF1" s="165">
        <v>27</v>
      </c>
      <c r="AG1" s="165">
        <v>28</v>
      </c>
      <c r="AH1" s="166">
        <v>29</v>
      </c>
      <c r="AI1" s="243">
        <v>30</v>
      </c>
      <c r="AJ1" s="167">
        <v>31</v>
      </c>
    </row>
    <row r="2" spans="1:36" ht="18">
      <c r="A2" s="5">
        <v>1</v>
      </c>
      <c r="B2" s="196" t="s">
        <v>6</v>
      </c>
      <c r="C2" s="169">
        <v>1</v>
      </c>
      <c r="D2" s="169">
        <f>C2</f>
        <v>1</v>
      </c>
      <c r="E2" s="169">
        <f>C2-D2</f>
        <v>0</v>
      </c>
      <c r="F2" s="205" t="s">
        <v>69</v>
      </c>
      <c r="G2" s="205" t="s">
        <v>69</v>
      </c>
      <c r="H2" s="205" t="s">
        <v>69</v>
      </c>
      <c r="I2" s="205" t="s">
        <v>69</v>
      </c>
      <c r="J2" s="205" t="s">
        <v>69</v>
      </c>
      <c r="K2" s="205" t="s">
        <v>69</v>
      </c>
      <c r="L2" s="175" t="s">
        <v>108</v>
      </c>
      <c r="M2" s="205" t="s">
        <v>69</v>
      </c>
      <c r="N2" s="205" t="s">
        <v>69</v>
      </c>
      <c r="O2" s="205" t="s">
        <v>69</v>
      </c>
      <c r="P2" s="205" t="s">
        <v>69</v>
      </c>
      <c r="Q2" s="121" t="s">
        <v>72</v>
      </c>
      <c r="R2" s="168" t="s">
        <v>69</v>
      </c>
      <c r="S2" s="175" t="s">
        <v>108</v>
      </c>
      <c r="T2" s="672" t="s">
        <v>69</v>
      </c>
      <c r="U2" s="672" t="s">
        <v>69</v>
      </c>
      <c r="V2" s="672" t="s">
        <v>69</v>
      </c>
      <c r="W2" s="672" t="s">
        <v>69</v>
      </c>
      <c r="X2" s="672" t="s">
        <v>69</v>
      </c>
      <c r="Y2" s="672" t="s">
        <v>69</v>
      </c>
      <c r="Z2" s="327" t="s">
        <v>108</v>
      </c>
      <c r="AA2" s="672" t="s">
        <v>69</v>
      </c>
      <c r="AB2" s="672" t="s">
        <v>69</v>
      </c>
      <c r="AC2" s="672" t="s">
        <v>69</v>
      </c>
      <c r="AD2" s="672" t="s">
        <v>69</v>
      </c>
      <c r="AE2" s="672" t="s">
        <v>69</v>
      </c>
      <c r="AF2" s="672" t="s">
        <v>69</v>
      </c>
      <c r="AG2" s="329" t="s">
        <v>108</v>
      </c>
      <c r="AH2" s="168" t="s">
        <v>69</v>
      </c>
      <c r="AI2" s="168" t="s">
        <v>69</v>
      </c>
      <c r="AJ2" s="175"/>
    </row>
    <row r="3" spans="1:36" ht="18">
      <c r="A3" s="5">
        <v>2</v>
      </c>
      <c r="B3" s="196" t="s">
        <v>7</v>
      </c>
      <c r="C3" s="169">
        <v>1</v>
      </c>
      <c r="D3" s="169">
        <f t="shared" ref="D3:D65" si="0">C3</f>
        <v>1</v>
      </c>
      <c r="E3" s="169">
        <f t="shared" ref="E3:E66" si="1">C3-D3</f>
        <v>0</v>
      </c>
      <c r="F3" s="205" t="s">
        <v>69</v>
      </c>
      <c r="G3" s="205" t="s">
        <v>69</v>
      </c>
      <c r="H3" s="205" t="s">
        <v>69</v>
      </c>
      <c r="I3" s="205" t="s">
        <v>69</v>
      </c>
      <c r="J3" s="197" t="s">
        <v>72</v>
      </c>
      <c r="K3" s="205" t="s">
        <v>69</v>
      </c>
      <c r="L3" s="175" t="s">
        <v>108</v>
      </c>
      <c r="M3" s="134" t="s">
        <v>69</v>
      </c>
      <c r="N3" s="134" t="s">
        <v>69</v>
      </c>
      <c r="O3" s="134" t="s">
        <v>69</v>
      </c>
      <c r="P3" s="134" t="s">
        <v>69</v>
      </c>
      <c r="Q3" s="134" t="s">
        <v>69</v>
      </c>
      <c r="R3" s="168" t="s">
        <v>69</v>
      </c>
      <c r="S3" s="175" t="s">
        <v>108</v>
      </c>
      <c r="T3" s="672" t="s">
        <v>69</v>
      </c>
      <c r="U3" s="672" t="s">
        <v>69</v>
      </c>
      <c r="V3" s="672" t="s">
        <v>69</v>
      </c>
      <c r="W3" s="672" t="s">
        <v>69</v>
      </c>
      <c r="X3" s="672" t="s">
        <v>69</v>
      </c>
      <c r="Y3" s="672" t="s">
        <v>69</v>
      </c>
      <c r="Z3" s="327" t="s">
        <v>108</v>
      </c>
      <c r="AA3" s="672" t="s">
        <v>69</v>
      </c>
      <c r="AB3" s="672" t="s">
        <v>69</v>
      </c>
      <c r="AC3" s="672" t="s">
        <v>69</v>
      </c>
      <c r="AD3" s="672" t="s">
        <v>69</v>
      </c>
      <c r="AE3" s="672" t="s">
        <v>69</v>
      </c>
      <c r="AF3" s="672" t="s">
        <v>69</v>
      </c>
      <c r="AG3" s="329" t="s">
        <v>108</v>
      </c>
      <c r="AH3" s="168" t="s">
        <v>69</v>
      </c>
      <c r="AI3" s="168" t="s">
        <v>69</v>
      </c>
      <c r="AJ3" s="174"/>
    </row>
    <row r="4" spans="1:36" ht="18">
      <c r="A4" s="5">
        <v>3</v>
      </c>
      <c r="B4" s="196" t="s">
        <v>8</v>
      </c>
      <c r="C4" s="169">
        <v>14</v>
      </c>
      <c r="D4" s="169">
        <f t="shared" si="0"/>
        <v>14</v>
      </c>
      <c r="E4" s="169">
        <f t="shared" si="1"/>
        <v>0</v>
      </c>
      <c r="F4" s="205" t="s">
        <v>151</v>
      </c>
      <c r="G4" s="197" t="s">
        <v>72</v>
      </c>
      <c r="H4" s="205" t="s">
        <v>69</v>
      </c>
      <c r="I4" s="250" t="s">
        <v>92</v>
      </c>
      <c r="J4" s="205" t="s">
        <v>69</v>
      </c>
      <c r="K4" s="205" t="s">
        <v>69</v>
      </c>
      <c r="L4" s="175" t="s">
        <v>108</v>
      </c>
      <c r="M4" s="134" t="s">
        <v>69</v>
      </c>
      <c r="N4" s="134" t="s">
        <v>69</v>
      </c>
      <c r="O4" s="121" t="s">
        <v>72</v>
      </c>
      <c r="P4" s="121" t="s">
        <v>72</v>
      </c>
      <c r="Q4" s="121" t="s">
        <v>72</v>
      </c>
      <c r="R4" s="168" t="s">
        <v>69</v>
      </c>
      <c r="S4" s="175" t="s">
        <v>108</v>
      </c>
      <c r="T4" s="121" t="s">
        <v>72</v>
      </c>
      <c r="U4" s="121" t="s">
        <v>72</v>
      </c>
      <c r="V4" s="121" t="s">
        <v>72</v>
      </c>
      <c r="W4" s="121" t="s">
        <v>72</v>
      </c>
      <c r="X4" s="121" t="s">
        <v>72</v>
      </c>
      <c r="Y4" s="121" t="s">
        <v>72</v>
      </c>
      <c r="Z4" s="327" t="s">
        <v>108</v>
      </c>
      <c r="AA4" s="121" t="s">
        <v>72</v>
      </c>
      <c r="AB4" s="121" t="s">
        <v>72</v>
      </c>
      <c r="AC4" s="121" t="s">
        <v>72</v>
      </c>
      <c r="AD4" s="121" t="s">
        <v>72</v>
      </c>
      <c r="AE4" s="672" t="s">
        <v>69</v>
      </c>
      <c r="AF4" s="672" t="s">
        <v>69</v>
      </c>
      <c r="AG4" s="329" t="s">
        <v>108</v>
      </c>
      <c r="AH4" s="168" t="s">
        <v>69</v>
      </c>
      <c r="AI4" s="168" t="s">
        <v>69</v>
      </c>
      <c r="AJ4" s="175"/>
    </row>
    <row r="5" spans="1:36" ht="18">
      <c r="A5" s="5">
        <v>4</v>
      </c>
      <c r="B5" s="196" t="s">
        <v>11</v>
      </c>
      <c r="C5" s="168">
        <v>4</v>
      </c>
      <c r="D5" s="169">
        <f t="shared" si="0"/>
        <v>4</v>
      </c>
      <c r="E5" s="169">
        <f t="shared" si="1"/>
        <v>0</v>
      </c>
      <c r="F5" s="205" t="s">
        <v>69</v>
      </c>
      <c r="G5" s="205" t="s">
        <v>69</v>
      </c>
      <c r="H5" s="132" t="s">
        <v>94</v>
      </c>
      <c r="I5" s="205" t="s">
        <v>69</v>
      </c>
      <c r="J5" s="205" t="s">
        <v>69</v>
      </c>
      <c r="K5" s="242" t="s">
        <v>94</v>
      </c>
      <c r="L5" s="175" t="s">
        <v>108</v>
      </c>
      <c r="M5" s="134" t="s">
        <v>69</v>
      </c>
      <c r="N5" s="134" t="s">
        <v>69</v>
      </c>
      <c r="O5" s="121" t="s">
        <v>72</v>
      </c>
      <c r="P5" s="121" t="s">
        <v>72</v>
      </c>
      <c r="Q5" s="134" t="s">
        <v>69</v>
      </c>
      <c r="R5" s="134" t="s">
        <v>69</v>
      </c>
      <c r="S5" s="175" t="s">
        <v>108</v>
      </c>
      <c r="T5" s="134" t="s">
        <v>69</v>
      </c>
      <c r="U5" s="121" t="s">
        <v>72</v>
      </c>
      <c r="V5" s="134" t="s">
        <v>69</v>
      </c>
      <c r="W5" s="134" t="s">
        <v>69</v>
      </c>
      <c r="X5" s="134" t="s">
        <v>69</v>
      </c>
      <c r="Y5" s="134" t="s">
        <v>192</v>
      </c>
      <c r="Z5" s="327" t="s">
        <v>108</v>
      </c>
      <c r="AA5" s="134" t="s">
        <v>69</v>
      </c>
      <c r="AB5" s="134" t="s">
        <v>69</v>
      </c>
      <c r="AC5" s="134" t="s">
        <v>69</v>
      </c>
      <c r="AD5" s="134" t="s">
        <v>69</v>
      </c>
      <c r="AE5" s="134" t="s">
        <v>69</v>
      </c>
      <c r="AF5" s="672" t="s">
        <v>69</v>
      </c>
      <c r="AG5" s="329" t="s">
        <v>108</v>
      </c>
      <c r="AH5" s="147" t="s">
        <v>92</v>
      </c>
      <c r="AI5" s="168" t="s">
        <v>69</v>
      </c>
      <c r="AJ5" s="175"/>
    </row>
    <row r="6" spans="1:36" ht="18">
      <c r="A6" s="5">
        <v>5</v>
      </c>
      <c r="B6" s="196" t="s">
        <v>193</v>
      </c>
      <c r="C6" s="168">
        <v>16</v>
      </c>
      <c r="D6" s="169">
        <v>0</v>
      </c>
      <c r="E6" s="169">
        <f t="shared" si="1"/>
        <v>16</v>
      </c>
      <c r="F6" s="197" t="s">
        <v>72</v>
      </c>
      <c r="G6" s="197" t="s">
        <v>72</v>
      </c>
      <c r="H6" s="197" t="s">
        <v>72</v>
      </c>
      <c r="I6" s="197" t="s">
        <v>72</v>
      </c>
      <c r="J6" s="197" t="s">
        <v>72</v>
      </c>
      <c r="K6" s="197" t="s">
        <v>72</v>
      </c>
      <c r="L6" s="175" t="s">
        <v>108</v>
      </c>
      <c r="M6" s="121" t="s">
        <v>72</v>
      </c>
      <c r="N6" s="121" t="s">
        <v>72</v>
      </c>
      <c r="O6" s="121" t="s">
        <v>72</v>
      </c>
      <c r="P6" s="121" t="s">
        <v>72</v>
      </c>
      <c r="Q6" s="121" t="s">
        <v>72</v>
      </c>
      <c r="R6" s="121" t="s">
        <v>72</v>
      </c>
      <c r="S6" s="175" t="s">
        <v>108</v>
      </c>
      <c r="T6" s="121" t="s">
        <v>72</v>
      </c>
      <c r="U6" s="121" t="s">
        <v>72</v>
      </c>
      <c r="V6" s="134" t="s">
        <v>69</v>
      </c>
      <c r="W6" s="134" t="s">
        <v>69</v>
      </c>
      <c r="X6" s="134" t="s">
        <v>69</v>
      </c>
      <c r="Y6" s="134" t="s">
        <v>69</v>
      </c>
      <c r="Z6" s="327" t="s">
        <v>108</v>
      </c>
      <c r="AA6" s="134" t="s">
        <v>69</v>
      </c>
      <c r="AB6" s="134" t="s">
        <v>69</v>
      </c>
      <c r="AC6" s="134" t="s">
        <v>69</v>
      </c>
      <c r="AD6" s="134" t="s">
        <v>69</v>
      </c>
      <c r="AE6" s="134" t="s">
        <v>69</v>
      </c>
      <c r="AF6" s="672" t="s">
        <v>69</v>
      </c>
      <c r="AG6" s="329" t="s">
        <v>108</v>
      </c>
      <c r="AH6" s="134" t="s">
        <v>69</v>
      </c>
      <c r="AI6" s="168" t="s">
        <v>69</v>
      </c>
      <c r="AJ6" s="175"/>
    </row>
    <row r="7" spans="1:36" ht="18">
      <c r="A7" s="5">
        <v>6</v>
      </c>
      <c r="B7" s="196" t="s">
        <v>137</v>
      </c>
      <c r="C7" s="168">
        <v>0</v>
      </c>
      <c r="D7" s="169">
        <f t="shared" si="0"/>
        <v>0</v>
      </c>
      <c r="E7" s="169">
        <f t="shared" si="1"/>
        <v>0</v>
      </c>
      <c r="F7" s="205" t="s">
        <v>69</v>
      </c>
      <c r="G7" s="205" t="s">
        <v>69</v>
      </c>
      <c r="H7" s="205" t="s">
        <v>69</v>
      </c>
      <c r="I7" s="205" t="s">
        <v>69</v>
      </c>
      <c r="J7" s="147" t="s">
        <v>92</v>
      </c>
      <c r="K7" s="134" t="s">
        <v>69</v>
      </c>
      <c r="L7" s="175" t="s">
        <v>108</v>
      </c>
      <c r="M7" s="134" t="s">
        <v>69</v>
      </c>
      <c r="N7" s="134" t="s">
        <v>69</v>
      </c>
      <c r="O7" s="134" t="s">
        <v>69</v>
      </c>
      <c r="P7" s="134" t="s">
        <v>69</v>
      </c>
      <c r="Q7" s="134" t="s">
        <v>69</v>
      </c>
      <c r="R7" s="134" t="s">
        <v>69</v>
      </c>
      <c r="S7" s="175" t="s">
        <v>108</v>
      </c>
      <c r="T7" s="134" t="s">
        <v>69</v>
      </c>
      <c r="U7" s="134" t="s">
        <v>69</v>
      </c>
      <c r="V7" s="134" t="s">
        <v>69</v>
      </c>
      <c r="W7" s="134" t="s">
        <v>69</v>
      </c>
      <c r="X7" s="134" t="s">
        <v>69</v>
      </c>
      <c r="Y7" s="134" t="s">
        <v>69</v>
      </c>
      <c r="Z7" s="327" t="s">
        <v>108</v>
      </c>
      <c r="AA7" s="134" t="s">
        <v>69</v>
      </c>
      <c r="AB7" s="134" t="s">
        <v>69</v>
      </c>
      <c r="AC7" s="134" t="s">
        <v>69</v>
      </c>
      <c r="AD7" s="147" t="s">
        <v>92</v>
      </c>
      <c r="AE7" s="134" t="s">
        <v>69</v>
      </c>
      <c r="AF7" s="134" t="s">
        <v>69</v>
      </c>
      <c r="AG7" s="329" t="s">
        <v>108</v>
      </c>
      <c r="AH7" s="134" t="s">
        <v>69</v>
      </c>
      <c r="AI7" s="168" t="s">
        <v>69</v>
      </c>
      <c r="AJ7" s="174"/>
    </row>
    <row r="8" spans="1:36" ht="18">
      <c r="A8" s="5">
        <v>7</v>
      </c>
      <c r="B8" s="196" t="s">
        <v>95</v>
      </c>
      <c r="C8" s="168">
        <v>1</v>
      </c>
      <c r="D8" s="169">
        <f t="shared" si="0"/>
        <v>1</v>
      </c>
      <c r="E8" s="169">
        <f t="shared" si="1"/>
        <v>0</v>
      </c>
      <c r="F8" s="205" t="s">
        <v>69</v>
      </c>
      <c r="G8" s="205" t="s">
        <v>69</v>
      </c>
      <c r="H8" s="205" t="s">
        <v>69</v>
      </c>
      <c r="I8" s="205" t="s">
        <v>69</v>
      </c>
      <c r="J8" s="316" t="s">
        <v>111</v>
      </c>
      <c r="K8" s="134" t="s">
        <v>69</v>
      </c>
      <c r="L8" s="175" t="s">
        <v>108</v>
      </c>
      <c r="M8" s="134" t="s">
        <v>69</v>
      </c>
      <c r="N8" s="134" t="s">
        <v>69</v>
      </c>
      <c r="O8" s="134" t="s">
        <v>69</v>
      </c>
      <c r="P8" s="134" t="s">
        <v>69</v>
      </c>
      <c r="Q8" s="134" t="s">
        <v>69</v>
      </c>
      <c r="R8" s="134" t="s">
        <v>69</v>
      </c>
      <c r="S8" s="175" t="s">
        <v>108</v>
      </c>
      <c r="T8" s="134" t="s">
        <v>69</v>
      </c>
      <c r="U8" s="134" t="s">
        <v>69</v>
      </c>
      <c r="V8" s="134" t="s">
        <v>69</v>
      </c>
      <c r="W8" s="134" t="s">
        <v>69</v>
      </c>
      <c r="X8" s="134" t="s">
        <v>69</v>
      </c>
      <c r="Y8" s="121" t="s">
        <v>72</v>
      </c>
      <c r="Z8" s="327" t="s">
        <v>108</v>
      </c>
      <c r="AA8" s="134" t="s">
        <v>69</v>
      </c>
      <c r="AB8" s="134" t="s">
        <v>69</v>
      </c>
      <c r="AC8" s="134" t="s">
        <v>69</v>
      </c>
      <c r="AD8" s="134" t="s">
        <v>69</v>
      </c>
      <c r="AE8" s="134" t="s">
        <v>69</v>
      </c>
      <c r="AF8" s="134" t="s">
        <v>69</v>
      </c>
      <c r="AG8" s="329" t="s">
        <v>108</v>
      </c>
      <c r="AH8" s="134" t="s">
        <v>69</v>
      </c>
      <c r="AI8" s="134" t="s">
        <v>69</v>
      </c>
      <c r="AJ8" s="175"/>
    </row>
    <row r="9" spans="1:36" ht="18">
      <c r="A9" s="5">
        <v>8</v>
      </c>
      <c r="B9" s="196" t="s">
        <v>13</v>
      </c>
      <c r="C9" s="168">
        <v>0</v>
      </c>
      <c r="D9" s="169">
        <f t="shared" si="0"/>
        <v>0</v>
      </c>
      <c r="E9" s="169">
        <f t="shared" si="1"/>
        <v>0</v>
      </c>
      <c r="F9" s="205" t="s">
        <v>69</v>
      </c>
      <c r="G9" s="205" t="s">
        <v>69</v>
      </c>
      <c r="H9" s="205" t="s">
        <v>69</v>
      </c>
      <c r="I9" s="205" t="s">
        <v>69</v>
      </c>
      <c r="J9" s="205" t="s">
        <v>69</v>
      </c>
      <c r="K9" s="205" t="s">
        <v>69</v>
      </c>
      <c r="L9" s="175" t="s">
        <v>108</v>
      </c>
      <c r="M9" s="134" t="s">
        <v>69</v>
      </c>
      <c r="N9" s="134" t="s">
        <v>69</v>
      </c>
      <c r="O9" s="134" t="s">
        <v>69</v>
      </c>
      <c r="P9" s="134" t="s">
        <v>69</v>
      </c>
      <c r="Q9" s="134" t="s">
        <v>69</v>
      </c>
      <c r="R9" s="134" t="s">
        <v>69</v>
      </c>
      <c r="S9" s="175" t="s">
        <v>108</v>
      </c>
      <c r="T9" s="134" t="s">
        <v>69</v>
      </c>
      <c r="U9" s="134" t="s">
        <v>69</v>
      </c>
      <c r="V9" s="134" t="s">
        <v>69</v>
      </c>
      <c r="W9" s="134" t="s">
        <v>69</v>
      </c>
      <c r="X9" s="134" t="s">
        <v>69</v>
      </c>
      <c r="Y9" s="134" t="s">
        <v>69</v>
      </c>
      <c r="Z9" s="327" t="s">
        <v>108</v>
      </c>
      <c r="AA9" s="134" t="s">
        <v>69</v>
      </c>
      <c r="AB9" s="134" t="s">
        <v>69</v>
      </c>
      <c r="AC9" s="134" t="s">
        <v>69</v>
      </c>
      <c r="AD9" s="134" t="s">
        <v>69</v>
      </c>
      <c r="AE9" s="134" t="s">
        <v>69</v>
      </c>
      <c r="AF9" s="134" t="s">
        <v>69</v>
      </c>
      <c r="AG9" s="329" t="s">
        <v>108</v>
      </c>
      <c r="AH9" s="134" t="s">
        <v>69</v>
      </c>
      <c r="AI9" s="168" t="s">
        <v>69</v>
      </c>
      <c r="AJ9" s="175"/>
    </row>
    <row r="10" spans="1:36" ht="18">
      <c r="A10" s="5">
        <v>9</v>
      </c>
      <c r="B10" s="196" t="s">
        <v>194</v>
      </c>
      <c r="C10" s="168">
        <v>0</v>
      </c>
      <c r="D10" s="169">
        <f t="shared" si="0"/>
        <v>0</v>
      </c>
      <c r="E10" s="169">
        <f t="shared" si="1"/>
        <v>0</v>
      </c>
      <c r="F10" s="205" t="s">
        <v>151</v>
      </c>
      <c r="G10" s="205" t="s">
        <v>69</v>
      </c>
      <c r="H10" s="205" t="s">
        <v>69</v>
      </c>
      <c r="I10" s="205" t="s">
        <v>69</v>
      </c>
      <c r="J10" s="205" t="s">
        <v>69</v>
      </c>
      <c r="K10" s="205" t="s">
        <v>69</v>
      </c>
      <c r="L10" s="175" t="s">
        <v>108</v>
      </c>
      <c r="M10" s="134" t="s">
        <v>69</v>
      </c>
      <c r="N10" s="134" t="s">
        <v>69</v>
      </c>
      <c r="O10" s="134" t="s">
        <v>69</v>
      </c>
      <c r="P10" s="134" t="s">
        <v>69</v>
      </c>
      <c r="Q10" s="134" t="s">
        <v>69</v>
      </c>
      <c r="R10" s="134" t="s">
        <v>69</v>
      </c>
      <c r="S10" s="175" t="s">
        <v>108</v>
      </c>
      <c r="T10" s="134" t="s">
        <v>69</v>
      </c>
      <c r="U10" s="134" t="s">
        <v>69</v>
      </c>
      <c r="V10" s="134" t="s">
        <v>69</v>
      </c>
      <c r="W10" s="134" t="s">
        <v>69</v>
      </c>
      <c r="X10" s="134" t="s">
        <v>69</v>
      </c>
      <c r="Y10" s="134" t="s">
        <v>69</v>
      </c>
      <c r="Z10" s="327" t="s">
        <v>108</v>
      </c>
      <c r="AA10" s="134" t="s">
        <v>69</v>
      </c>
      <c r="AB10" s="134" t="s">
        <v>69</v>
      </c>
      <c r="AC10" s="134" t="s">
        <v>69</v>
      </c>
      <c r="AD10" s="134" t="s">
        <v>69</v>
      </c>
      <c r="AE10" s="134" t="s">
        <v>69</v>
      </c>
      <c r="AF10" s="134" t="s">
        <v>69</v>
      </c>
      <c r="AG10" s="329" t="s">
        <v>108</v>
      </c>
      <c r="AH10" s="239" t="s">
        <v>69</v>
      </c>
      <c r="AI10" s="168" t="s">
        <v>69</v>
      </c>
      <c r="AJ10" s="175"/>
    </row>
    <row r="11" spans="1:36" ht="18">
      <c r="A11" s="5">
        <v>10</v>
      </c>
      <c r="B11" s="196" t="s">
        <v>177</v>
      </c>
      <c r="C11" s="168">
        <v>2.5</v>
      </c>
      <c r="D11" s="169">
        <v>1</v>
      </c>
      <c r="E11" s="169">
        <f t="shared" si="1"/>
        <v>1.5</v>
      </c>
      <c r="F11" s="242" t="s">
        <v>94</v>
      </c>
      <c r="G11" s="205" t="s">
        <v>69</v>
      </c>
      <c r="H11" s="205" t="s">
        <v>69</v>
      </c>
      <c r="I11" s="205" t="s">
        <v>69</v>
      </c>
      <c r="J11" s="205" t="s">
        <v>69</v>
      </c>
      <c r="K11" s="205" t="s">
        <v>69</v>
      </c>
      <c r="L11" s="175" t="s">
        <v>108</v>
      </c>
      <c r="M11" s="134" t="s">
        <v>69</v>
      </c>
      <c r="N11" s="134" t="s">
        <v>69</v>
      </c>
      <c r="O11" s="134" t="s">
        <v>69</v>
      </c>
      <c r="P11" s="134" t="s">
        <v>69</v>
      </c>
      <c r="Q11" s="134" t="s">
        <v>69</v>
      </c>
      <c r="R11" s="134" t="s">
        <v>69</v>
      </c>
      <c r="S11" s="175" t="s">
        <v>108</v>
      </c>
      <c r="T11" s="134" t="s">
        <v>69</v>
      </c>
      <c r="U11" s="134" t="s">
        <v>69</v>
      </c>
      <c r="V11" s="175" t="s">
        <v>92</v>
      </c>
      <c r="W11" s="134" t="s">
        <v>69</v>
      </c>
      <c r="X11" s="134" t="s">
        <v>69</v>
      </c>
      <c r="Y11" s="134" t="s">
        <v>121</v>
      </c>
      <c r="Z11" s="327" t="s">
        <v>108</v>
      </c>
      <c r="AA11" s="134" t="s">
        <v>69</v>
      </c>
      <c r="AB11" s="134" t="s">
        <v>69</v>
      </c>
      <c r="AC11" s="134" t="s">
        <v>69</v>
      </c>
      <c r="AD11" s="134" t="s">
        <v>69</v>
      </c>
      <c r="AE11" s="134" t="s">
        <v>69</v>
      </c>
      <c r="AF11" s="134" t="s">
        <v>69</v>
      </c>
      <c r="AG11" s="329" t="s">
        <v>108</v>
      </c>
      <c r="AH11" s="131" t="s">
        <v>195</v>
      </c>
      <c r="AI11" s="131" t="s">
        <v>195</v>
      </c>
      <c r="AJ11" s="175"/>
    </row>
    <row r="12" spans="1:36" ht="18">
      <c r="A12" s="5">
        <v>11</v>
      </c>
      <c r="B12" s="196" t="s">
        <v>154</v>
      </c>
      <c r="C12" s="168">
        <v>1</v>
      </c>
      <c r="D12" s="169">
        <f t="shared" si="0"/>
        <v>1</v>
      </c>
      <c r="E12" s="169">
        <f t="shared" si="1"/>
        <v>0</v>
      </c>
      <c r="F12" s="205" t="s">
        <v>69</v>
      </c>
      <c r="G12" s="205" t="s">
        <v>69</v>
      </c>
      <c r="H12" s="205" t="s">
        <v>69</v>
      </c>
      <c r="I12" s="205" t="s">
        <v>69</v>
      </c>
      <c r="J12" s="205" t="s">
        <v>69</v>
      </c>
      <c r="K12" s="205" t="s">
        <v>69</v>
      </c>
      <c r="L12" s="175" t="s">
        <v>108</v>
      </c>
      <c r="M12" s="134" t="s">
        <v>69</v>
      </c>
      <c r="N12" s="134" t="s">
        <v>69</v>
      </c>
      <c r="O12" s="134" t="s">
        <v>69</v>
      </c>
      <c r="P12" s="134" t="s">
        <v>69</v>
      </c>
      <c r="Q12" s="134" t="s">
        <v>69</v>
      </c>
      <c r="R12" s="134" t="s">
        <v>69</v>
      </c>
      <c r="S12" s="175" t="s">
        <v>108</v>
      </c>
      <c r="T12" s="134" t="s">
        <v>69</v>
      </c>
      <c r="U12" s="134" t="s">
        <v>69</v>
      </c>
      <c r="V12" s="134" t="s">
        <v>69</v>
      </c>
      <c r="W12" s="134" t="s">
        <v>69</v>
      </c>
      <c r="X12" s="134" t="s">
        <v>69</v>
      </c>
      <c r="Y12" s="134" t="s">
        <v>69</v>
      </c>
      <c r="Z12" s="327" t="s">
        <v>108</v>
      </c>
      <c r="AA12" s="197" t="s">
        <v>72</v>
      </c>
      <c r="AB12" s="134" t="s">
        <v>69</v>
      </c>
      <c r="AC12" s="134" t="s">
        <v>69</v>
      </c>
      <c r="AD12" s="134" t="s">
        <v>69</v>
      </c>
      <c r="AE12" s="134" t="s">
        <v>69</v>
      </c>
      <c r="AF12" s="134" t="s">
        <v>69</v>
      </c>
      <c r="AG12" s="329" t="s">
        <v>108</v>
      </c>
      <c r="AH12" s="168" t="s">
        <v>69</v>
      </c>
      <c r="AI12" s="169" t="s">
        <v>69</v>
      </c>
      <c r="AJ12" s="174"/>
    </row>
    <row r="13" spans="1:36" ht="18">
      <c r="A13" s="5">
        <v>12</v>
      </c>
      <c r="B13" s="69" t="s">
        <v>196</v>
      </c>
      <c r="C13" s="168"/>
      <c r="D13" s="169">
        <f t="shared" si="0"/>
        <v>0</v>
      </c>
      <c r="E13" s="169">
        <f t="shared" si="1"/>
        <v>0</v>
      </c>
      <c r="F13" s="205" t="s">
        <v>151</v>
      </c>
      <c r="G13" s="205" t="s">
        <v>151</v>
      </c>
      <c r="H13" s="205" t="s">
        <v>151</v>
      </c>
      <c r="I13" s="121" t="s">
        <v>72</v>
      </c>
      <c r="J13" s="121" t="s">
        <v>72</v>
      </c>
      <c r="K13" s="134" t="s">
        <v>69</v>
      </c>
      <c r="L13" s="175" t="s">
        <v>108</v>
      </c>
      <c r="M13" s="121" t="s">
        <v>76</v>
      </c>
      <c r="N13" s="121" t="s">
        <v>76</v>
      </c>
      <c r="O13" s="121" t="s">
        <v>76</v>
      </c>
      <c r="P13" s="121" t="s">
        <v>76</v>
      </c>
      <c r="Q13" s="121" t="s">
        <v>76</v>
      </c>
      <c r="R13" s="121" t="s">
        <v>76</v>
      </c>
      <c r="S13" s="175" t="s">
        <v>108</v>
      </c>
      <c r="T13" s="121" t="s">
        <v>76</v>
      </c>
      <c r="U13" s="121" t="s">
        <v>76</v>
      </c>
      <c r="V13" s="121" t="s">
        <v>76</v>
      </c>
      <c r="W13" s="121" t="s">
        <v>76</v>
      </c>
      <c r="X13" s="121" t="s">
        <v>76</v>
      </c>
      <c r="Y13" s="121" t="s">
        <v>76</v>
      </c>
      <c r="Z13" s="327" t="s">
        <v>108</v>
      </c>
      <c r="AA13" s="197" t="s">
        <v>76</v>
      </c>
      <c r="AB13" s="197" t="s">
        <v>76</v>
      </c>
      <c r="AC13" s="197" t="s">
        <v>76</v>
      </c>
      <c r="AD13" s="197" t="s">
        <v>76</v>
      </c>
      <c r="AE13" s="197" t="s">
        <v>76</v>
      </c>
      <c r="AF13" s="197" t="s">
        <v>76</v>
      </c>
      <c r="AG13" s="329" t="s">
        <v>108</v>
      </c>
      <c r="AH13" s="131" t="s">
        <v>76</v>
      </c>
      <c r="AI13" s="131" t="s">
        <v>76</v>
      </c>
      <c r="AJ13" s="131" t="s">
        <v>76</v>
      </c>
    </row>
    <row r="14" spans="1:36" ht="18">
      <c r="A14" s="5">
        <v>13</v>
      </c>
      <c r="B14" s="196" t="s">
        <v>16</v>
      </c>
      <c r="C14" s="168">
        <v>1.5</v>
      </c>
      <c r="D14" s="169">
        <f t="shared" si="0"/>
        <v>1.5</v>
      </c>
      <c r="E14" s="169">
        <f t="shared" si="1"/>
        <v>0</v>
      </c>
      <c r="F14" s="242" t="s">
        <v>94</v>
      </c>
      <c r="G14" s="134" t="s">
        <v>69</v>
      </c>
      <c r="H14" s="134" t="s">
        <v>69</v>
      </c>
      <c r="I14" s="134" t="s">
        <v>69</v>
      </c>
      <c r="J14" s="134" t="s">
        <v>69</v>
      </c>
      <c r="K14" s="134" t="s">
        <v>121</v>
      </c>
      <c r="L14" s="175" t="s">
        <v>108</v>
      </c>
      <c r="M14" s="121" t="s">
        <v>72</v>
      </c>
      <c r="N14" s="134" t="s">
        <v>69</v>
      </c>
      <c r="O14" s="134" t="s">
        <v>69</v>
      </c>
      <c r="P14" s="134" t="s">
        <v>69</v>
      </c>
      <c r="Q14" s="134" t="s">
        <v>69</v>
      </c>
      <c r="R14" s="134" t="s">
        <v>69</v>
      </c>
      <c r="S14" s="175" t="s">
        <v>108</v>
      </c>
      <c r="T14" s="147" t="s">
        <v>92</v>
      </c>
      <c r="U14" s="672" t="s">
        <v>69</v>
      </c>
      <c r="V14" s="672" t="s">
        <v>69</v>
      </c>
      <c r="W14" s="672" t="s">
        <v>69</v>
      </c>
      <c r="X14" s="672" t="s">
        <v>69</v>
      </c>
      <c r="Y14" s="672" t="s">
        <v>121</v>
      </c>
      <c r="Z14" s="327" t="s">
        <v>108</v>
      </c>
      <c r="AA14" s="134" t="s">
        <v>69</v>
      </c>
      <c r="AB14" s="134" t="s">
        <v>69</v>
      </c>
      <c r="AC14" s="134" t="s">
        <v>69</v>
      </c>
      <c r="AD14" s="134" t="s">
        <v>69</v>
      </c>
      <c r="AE14" s="134" t="s">
        <v>69</v>
      </c>
      <c r="AF14" s="134" t="s">
        <v>69</v>
      </c>
      <c r="AG14" s="329" t="s">
        <v>108</v>
      </c>
      <c r="AH14" s="134" t="s">
        <v>69</v>
      </c>
      <c r="AI14" s="168" t="s">
        <v>69</v>
      </c>
      <c r="AJ14" s="175"/>
    </row>
    <row r="15" spans="1:36" ht="18">
      <c r="A15" s="5">
        <v>14</v>
      </c>
      <c r="B15" s="196" t="s">
        <v>17</v>
      </c>
      <c r="C15" s="168">
        <v>3</v>
      </c>
      <c r="D15" s="169">
        <f t="shared" si="0"/>
        <v>3</v>
      </c>
      <c r="E15" s="169">
        <f t="shared" si="1"/>
        <v>0</v>
      </c>
      <c r="F15" s="205" t="s">
        <v>69</v>
      </c>
      <c r="G15" s="205" t="s">
        <v>69</v>
      </c>
      <c r="H15" s="205" t="s">
        <v>69</v>
      </c>
      <c r="I15" s="205" t="s">
        <v>69</v>
      </c>
      <c r="J15" s="241" t="s">
        <v>175</v>
      </c>
      <c r="K15" s="134" t="s">
        <v>69</v>
      </c>
      <c r="L15" s="175" t="s">
        <v>108</v>
      </c>
      <c r="M15" s="134" t="s">
        <v>69</v>
      </c>
      <c r="N15" s="134" t="s">
        <v>69</v>
      </c>
      <c r="O15" s="134" t="s">
        <v>69</v>
      </c>
      <c r="P15" s="134" t="s">
        <v>69</v>
      </c>
      <c r="Q15" s="134" t="s">
        <v>69</v>
      </c>
      <c r="R15" s="130" t="s">
        <v>92</v>
      </c>
      <c r="S15" s="175" t="s">
        <v>108</v>
      </c>
      <c r="T15" s="672" t="s">
        <v>69</v>
      </c>
      <c r="U15" s="168" t="s">
        <v>69</v>
      </c>
      <c r="V15" s="672" t="s">
        <v>69</v>
      </c>
      <c r="W15" s="672" t="s">
        <v>69</v>
      </c>
      <c r="X15" s="672" t="s">
        <v>69</v>
      </c>
      <c r="Y15" s="197" t="s">
        <v>72</v>
      </c>
      <c r="Z15" s="327" t="s">
        <v>108</v>
      </c>
      <c r="AA15" s="121" t="s">
        <v>72</v>
      </c>
      <c r="AB15" s="134" t="s">
        <v>69</v>
      </c>
      <c r="AC15" s="134" t="s">
        <v>69</v>
      </c>
      <c r="AD15" s="134" t="s">
        <v>69</v>
      </c>
      <c r="AE15" s="134" t="s">
        <v>69</v>
      </c>
      <c r="AF15" s="197" t="s">
        <v>72</v>
      </c>
      <c r="AG15" s="329" t="s">
        <v>108</v>
      </c>
      <c r="AH15" s="134" t="s">
        <v>69</v>
      </c>
      <c r="AI15" s="239" t="s">
        <v>69</v>
      </c>
      <c r="AJ15" s="175"/>
    </row>
    <row r="16" spans="1:36" ht="18">
      <c r="A16" s="5">
        <v>15</v>
      </c>
      <c r="B16" s="69" t="s">
        <v>75</v>
      </c>
      <c r="C16" s="168">
        <v>4</v>
      </c>
      <c r="D16" s="169">
        <f t="shared" si="0"/>
        <v>4</v>
      </c>
      <c r="E16" s="169">
        <f t="shared" si="1"/>
        <v>0</v>
      </c>
      <c r="F16" s="205" t="s">
        <v>69</v>
      </c>
      <c r="G16" s="205" t="s">
        <v>69</v>
      </c>
      <c r="H16" s="205" t="s">
        <v>69</v>
      </c>
      <c r="I16" s="205" t="s">
        <v>69</v>
      </c>
      <c r="J16" s="121" t="s">
        <v>72</v>
      </c>
      <c r="K16" s="121" t="s">
        <v>72</v>
      </c>
      <c r="L16" s="175" t="s">
        <v>108</v>
      </c>
      <c r="M16" s="134" t="s">
        <v>69</v>
      </c>
      <c r="N16" s="121" t="s">
        <v>72</v>
      </c>
      <c r="O16" s="134" t="s">
        <v>69</v>
      </c>
      <c r="P16" s="121" t="s">
        <v>72</v>
      </c>
      <c r="Q16" s="134" t="s">
        <v>69</v>
      </c>
      <c r="R16" s="134" t="s">
        <v>69</v>
      </c>
      <c r="S16" s="175" t="s">
        <v>108</v>
      </c>
      <c r="T16" s="672" t="s">
        <v>69</v>
      </c>
      <c r="U16" s="168" t="s">
        <v>69</v>
      </c>
      <c r="V16" s="168" t="s">
        <v>69</v>
      </c>
      <c r="W16" s="168" t="s">
        <v>69</v>
      </c>
      <c r="X16" s="168" t="s">
        <v>69</v>
      </c>
      <c r="Y16" s="168" t="s">
        <v>69</v>
      </c>
      <c r="Z16" s="327" t="s">
        <v>108</v>
      </c>
      <c r="AA16" s="134" t="s">
        <v>69</v>
      </c>
      <c r="AB16" s="134" t="s">
        <v>69</v>
      </c>
      <c r="AC16" s="134" t="s">
        <v>69</v>
      </c>
      <c r="AD16" s="134" t="s">
        <v>69</v>
      </c>
      <c r="AE16" s="134" t="s">
        <v>69</v>
      </c>
      <c r="AF16" s="134" t="s">
        <v>69</v>
      </c>
      <c r="AG16" s="329" t="s">
        <v>108</v>
      </c>
      <c r="AH16" s="168" t="s">
        <v>69</v>
      </c>
      <c r="AI16" s="239" t="s">
        <v>69</v>
      </c>
      <c r="AJ16" s="175"/>
    </row>
    <row r="17" spans="1:36" ht="18">
      <c r="A17" s="5">
        <v>16</v>
      </c>
      <c r="B17" s="69" t="s">
        <v>19</v>
      </c>
      <c r="C17" s="168">
        <v>0</v>
      </c>
      <c r="D17" s="169">
        <f t="shared" si="0"/>
        <v>0</v>
      </c>
      <c r="E17" s="169">
        <f t="shared" si="1"/>
        <v>0</v>
      </c>
      <c r="F17" s="205" t="s">
        <v>69</v>
      </c>
      <c r="G17" s="205" t="s">
        <v>69</v>
      </c>
      <c r="H17" s="205" t="s">
        <v>69</v>
      </c>
      <c r="I17" s="205" t="s">
        <v>69</v>
      </c>
      <c r="J17" s="205" t="s">
        <v>69</v>
      </c>
      <c r="K17" s="205" t="s">
        <v>69</v>
      </c>
      <c r="L17" s="175" t="s">
        <v>108</v>
      </c>
      <c r="M17" s="134" t="s">
        <v>69</v>
      </c>
      <c r="N17" s="134" t="s">
        <v>69</v>
      </c>
      <c r="O17" s="134" t="s">
        <v>69</v>
      </c>
      <c r="P17" s="134" t="s">
        <v>69</v>
      </c>
      <c r="Q17" s="134" t="s">
        <v>69</v>
      </c>
      <c r="R17" s="134" t="s">
        <v>69</v>
      </c>
      <c r="S17" s="175" t="s">
        <v>108</v>
      </c>
      <c r="T17" s="134" t="s">
        <v>69</v>
      </c>
      <c r="U17" s="168" t="s">
        <v>69</v>
      </c>
      <c r="V17" s="168" t="s">
        <v>69</v>
      </c>
      <c r="W17" s="168" t="s">
        <v>69</v>
      </c>
      <c r="X17" s="168" t="s">
        <v>69</v>
      </c>
      <c r="Y17" s="168" t="s">
        <v>69</v>
      </c>
      <c r="Z17" s="327" t="s">
        <v>108</v>
      </c>
      <c r="AA17" s="134" t="s">
        <v>69</v>
      </c>
      <c r="AB17" s="134" t="s">
        <v>69</v>
      </c>
      <c r="AC17" s="134" t="s">
        <v>69</v>
      </c>
      <c r="AD17" s="134" t="s">
        <v>69</v>
      </c>
      <c r="AE17" s="134" t="s">
        <v>69</v>
      </c>
      <c r="AF17" s="134" t="s">
        <v>69</v>
      </c>
      <c r="AG17" s="329" t="s">
        <v>108</v>
      </c>
      <c r="AH17" s="168" t="s">
        <v>69</v>
      </c>
      <c r="AI17" s="168" t="s">
        <v>69</v>
      </c>
      <c r="AJ17" s="175"/>
    </row>
    <row r="18" spans="1:36" ht="18">
      <c r="A18" s="5">
        <v>17</v>
      </c>
      <c r="B18" s="70" t="s">
        <v>155</v>
      </c>
      <c r="C18" s="168">
        <v>1</v>
      </c>
      <c r="D18" s="169">
        <f t="shared" si="0"/>
        <v>1</v>
      </c>
      <c r="E18" s="169">
        <f t="shared" si="1"/>
        <v>0</v>
      </c>
      <c r="F18" s="205" t="s">
        <v>69</v>
      </c>
      <c r="G18" s="205" t="s">
        <v>69</v>
      </c>
      <c r="H18" s="205" t="s">
        <v>69</v>
      </c>
      <c r="I18" s="205" t="s">
        <v>69</v>
      </c>
      <c r="J18" s="316" t="s">
        <v>175</v>
      </c>
      <c r="K18" s="134" t="s">
        <v>69</v>
      </c>
      <c r="L18" s="175" t="s">
        <v>108</v>
      </c>
      <c r="M18" s="134" t="s">
        <v>69</v>
      </c>
      <c r="N18" s="134" t="s">
        <v>69</v>
      </c>
      <c r="O18" s="134" t="s">
        <v>69</v>
      </c>
      <c r="P18" s="134" t="s">
        <v>69</v>
      </c>
      <c r="Q18" s="134" t="s">
        <v>69</v>
      </c>
      <c r="R18" s="121" t="s">
        <v>72</v>
      </c>
      <c r="S18" s="175" t="s">
        <v>108</v>
      </c>
      <c r="T18" s="134" t="s">
        <v>69</v>
      </c>
      <c r="U18" s="168" t="s">
        <v>69</v>
      </c>
      <c r="V18" s="168" t="s">
        <v>69</v>
      </c>
      <c r="W18" s="168" t="s">
        <v>69</v>
      </c>
      <c r="X18" s="168" t="s">
        <v>69</v>
      </c>
      <c r="Y18" s="168" t="s">
        <v>69</v>
      </c>
      <c r="Z18" s="327" t="s">
        <v>108</v>
      </c>
      <c r="AA18" s="134" t="s">
        <v>69</v>
      </c>
      <c r="AB18" s="134" t="s">
        <v>69</v>
      </c>
      <c r="AC18" s="134" t="s">
        <v>69</v>
      </c>
      <c r="AD18" s="134" t="s">
        <v>69</v>
      </c>
      <c r="AE18" s="134" t="s">
        <v>69</v>
      </c>
      <c r="AF18" s="134" t="s">
        <v>69</v>
      </c>
      <c r="AG18" s="329" t="s">
        <v>108</v>
      </c>
      <c r="AH18" s="168" t="s">
        <v>69</v>
      </c>
      <c r="AI18" s="239" t="s">
        <v>69</v>
      </c>
      <c r="AJ18" s="174"/>
    </row>
    <row r="19" spans="1:36" ht="18">
      <c r="A19" s="5">
        <v>18</v>
      </c>
      <c r="B19" s="196" t="s">
        <v>20</v>
      </c>
      <c r="C19" s="169">
        <v>1</v>
      </c>
      <c r="D19" s="169">
        <f t="shared" si="0"/>
        <v>1</v>
      </c>
      <c r="E19" s="169">
        <f t="shared" si="1"/>
        <v>0</v>
      </c>
      <c r="F19" s="205" t="s">
        <v>69</v>
      </c>
      <c r="G19" s="205" t="s">
        <v>69</v>
      </c>
      <c r="H19" s="205" t="s">
        <v>69</v>
      </c>
      <c r="I19" s="205" t="s">
        <v>69</v>
      </c>
      <c r="J19" s="205" t="s">
        <v>69</v>
      </c>
      <c r="K19" s="241" t="s">
        <v>175</v>
      </c>
      <c r="L19" s="175" t="s">
        <v>108</v>
      </c>
      <c r="M19" s="121" t="s">
        <v>72</v>
      </c>
      <c r="N19" s="134" t="s">
        <v>69</v>
      </c>
      <c r="O19" s="134" t="s">
        <v>69</v>
      </c>
      <c r="P19" s="134" t="s">
        <v>69</v>
      </c>
      <c r="Q19" s="134" t="s">
        <v>69</v>
      </c>
      <c r="R19" s="134" t="s">
        <v>69</v>
      </c>
      <c r="S19" s="175" t="s">
        <v>108</v>
      </c>
      <c r="T19" s="134" t="s">
        <v>69</v>
      </c>
      <c r="U19" s="168" t="s">
        <v>69</v>
      </c>
      <c r="V19" s="168" t="s">
        <v>69</v>
      </c>
      <c r="W19" s="168" t="s">
        <v>69</v>
      </c>
      <c r="X19" s="168" t="s">
        <v>69</v>
      </c>
      <c r="Y19" s="168" t="s">
        <v>69</v>
      </c>
      <c r="Z19" s="327" t="s">
        <v>108</v>
      </c>
      <c r="AA19" s="134" t="s">
        <v>69</v>
      </c>
      <c r="AB19" s="134" t="s">
        <v>69</v>
      </c>
      <c r="AC19" s="134" t="s">
        <v>69</v>
      </c>
      <c r="AD19" s="134" t="s">
        <v>69</v>
      </c>
      <c r="AE19" s="134" t="s">
        <v>69</v>
      </c>
      <c r="AF19" s="134" t="s">
        <v>69</v>
      </c>
      <c r="AG19" s="329" t="s">
        <v>108</v>
      </c>
      <c r="AH19" s="134" t="s">
        <v>69</v>
      </c>
      <c r="AI19" s="239" t="s">
        <v>69</v>
      </c>
      <c r="AJ19" s="175"/>
    </row>
    <row r="20" spans="1:36" ht="18">
      <c r="A20" s="5">
        <v>19</v>
      </c>
      <c r="B20" s="69" t="s">
        <v>97</v>
      </c>
      <c r="C20" s="169"/>
      <c r="D20" s="169">
        <f t="shared" si="0"/>
        <v>0</v>
      </c>
      <c r="E20" s="169">
        <f t="shared" si="1"/>
        <v>0</v>
      </c>
      <c r="F20" s="197" t="s">
        <v>72</v>
      </c>
      <c r="G20" s="134" t="s">
        <v>69</v>
      </c>
      <c r="H20" s="134" t="s">
        <v>69</v>
      </c>
      <c r="I20" s="134" t="s">
        <v>69</v>
      </c>
      <c r="J20" s="134" t="s">
        <v>69</v>
      </c>
      <c r="K20" s="241" t="s">
        <v>175</v>
      </c>
      <c r="L20" s="175" t="s">
        <v>108</v>
      </c>
      <c r="M20" s="134" t="s">
        <v>69</v>
      </c>
      <c r="N20" s="134" t="s">
        <v>69</v>
      </c>
      <c r="O20" s="134" t="s">
        <v>69</v>
      </c>
      <c r="P20" s="134" t="s">
        <v>69</v>
      </c>
      <c r="Q20" s="134" t="s">
        <v>69</v>
      </c>
      <c r="R20" s="147" t="s">
        <v>92</v>
      </c>
      <c r="S20" s="175" t="s">
        <v>108</v>
      </c>
      <c r="T20" s="134" t="s">
        <v>69</v>
      </c>
      <c r="U20" s="168" t="s">
        <v>69</v>
      </c>
      <c r="V20" s="168" t="s">
        <v>69</v>
      </c>
      <c r="W20" s="168" t="s">
        <v>69</v>
      </c>
      <c r="X20" s="168" t="s">
        <v>69</v>
      </c>
      <c r="Y20" s="168" t="s">
        <v>69</v>
      </c>
      <c r="Z20" s="327" t="s">
        <v>108</v>
      </c>
      <c r="AA20" s="121" t="s">
        <v>72</v>
      </c>
      <c r="AB20" s="134" t="s">
        <v>69</v>
      </c>
      <c r="AC20" s="134" t="s">
        <v>69</v>
      </c>
      <c r="AD20" s="134" t="s">
        <v>69</v>
      </c>
      <c r="AE20" s="134" t="s">
        <v>69</v>
      </c>
      <c r="AF20" s="134" t="s">
        <v>69</v>
      </c>
      <c r="AG20" s="329" t="s">
        <v>108</v>
      </c>
      <c r="AH20" s="168" t="s">
        <v>69</v>
      </c>
      <c r="AI20" s="169" t="s">
        <v>69</v>
      </c>
      <c r="AJ20" s="175"/>
    </row>
    <row r="21" spans="1:36" ht="18">
      <c r="A21" s="5">
        <v>20</v>
      </c>
      <c r="B21" s="196" t="s">
        <v>22</v>
      </c>
      <c r="C21" s="169">
        <v>1</v>
      </c>
      <c r="D21" s="169">
        <f t="shared" si="0"/>
        <v>1</v>
      </c>
      <c r="E21" s="169">
        <f t="shared" si="1"/>
        <v>0</v>
      </c>
      <c r="F21" s="205" t="s">
        <v>69</v>
      </c>
      <c r="G21" s="205" t="s">
        <v>69</v>
      </c>
      <c r="H21" s="205" t="s">
        <v>69</v>
      </c>
      <c r="I21" s="205" t="s">
        <v>69</v>
      </c>
      <c r="J21" s="205" t="s">
        <v>69</v>
      </c>
      <c r="K21" s="205" t="s">
        <v>69</v>
      </c>
      <c r="L21" s="175" t="s">
        <v>108</v>
      </c>
      <c r="M21" s="134" t="s">
        <v>69</v>
      </c>
      <c r="N21" s="134" t="s">
        <v>69</v>
      </c>
      <c r="O21" s="134" t="s">
        <v>69</v>
      </c>
      <c r="P21" s="134" t="s">
        <v>69</v>
      </c>
      <c r="Q21" s="134" t="s">
        <v>69</v>
      </c>
      <c r="R21" s="134" t="s">
        <v>69</v>
      </c>
      <c r="S21" s="175" t="s">
        <v>108</v>
      </c>
      <c r="T21" s="134" t="s">
        <v>69</v>
      </c>
      <c r="U21" s="147" t="s">
        <v>92</v>
      </c>
      <c r="V21" s="134" t="s">
        <v>69</v>
      </c>
      <c r="W21" s="134" t="s">
        <v>69</v>
      </c>
      <c r="X21" s="134" t="s">
        <v>69</v>
      </c>
      <c r="Y21" s="134" t="s">
        <v>192</v>
      </c>
      <c r="Z21" s="327" t="s">
        <v>108</v>
      </c>
      <c r="AA21" s="168" t="s">
        <v>69</v>
      </c>
      <c r="AB21" s="168" t="s">
        <v>69</v>
      </c>
      <c r="AC21" s="121" t="s">
        <v>72</v>
      </c>
      <c r="AD21" s="134" t="s">
        <v>69</v>
      </c>
      <c r="AE21" s="134" t="s">
        <v>69</v>
      </c>
      <c r="AF21" s="134" t="s">
        <v>69</v>
      </c>
      <c r="AG21" s="329" t="s">
        <v>108</v>
      </c>
      <c r="AH21" s="168" t="s">
        <v>69</v>
      </c>
      <c r="AI21" s="168" t="s">
        <v>69</v>
      </c>
      <c r="AJ21" s="175"/>
    </row>
    <row r="22" spans="1:36" ht="18">
      <c r="A22" s="5">
        <v>21</v>
      </c>
      <c r="B22" s="196" t="s">
        <v>179</v>
      </c>
      <c r="C22" s="169">
        <v>2.5</v>
      </c>
      <c r="D22" s="169">
        <v>1</v>
      </c>
      <c r="E22" s="169">
        <f t="shared" si="1"/>
        <v>1.5</v>
      </c>
      <c r="F22" s="205" t="s">
        <v>69</v>
      </c>
      <c r="G22" s="242" t="s">
        <v>94</v>
      </c>
      <c r="H22" s="121" t="s">
        <v>72</v>
      </c>
      <c r="I22" s="205" t="s">
        <v>69</v>
      </c>
      <c r="J22" s="205" t="s">
        <v>69</v>
      </c>
      <c r="K22" s="205" t="s">
        <v>69</v>
      </c>
      <c r="L22" s="175" t="s">
        <v>108</v>
      </c>
      <c r="M22" s="134" t="s">
        <v>69</v>
      </c>
      <c r="N22" s="134" t="s">
        <v>69</v>
      </c>
      <c r="O22" s="134" t="s">
        <v>69</v>
      </c>
      <c r="P22" s="134" t="s">
        <v>69</v>
      </c>
      <c r="Q22" s="134" t="s">
        <v>69</v>
      </c>
      <c r="R22" s="134" t="s">
        <v>69</v>
      </c>
      <c r="S22" s="175" t="s">
        <v>108</v>
      </c>
      <c r="T22" s="134" t="s">
        <v>69</v>
      </c>
      <c r="U22" s="134" t="s">
        <v>69</v>
      </c>
      <c r="V22" s="134" t="s">
        <v>69</v>
      </c>
      <c r="W22" s="134" t="s">
        <v>69</v>
      </c>
      <c r="X22" s="134" t="s">
        <v>69</v>
      </c>
      <c r="Y22" s="134" t="s">
        <v>69</v>
      </c>
      <c r="Z22" s="327" t="s">
        <v>108</v>
      </c>
      <c r="AA22" s="168" t="s">
        <v>69</v>
      </c>
      <c r="AB22" s="168" t="s">
        <v>69</v>
      </c>
      <c r="AC22" s="121" t="s">
        <v>72</v>
      </c>
      <c r="AD22" s="134" t="s">
        <v>69</v>
      </c>
      <c r="AE22" s="134" t="s">
        <v>69</v>
      </c>
      <c r="AF22" s="134" t="s">
        <v>69</v>
      </c>
      <c r="AG22" s="329" t="s">
        <v>108</v>
      </c>
      <c r="AH22" s="168" t="s">
        <v>69</v>
      </c>
      <c r="AI22" s="168" t="s">
        <v>69</v>
      </c>
      <c r="AJ22" s="175"/>
    </row>
    <row r="23" spans="1:36" ht="18">
      <c r="A23" s="5">
        <v>22</v>
      </c>
      <c r="B23" s="196" t="s">
        <v>140</v>
      </c>
      <c r="C23" s="169">
        <v>0</v>
      </c>
      <c r="D23" s="169">
        <f t="shared" si="0"/>
        <v>0</v>
      </c>
      <c r="E23" s="169">
        <f t="shared" si="1"/>
        <v>0</v>
      </c>
      <c r="F23" s="205" t="s">
        <v>69</v>
      </c>
      <c r="G23" s="205" t="s">
        <v>69</v>
      </c>
      <c r="H23" s="205" t="s">
        <v>69</v>
      </c>
      <c r="I23" s="205" t="s">
        <v>69</v>
      </c>
      <c r="J23" s="205" t="s">
        <v>69</v>
      </c>
      <c r="K23" s="205" t="s">
        <v>69</v>
      </c>
      <c r="L23" s="175" t="s">
        <v>108</v>
      </c>
      <c r="M23" s="134" t="s">
        <v>69</v>
      </c>
      <c r="N23" s="134" t="s">
        <v>69</v>
      </c>
      <c r="O23" s="134" t="s">
        <v>69</v>
      </c>
      <c r="P23" s="147" t="s">
        <v>92</v>
      </c>
      <c r="Q23" s="134" t="s">
        <v>69</v>
      </c>
      <c r="R23" s="134" t="s">
        <v>69</v>
      </c>
      <c r="S23" s="175" t="s">
        <v>108</v>
      </c>
      <c r="T23" s="147" t="s">
        <v>92</v>
      </c>
      <c r="U23" s="134" t="s">
        <v>69</v>
      </c>
      <c r="V23" s="281" t="s">
        <v>92</v>
      </c>
      <c r="W23" s="134" t="s">
        <v>69</v>
      </c>
      <c r="X23" s="134" t="s">
        <v>69</v>
      </c>
      <c r="Y23" s="276" t="s">
        <v>197</v>
      </c>
      <c r="Z23" s="327" t="s">
        <v>108</v>
      </c>
      <c r="AA23" s="168" t="s">
        <v>69</v>
      </c>
      <c r="AB23" s="168" t="s">
        <v>69</v>
      </c>
      <c r="AC23" s="168" t="s">
        <v>69</v>
      </c>
      <c r="AD23" s="134" t="s">
        <v>69</v>
      </c>
      <c r="AE23" s="134" t="s">
        <v>69</v>
      </c>
      <c r="AF23" s="134" t="s">
        <v>69</v>
      </c>
      <c r="AG23" s="329" t="s">
        <v>108</v>
      </c>
      <c r="AH23" s="134" t="s">
        <v>69</v>
      </c>
      <c r="AI23" s="134" t="s">
        <v>69</v>
      </c>
      <c r="AJ23" s="175"/>
    </row>
    <row r="24" spans="1:36" ht="18">
      <c r="A24" s="5">
        <v>23</v>
      </c>
      <c r="B24" s="133" t="s">
        <v>198</v>
      </c>
      <c r="C24" s="168"/>
      <c r="D24" s="169">
        <f t="shared" si="0"/>
        <v>0</v>
      </c>
      <c r="E24" s="169">
        <f t="shared" si="1"/>
        <v>0</v>
      </c>
      <c r="F24" s="205" t="s">
        <v>69</v>
      </c>
      <c r="G24" s="197" t="s">
        <v>76</v>
      </c>
      <c r="H24" s="197" t="s">
        <v>76</v>
      </c>
      <c r="I24" s="197" t="s">
        <v>76</v>
      </c>
      <c r="J24" s="197" t="s">
        <v>76</v>
      </c>
      <c r="K24" s="197" t="s">
        <v>76</v>
      </c>
      <c r="L24" s="175" t="s">
        <v>108</v>
      </c>
      <c r="M24" s="121" t="s">
        <v>76</v>
      </c>
      <c r="N24" s="121" t="s">
        <v>76</v>
      </c>
      <c r="O24" s="121" t="s">
        <v>76</v>
      </c>
      <c r="P24" s="121" t="s">
        <v>76</v>
      </c>
      <c r="Q24" s="121" t="s">
        <v>76</v>
      </c>
      <c r="R24" s="121" t="s">
        <v>76</v>
      </c>
      <c r="S24" s="175" t="s">
        <v>108</v>
      </c>
      <c r="T24" s="131" t="s">
        <v>76</v>
      </c>
      <c r="U24" s="131" t="s">
        <v>76</v>
      </c>
      <c r="V24" s="131" t="s">
        <v>76</v>
      </c>
      <c r="W24" s="131" t="s">
        <v>76</v>
      </c>
      <c r="X24" s="131" t="s">
        <v>76</v>
      </c>
      <c r="Y24" s="131" t="s">
        <v>76</v>
      </c>
      <c r="Z24" s="327" t="s">
        <v>108</v>
      </c>
      <c r="AA24" s="131" t="s">
        <v>76</v>
      </c>
      <c r="AB24" s="131" t="s">
        <v>76</v>
      </c>
      <c r="AC24" s="131" t="s">
        <v>76</v>
      </c>
      <c r="AD24" s="131" t="s">
        <v>76</v>
      </c>
      <c r="AE24" s="131" t="s">
        <v>76</v>
      </c>
      <c r="AF24" s="131" t="s">
        <v>76</v>
      </c>
      <c r="AG24" s="329" t="s">
        <v>108</v>
      </c>
      <c r="AH24" s="121" t="s">
        <v>76</v>
      </c>
      <c r="AI24" s="121" t="s">
        <v>76</v>
      </c>
      <c r="AJ24" s="121" t="s">
        <v>76</v>
      </c>
    </row>
    <row r="25" spans="1:36" ht="18">
      <c r="A25" s="5">
        <v>24</v>
      </c>
      <c r="B25" s="196" t="s">
        <v>114</v>
      </c>
      <c r="C25" s="168">
        <v>0</v>
      </c>
      <c r="D25" s="169">
        <f t="shared" si="0"/>
        <v>0</v>
      </c>
      <c r="E25" s="169">
        <f t="shared" si="1"/>
        <v>0</v>
      </c>
      <c r="F25" s="205" t="s">
        <v>69</v>
      </c>
      <c r="G25" s="205" t="s">
        <v>69</v>
      </c>
      <c r="H25" s="205" t="s">
        <v>69</v>
      </c>
      <c r="I25" s="147" t="s">
        <v>92</v>
      </c>
      <c r="J25" s="321" t="s">
        <v>175</v>
      </c>
      <c r="K25" s="134" t="s">
        <v>69</v>
      </c>
      <c r="L25" s="175" t="s">
        <v>108</v>
      </c>
      <c r="M25" s="134" t="s">
        <v>69</v>
      </c>
      <c r="N25" s="134" t="s">
        <v>69</v>
      </c>
      <c r="O25" s="134" t="s">
        <v>69</v>
      </c>
      <c r="P25" s="134" t="s">
        <v>69</v>
      </c>
      <c r="Q25" s="134" t="s">
        <v>69</v>
      </c>
      <c r="R25" s="134" t="s">
        <v>69</v>
      </c>
      <c r="S25" s="175" t="s">
        <v>108</v>
      </c>
      <c r="T25" s="134" t="s">
        <v>69</v>
      </c>
      <c r="U25" s="134" t="s">
        <v>69</v>
      </c>
      <c r="V25" s="134" t="s">
        <v>69</v>
      </c>
      <c r="W25" s="134" t="s">
        <v>69</v>
      </c>
      <c r="X25" s="134" t="s">
        <v>69</v>
      </c>
      <c r="Y25" s="134" t="s">
        <v>69</v>
      </c>
      <c r="Z25" s="327" t="s">
        <v>108</v>
      </c>
      <c r="AA25" s="168" t="s">
        <v>69</v>
      </c>
      <c r="AB25" s="168" t="s">
        <v>69</v>
      </c>
      <c r="AC25" s="168" t="s">
        <v>69</v>
      </c>
      <c r="AD25" s="168" t="s">
        <v>69</v>
      </c>
      <c r="AE25" s="168" t="s">
        <v>69</v>
      </c>
      <c r="AF25" s="168" t="s">
        <v>69</v>
      </c>
      <c r="AG25" s="329" t="s">
        <v>108</v>
      </c>
      <c r="AH25" s="134" t="s">
        <v>69</v>
      </c>
      <c r="AI25" s="245" t="s">
        <v>69</v>
      </c>
      <c r="AJ25" s="174"/>
    </row>
    <row r="26" spans="1:36" ht="18">
      <c r="A26" s="5">
        <v>25</v>
      </c>
      <c r="B26" s="196" t="s">
        <v>26</v>
      </c>
      <c r="C26" s="168">
        <v>1</v>
      </c>
      <c r="D26" s="169">
        <f t="shared" si="0"/>
        <v>1</v>
      </c>
      <c r="E26" s="169">
        <f t="shared" si="1"/>
        <v>0</v>
      </c>
      <c r="F26" s="205" t="s">
        <v>69</v>
      </c>
      <c r="G26" s="205" t="s">
        <v>69</v>
      </c>
      <c r="H26" s="205" t="s">
        <v>69</v>
      </c>
      <c r="I26" s="205" t="s">
        <v>69</v>
      </c>
      <c r="J26" s="321" t="s">
        <v>175</v>
      </c>
      <c r="K26" s="134" t="s">
        <v>69</v>
      </c>
      <c r="L26" s="175" t="s">
        <v>108</v>
      </c>
      <c r="M26" s="134" t="s">
        <v>69</v>
      </c>
      <c r="N26" s="134" t="s">
        <v>69</v>
      </c>
      <c r="O26" s="134" t="s">
        <v>69</v>
      </c>
      <c r="P26" s="134" t="s">
        <v>69</v>
      </c>
      <c r="Q26" s="134" t="s">
        <v>69</v>
      </c>
      <c r="R26" s="134" t="s">
        <v>69</v>
      </c>
      <c r="S26" s="175" t="s">
        <v>108</v>
      </c>
      <c r="T26" s="134" t="s">
        <v>69</v>
      </c>
      <c r="U26" s="134" t="s">
        <v>69</v>
      </c>
      <c r="V26" s="134" t="s">
        <v>69</v>
      </c>
      <c r="W26" s="134" t="s">
        <v>69</v>
      </c>
      <c r="X26" s="134" t="s">
        <v>69</v>
      </c>
      <c r="Y26" s="134" t="s">
        <v>69</v>
      </c>
      <c r="Z26" s="327" t="s">
        <v>108</v>
      </c>
      <c r="AA26" s="168" t="s">
        <v>69</v>
      </c>
      <c r="AB26" s="168" t="s">
        <v>69</v>
      </c>
      <c r="AC26" s="168" t="s">
        <v>69</v>
      </c>
      <c r="AD26" s="168" t="s">
        <v>69</v>
      </c>
      <c r="AE26" s="168" t="s">
        <v>69</v>
      </c>
      <c r="AF26" s="168" t="s">
        <v>69</v>
      </c>
      <c r="AG26" s="329" t="s">
        <v>108</v>
      </c>
      <c r="AH26" s="134" t="s">
        <v>69</v>
      </c>
      <c r="AI26" s="169" t="s">
        <v>69</v>
      </c>
      <c r="AJ26" s="175"/>
    </row>
    <row r="27" spans="1:36" ht="18">
      <c r="A27" s="5">
        <v>26</v>
      </c>
      <c r="B27" s="196" t="s">
        <v>27</v>
      </c>
      <c r="C27" s="169">
        <v>2</v>
      </c>
      <c r="D27" s="169">
        <f t="shared" si="0"/>
        <v>2</v>
      </c>
      <c r="E27" s="169">
        <f t="shared" si="1"/>
        <v>0</v>
      </c>
      <c r="F27" s="205" t="s">
        <v>69</v>
      </c>
      <c r="G27" s="205" t="s">
        <v>69</v>
      </c>
      <c r="H27" s="205" t="s">
        <v>69</v>
      </c>
      <c r="I27" s="205" t="s">
        <v>69</v>
      </c>
      <c r="J27" s="321" t="s">
        <v>175</v>
      </c>
      <c r="K27" s="132" t="s">
        <v>94</v>
      </c>
      <c r="L27" s="175" t="s">
        <v>108</v>
      </c>
      <c r="M27" s="134" t="s">
        <v>69</v>
      </c>
      <c r="N27" s="134" t="s">
        <v>69</v>
      </c>
      <c r="O27" s="134" t="s">
        <v>69</v>
      </c>
      <c r="P27" s="121" t="s">
        <v>72</v>
      </c>
      <c r="Q27" s="147" t="s">
        <v>92</v>
      </c>
      <c r="R27" s="134" t="s">
        <v>69</v>
      </c>
      <c r="S27" s="175" t="s">
        <v>108</v>
      </c>
      <c r="T27" s="134" t="s">
        <v>69</v>
      </c>
      <c r="U27" s="134" t="s">
        <v>69</v>
      </c>
      <c r="V27" s="134" t="s">
        <v>69</v>
      </c>
      <c r="W27" s="134" t="s">
        <v>69</v>
      </c>
      <c r="X27" s="147" t="s">
        <v>92</v>
      </c>
      <c r="Y27" s="168" t="s">
        <v>69</v>
      </c>
      <c r="Z27" s="327" t="s">
        <v>108</v>
      </c>
      <c r="AA27" s="168" t="s">
        <v>69</v>
      </c>
      <c r="AB27" s="168" t="s">
        <v>69</v>
      </c>
      <c r="AC27" s="168" t="s">
        <v>69</v>
      </c>
      <c r="AD27" s="168" t="s">
        <v>69</v>
      </c>
      <c r="AE27" s="168" t="s">
        <v>69</v>
      </c>
      <c r="AF27" s="168" t="s">
        <v>69</v>
      </c>
      <c r="AG27" s="329" t="s">
        <v>108</v>
      </c>
      <c r="AH27" s="168" t="s">
        <v>69</v>
      </c>
      <c r="AI27" s="153" t="s">
        <v>199</v>
      </c>
      <c r="AJ27" s="175"/>
    </row>
    <row r="28" spans="1:36" ht="18">
      <c r="A28" s="5">
        <v>27</v>
      </c>
      <c r="B28" s="196" t="s">
        <v>28</v>
      </c>
      <c r="C28" s="169">
        <v>1</v>
      </c>
      <c r="D28" s="169">
        <f t="shared" si="0"/>
        <v>1</v>
      </c>
      <c r="E28" s="169">
        <f t="shared" si="1"/>
        <v>0</v>
      </c>
      <c r="F28" s="205" t="s">
        <v>200</v>
      </c>
      <c r="G28" s="205" t="s">
        <v>69</v>
      </c>
      <c r="H28" s="205" t="s">
        <v>69</v>
      </c>
      <c r="I28" s="205" t="s">
        <v>69</v>
      </c>
      <c r="J28" s="248" t="s">
        <v>92</v>
      </c>
      <c r="K28" s="200" t="s">
        <v>201</v>
      </c>
      <c r="L28" s="175" t="s">
        <v>108</v>
      </c>
      <c r="M28" s="134" t="s">
        <v>69</v>
      </c>
      <c r="N28" s="134" t="s">
        <v>69</v>
      </c>
      <c r="O28" s="134" t="s">
        <v>69</v>
      </c>
      <c r="P28" s="134" t="s">
        <v>69</v>
      </c>
      <c r="Q28" s="147" t="s">
        <v>92</v>
      </c>
      <c r="R28" s="134" t="s">
        <v>69</v>
      </c>
      <c r="S28" s="175" t="s">
        <v>108</v>
      </c>
      <c r="T28" s="134" t="s">
        <v>69</v>
      </c>
      <c r="U28" s="134" t="s">
        <v>69</v>
      </c>
      <c r="V28" s="134" t="s">
        <v>69</v>
      </c>
      <c r="W28" s="134" t="s">
        <v>69</v>
      </c>
      <c r="X28" s="134" t="s">
        <v>69</v>
      </c>
      <c r="Y28" s="121" t="s">
        <v>72</v>
      </c>
      <c r="Z28" s="327" t="s">
        <v>108</v>
      </c>
      <c r="AA28" s="168" t="s">
        <v>69</v>
      </c>
      <c r="AB28" s="168" t="s">
        <v>69</v>
      </c>
      <c r="AC28" s="134" t="s">
        <v>69</v>
      </c>
      <c r="AD28" s="134" t="s">
        <v>69</v>
      </c>
      <c r="AE28" s="134" t="s">
        <v>69</v>
      </c>
      <c r="AF28" s="134" t="s">
        <v>69</v>
      </c>
      <c r="AG28" s="329" t="s">
        <v>108</v>
      </c>
      <c r="AH28" s="239" t="s">
        <v>69</v>
      </c>
      <c r="AI28" s="169" t="s">
        <v>69</v>
      </c>
      <c r="AJ28" s="175"/>
    </row>
    <row r="29" spans="1:36" ht="18">
      <c r="A29" s="5">
        <v>28</v>
      </c>
      <c r="B29" s="196" t="s">
        <v>29</v>
      </c>
      <c r="C29" s="169">
        <v>0</v>
      </c>
      <c r="D29" s="169">
        <f t="shared" si="0"/>
        <v>0</v>
      </c>
      <c r="E29" s="169">
        <f t="shared" si="1"/>
        <v>0</v>
      </c>
      <c r="F29" s="134" t="s">
        <v>69</v>
      </c>
      <c r="G29" s="134" t="s">
        <v>69</v>
      </c>
      <c r="H29" s="134" t="s">
        <v>69</v>
      </c>
      <c r="I29" s="134" t="s">
        <v>69</v>
      </c>
      <c r="J29" s="324" t="s">
        <v>175</v>
      </c>
      <c r="K29" s="200" t="s">
        <v>69</v>
      </c>
      <c r="L29" s="175" t="s">
        <v>108</v>
      </c>
      <c r="M29" s="134" t="s">
        <v>69</v>
      </c>
      <c r="N29" s="134" t="s">
        <v>69</v>
      </c>
      <c r="O29" s="134" t="s">
        <v>69</v>
      </c>
      <c r="P29" s="134" t="s">
        <v>69</v>
      </c>
      <c r="Q29" s="134" t="s">
        <v>69</v>
      </c>
      <c r="R29" s="134" t="s">
        <v>69</v>
      </c>
      <c r="S29" s="175" t="s">
        <v>108</v>
      </c>
      <c r="T29" s="134" t="s">
        <v>69</v>
      </c>
      <c r="U29" s="134" t="s">
        <v>69</v>
      </c>
      <c r="V29" s="134" t="s">
        <v>69</v>
      </c>
      <c r="W29" s="134" t="s">
        <v>69</v>
      </c>
      <c r="X29" s="134" t="s">
        <v>69</v>
      </c>
      <c r="Y29" s="134" t="s">
        <v>69</v>
      </c>
      <c r="Z29" s="327" t="s">
        <v>108</v>
      </c>
      <c r="AA29" s="168" t="s">
        <v>69</v>
      </c>
      <c r="AB29" s="168" t="s">
        <v>69</v>
      </c>
      <c r="AC29" s="168" t="s">
        <v>69</v>
      </c>
      <c r="AD29" s="168" t="s">
        <v>69</v>
      </c>
      <c r="AE29" s="168" t="s">
        <v>69</v>
      </c>
      <c r="AF29" s="168" t="s">
        <v>69</v>
      </c>
      <c r="AG29" s="329" t="s">
        <v>108</v>
      </c>
      <c r="AH29" s="168" t="s">
        <v>69</v>
      </c>
      <c r="AI29" s="169" t="s">
        <v>69</v>
      </c>
      <c r="AJ29" s="175"/>
    </row>
    <row r="30" spans="1:36" ht="18">
      <c r="A30" s="5">
        <v>29</v>
      </c>
      <c r="B30" s="196" t="s">
        <v>181</v>
      </c>
      <c r="C30" s="169">
        <v>3</v>
      </c>
      <c r="D30" s="169">
        <v>1</v>
      </c>
      <c r="E30" s="169">
        <f t="shared" si="1"/>
        <v>2</v>
      </c>
      <c r="F30" s="134" t="s">
        <v>69</v>
      </c>
      <c r="G30" s="134" t="s">
        <v>69</v>
      </c>
      <c r="H30" s="134" t="s">
        <v>69</v>
      </c>
      <c r="I30" s="134" t="s">
        <v>69</v>
      </c>
      <c r="J30" s="318" t="s">
        <v>72</v>
      </c>
      <c r="K30" s="272" t="s">
        <v>69</v>
      </c>
      <c r="L30" s="175" t="s">
        <v>108</v>
      </c>
      <c r="M30" s="134" t="s">
        <v>69</v>
      </c>
      <c r="N30" s="134" t="s">
        <v>69</v>
      </c>
      <c r="O30" s="134" t="s">
        <v>69</v>
      </c>
      <c r="P30" s="134" t="s">
        <v>69</v>
      </c>
      <c r="Q30" s="134" t="s">
        <v>69</v>
      </c>
      <c r="R30" s="134" t="s">
        <v>69</v>
      </c>
      <c r="S30" s="175" t="s">
        <v>108</v>
      </c>
      <c r="T30" s="134" t="s">
        <v>69</v>
      </c>
      <c r="U30" s="134" t="s">
        <v>69</v>
      </c>
      <c r="V30" s="134" t="s">
        <v>69</v>
      </c>
      <c r="W30" s="134" t="s">
        <v>69</v>
      </c>
      <c r="X30" s="134" t="s">
        <v>69</v>
      </c>
      <c r="Y30" s="134" t="s">
        <v>69</v>
      </c>
      <c r="Z30" s="327" t="s">
        <v>108</v>
      </c>
      <c r="AA30" s="168" t="s">
        <v>69</v>
      </c>
      <c r="AB30" s="168" t="s">
        <v>69</v>
      </c>
      <c r="AC30" s="168" t="s">
        <v>69</v>
      </c>
      <c r="AD30" s="168" t="s">
        <v>69</v>
      </c>
      <c r="AE30" s="168" t="s">
        <v>69</v>
      </c>
      <c r="AF30" s="168" t="s">
        <v>69</v>
      </c>
      <c r="AG30" s="329" t="s">
        <v>108</v>
      </c>
      <c r="AH30" s="121" t="s">
        <v>72</v>
      </c>
      <c r="AI30" s="169" t="s">
        <v>199</v>
      </c>
      <c r="AJ30" s="175"/>
    </row>
    <row r="31" spans="1:36" ht="18">
      <c r="A31" s="5">
        <v>30</v>
      </c>
      <c r="B31" s="196" t="s">
        <v>182</v>
      </c>
      <c r="C31" s="169">
        <v>4.5</v>
      </c>
      <c r="D31" s="169">
        <v>1</v>
      </c>
      <c r="E31" s="169">
        <f t="shared" si="1"/>
        <v>3.5</v>
      </c>
      <c r="F31" s="134" t="s">
        <v>69</v>
      </c>
      <c r="G31" s="249" t="s">
        <v>73</v>
      </c>
      <c r="H31" s="134" t="s">
        <v>69</v>
      </c>
      <c r="I31" s="134" t="s">
        <v>69</v>
      </c>
      <c r="J31" s="134" t="s">
        <v>69</v>
      </c>
      <c r="K31" s="134" t="s">
        <v>69</v>
      </c>
      <c r="L31" s="175" t="s">
        <v>108</v>
      </c>
      <c r="M31" s="134" t="s">
        <v>69</v>
      </c>
      <c r="N31" s="121" t="s">
        <v>72</v>
      </c>
      <c r="O31" s="121" t="s">
        <v>72</v>
      </c>
      <c r="P31" s="121" t="s">
        <v>72</v>
      </c>
      <c r="Q31" s="134" t="s">
        <v>69</v>
      </c>
      <c r="R31" s="134" t="s">
        <v>69</v>
      </c>
      <c r="S31" s="175" t="s">
        <v>108</v>
      </c>
      <c r="T31" s="134" t="s">
        <v>69</v>
      </c>
      <c r="U31" s="134" t="s">
        <v>69</v>
      </c>
      <c r="V31" s="134" t="s">
        <v>69</v>
      </c>
      <c r="W31" s="134" t="s">
        <v>69</v>
      </c>
      <c r="X31" s="134" t="s">
        <v>69</v>
      </c>
      <c r="Y31" s="134" t="s">
        <v>69</v>
      </c>
      <c r="Z31" s="327" t="s">
        <v>108</v>
      </c>
      <c r="AA31" s="204" t="s">
        <v>72</v>
      </c>
      <c r="AB31" s="168" t="s">
        <v>69</v>
      </c>
      <c r="AC31" s="168" t="s">
        <v>69</v>
      </c>
      <c r="AD31" s="168" t="s">
        <v>69</v>
      </c>
      <c r="AE31" s="168" t="s">
        <v>69</v>
      </c>
      <c r="AF31" s="168" t="s">
        <v>69</v>
      </c>
      <c r="AG31" s="329" t="s">
        <v>108</v>
      </c>
      <c r="AH31" s="168" t="s">
        <v>69</v>
      </c>
      <c r="AI31" s="168" t="s">
        <v>69</v>
      </c>
      <c r="AJ31" s="174"/>
    </row>
    <row r="32" spans="1:36" ht="18">
      <c r="A32" s="5">
        <v>31</v>
      </c>
      <c r="B32" s="196" t="s">
        <v>30</v>
      </c>
      <c r="C32" s="169">
        <v>0.5</v>
      </c>
      <c r="D32" s="169">
        <f t="shared" si="0"/>
        <v>0.5</v>
      </c>
      <c r="E32" s="169">
        <f t="shared" si="1"/>
        <v>0</v>
      </c>
      <c r="F32" s="134" t="s">
        <v>69</v>
      </c>
      <c r="G32" s="134" t="s">
        <v>69</v>
      </c>
      <c r="H32" s="134" t="s">
        <v>69</v>
      </c>
      <c r="I32" s="134" t="s">
        <v>69</v>
      </c>
      <c r="J32" s="323" t="s">
        <v>175</v>
      </c>
      <c r="K32" s="240" t="s">
        <v>69</v>
      </c>
      <c r="L32" s="175" t="s">
        <v>108</v>
      </c>
      <c r="M32" s="191" t="s">
        <v>94</v>
      </c>
      <c r="N32" s="134" t="s">
        <v>69</v>
      </c>
      <c r="O32" s="134" t="s">
        <v>69</v>
      </c>
      <c r="P32" s="134" t="s">
        <v>69</v>
      </c>
      <c r="Q32" s="134" t="s">
        <v>69</v>
      </c>
      <c r="R32" s="134" t="s">
        <v>69</v>
      </c>
      <c r="S32" s="175" t="s">
        <v>108</v>
      </c>
      <c r="T32" s="134" t="s">
        <v>69</v>
      </c>
      <c r="U32" s="134" t="s">
        <v>69</v>
      </c>
      <c r="V32" s="134" t="s">
        <v>69</v>
      </c>
      <c r="W32" s="134" t="s">
        <v>69</v>
      </c>
      <c r="X32" s="134" t="s">
        <v>69</v>
      </c>
      <c r="Y32" s="134" t="s">
        <v>69</v>
      </c>
      <c r="Z32" s="330" t="s">
        <v>108</v>
      </c>
      <c r="AA32" s="120" t="s">
        <v>69</v>
      </c>
      <c r="AB32" s="333" t="s">
        <v>69</v>
      </c>
      <c r="AC32" s="220" t="s">
        <v>69</v>
      </c>
      <c r="AD32" s="220" t="s">
        <v>69</v>
      </c>
      <c r="AE32" s="168" t="s">
        <v>69</v>
      </c>
      <c r="AF32" s="168" t="s">
        <v>69</v>
      </c>
      <c r="AG32" s="329" t="s">
        <v>108</v>
      </c>
      <c r="AH32" s="239" t="s">
        <v>69</v>
      </c>
      <c r="AI32" s="239" t="s">
        <v>69</v>
      </c>
      <c r="AJ32" s="175"/>
    </row>
    <row r="33" spans="1:36" ht="18">
      <c r="A33" s="5">
        <v>32</v>
      </c>
      <c r="B33" s="196" t="s">
        <v>183</v>
      </c>
      <c r="C33" s="169">
        <v>0</v>
      </c>
      <c r="D33" s="169">
        <f t="shared" si="0"/>
        <v>0</v>
      </c>
      <c r="E33" s="169">
        <f t="shared" si="1"/>
        <v>0</v>
      </c>
      <c r="F33" s="134" t="s">
        <v>69</v>
      </c>
      <c r="G33" s="134" t="s">
        <v>69</v>
      </c>
      <c r="H33" s="134" t="s">
        <v>69</v>
      </c>
      <c r="I33" s="134" t="s">
        <v>69</v>
      </c>
      <c r="J33" s="324" t="s">
        <v>175</v>
      </c>
      <c r="K33" s="200" t="s">
        <v>69</v>
      </c>
      <c r="L33" s="175" t="s">
        <v>108</v>
      </c>
      <c r="M33" s="200" t="s">
        <v>69</v>
      </c>
      <c r="N33" s="200" t="s">
        <v>69</v>
      </c>
      <c r="O33" s="200" t="s">
        <v>69</v>
      </c>
      <c r="P33" s="200" t="s">
        <v>69</v>
      </c>
      <c r="Q33" s="200" t="s">
        <v>69</v>
      </c>
      <c r="R33" s="200" t="s">
        <v>69</v>
      </c>
      <c r="S33" s="175" t="s">
        <v>108</v>
      </c>
      <c r="T33" s="134" t="s">
        <v>69</v>
      </c>
      <c r="U33" s="134" t="s">
        <v>69</v>
      </c>
      <c r="V33" s="134" t="s">
        <v>69</v>
      </c>
      <c r="W33" s="134" t="s">
        <v>69</v>
      </c>
      <c r="X33" s="134" t="s">
        <v>69</v>
      </c>
      <c r="Y33" s="134" t="s">
        <v>69</v>
      </c>
      <c r="Z33" s="330" t="s">
        <v>108</v>
      </c>
      <c r="AA33" s="140" t="s">
        <v>69</v>
      </c>
      <c r="AB33" s="120" t="s">
        <v>69</v>
      </c>
      <c r="AC33" s="120" t="s">
        <v>69</v>
      </c>
      <c r="AD33" s="120" t="s">
        <v>69</v>
      </c>
      <c r="AE33" s="332" t="s">
        <v>92</v>
      </c>
      <c r="AF33" s="205" t="s">
        <v>69</v>
      </c>
      <c r="AG33" s="329" t="s">
        <v>108</v>
      </c>
      <c r="AH33" s="168" t="s">
        <v>69</v>
      </c>
      <c r="AI33" s="215"/>
      <c r="AJ33" s="175"/>
    </row>
    <row r="34" spans="1:36" ht="18">
      <c r="A34" s="5">
        <v>33</v>
      </c>
      <c r="B34" s="133" t="s">
        <v>202</v>
      </c>
      <c r="C34" s="169"/>
      <c r="D34" s="169">
        <f t="shared" si="0"/>
        <v>0</v>
      </c>
      <c r="E34" s="169">
        <f t="shared" si="1"/>
        <v>0</v>
      </c>
      <c r="F34" s="134" t="s">
        <v>69</v>
      </c>
      <c r="G34" s="309" t="s">
        <v>92</v>
      </c>
      <c r="H34" s="134" t="s">
        <v>69</v>
      </c>
      <c r="I34" s="134" t="s">
        <v>69</v>
      </c>
      <c r="J34" s="134" t="s">
        <v>69</v>
      </c>
      <c r="K34" s="326" t="s">
        <v>175</v>
      </c>
      <c r="L34" s="175" t="s">
        <v>108</v>
      </c>
      <c r="M34" s="318" t="s">
        <v>72</v>
      </c>
      <c r="N34" s="121" t="s">
        <v>76</v>
      </c>
      <c r="O34" s="121" t="s">
        <v>76</v>
      </c>
      <c r="P34" s="121" t="s">
        <v>76</v>
      </c>
      <c r="Q34" s="121" t="s">
        <v>76</v>
      </c>
      <c r="R34" s="121" t="s">
        <v>76</v>
      </c>
      <c r="S34" s="175" t="s">
        <v>108</v>
      </c>
      <c r="T34" s="131" t="s">
        <v>76</v>
      </c>
      <c r="U34" s="131" t="s">
        <v>76</v>
      </c>
      <c r="V34" s="131" t="s">
        <v>76</v>
      </c>
      <c r="W34" s="131" t="s">
        <v>76</v>
      </c>
      <c r="X34" s="131" t="s">
        <v>76</v>
      </c>
      <c r="Y34" s="131" t="s">
        <v>76</v>
      </c>
      <c r="Z34" s="327" t="s">
        <v>108</v>
      </c>
      <c r="AA34" s="331" t="s">
        <v>76</v>
      </c>
      <c r="AB34" s="331" t="s">
        <v>76</v>
      </c>
      <c r="AC34" s="331" t="s">
        <v>76</v>
      </c>
      <c r="AD34" s="331" t="s">
        <v>76</v>
      </c>
      <c r="AE34" s="131" t="s">
        <v>76</v>
      </c>
      <c r="AF34" s="131" t="s">
        <v>76</v>
      </c>
      <c r="AG34" s="329" t="s">
        <v>108</v>
      </c>
      <c r="AH34" s="334" t="s">
        <v>76</v>
      </c>
      <c r="AI34" s="334" t="s">
        <v>76</v>
      </c>
      <c r="AJ34" s="334" t="s">
        <v>76</v>
      </c>
    </row>
    <row r="35" spans="1:36" ht="18">
      <c r="A35" s="5">
        <v>34</v>
      </c>
      <c r="B35" s="196" t="s">
        <v>31</v>
      </c>
      <c r="C35" s="169">
        <v>2</v>
      </c>
      <c r="D35" s="169">
        <v>1.5</v>
      </c>
      <c r="E35" s="169">
        <f t="shared" si="1"/>
        <v>0.5</v>
      </c>
      <c r="F35" s="134" t="s">
        <v>121</v>
      </c>
      <c r="G35" s="134" t="s">
        <v>69</v>
      </c>
      <c r="H35" s="134" t="s">
        <v>69</v>
      </c>
      <c r="I35" s="134" t="s">
        <v>69</v>
      </c>
      <c r="J35" s="204" t="s">
        <v>72</v>
      </c>
      <c r="K35" s="199" t="s">
        <v>69</v>
      </c>
      <c r="L35" s="175" t="s">
        <v>108</v>
      </c>
      <c r="M35" s="199" t="s">
        <v>69</v>
      </c>
      <c r="N35" s="199" t="s">
        <v>69</v>
      </c>
      <c r="O35" s="199" t="s">
        <v>69</v>
      </c>
      <c r="P35" s="199" t="s">
        <v>69</v>
      </c>
      <c r="Q35" s="199" t="s">
        <v>69</v>
      </c>
      <c r="R35" s="199" t="s">
        <v>69</v>
      </c>
      <c r="S35" s="175" t="s">
        <v>108</v>
      </c>
      <c r="T35" s="328" t="s">
        <v>69</v>
      </c>
      <c r="U35" s="328" t="s">
        <v>69</v>
      </c>
      <c r="V35" s="328" t="s">
        <v>69</v>
      </c>
      <c r="W35" s="147" t="s">
        <v>92</v>
      </c>
      <c r="X35" s="168" t="s">
        <v>69</v>
      </c>
      <c r="Y35" s="168" t="s">
        <v>69</v>
      </c>
      <c r="Z35" s="327" t="s">
        <v>108</v>
      </c>
      <c r="AA35" s="168" t="s">
        <v>69</v>
      </c>
      <c r="AB35" s="168" t="s">
        <v>69</v>
      </c>
      <c r="AC35" s="168" t="s">
        <v>69</v>
      </c>
      <c r="AD35" s="168" t="s">
        <v>69</v>
      </c>
      <c r="AE35" s="121" t="s">
        <v>72</v>
      </c>
      <c r="AF35" s="134" t="s">
        <v>69</v>
      </c>
      <c r="AG35" s="329" t="s">
        <v>108</v>
      </c>
      <c r="AH35" s="172" t="s">
        <v>69</v>
      </c>
      <c r="AI35" s="239" t="s">
        <v>69</v>
      </c>
      <c r="AJ35" s="175"/>
    </row>
    <row r="36" spans="1:36" ht="18">
      <c r="A36" s="5">
        <v>35</v>
      </c>
      <c r="B36" s="70" t="s">
        <v>142</v>
      </c>
      <c r="C36" s="168">
        <v>0.5</v>
      </c>
      <c r="D36" s="169">
        <f t="shared" si="0"/>
        <v>0.5</v>
      </c>
      <c r="E36" s="169">
        <f t="shared" si="1"/>
        <v>0</v>
      </c>
      <c r="F36" s="134" t="s">
        <v>121</v>
      </c>
      <c r="G36" s="134" t="s">
        <v>69</v>
      </c>
      <c r="H36" s="134" t="s">
        <v>69</v>
      </c>
      <c r="I36" s="134" t="s">
        <v>69</v>
      </c>
      <c r="J36" s="134" t="s">
        <v>69</v>
      </c>
      <c r="K36" s="134" t="s">
        <v>69</v>
      </c>
      <c r="L36" s="175" t="s">
        <v>108</v>
      </c>
      <c r="M36" s="147" t="s">
        <v>92</v>
      </c>
      <c r="N36" s="199" t="s">
        <v>69</v>
      </c>
      <c r="O36" s="199" t="s">
        <v>69</v>
      </c>
      <c r="P36" s="199" t="s">
        <v>69</v>
      </c>
      <c r="Q36" s="199" t="s">
        <v>69</v>
      </c>
      <c r="R36" s="199" t="s">
        <v>69</v>
      </c>
      <c r="S36" s="175" t="s">
        <v>108</v>
      </c>
      <c r="T36" s="132" t="s">
        <v>94</v>
      </c>
      <c r="U36" s="328" t="s">
        <v>69</v>
      </c>
      <c r="V36" s="328" t="s">
        <v>69</v>
      </c>
      <c r="W36" s="328" t="s">
        <v>69</v>
      </c>
      <c r="X36" s="328" t="s">
        <v>69</v>
      </c>
      <c r="Y36" s="328" t="s">
        <v>69</v>
      </c>
      <c r="Z36" s="327" t="s">
        <v>108</v>
      </c>
      <c r="AA36" s="168" t="s">
        <v>69</v>
      </c>
      <c r="AB36" s="168" t="s">
        <v>69</v>
      </c>
      <c r="AC36" s="168" t="s">
        <v>69</v>
      </c>
      <c r="AD36" s="168" t="s">
        <v>69</v>
      </c>
      <c r="AE36" s="168" t="s">
        <v>69</v>
      </c>
      <c r="AF36" s="168" t="s">
        <v>69</v>
      </c>
      <c r="AG36" s="329" t="s">
        <v>108</v>
      </c>
      <c r="AH36" s="168" t="s">
        <v>69</v>
      </c>
      <c r="AI36" s="169" t="s">
        <v>69</v>
      </c>
      <c r="AJ36" s="175"/>
    </row>
    <row r="37" spans="1:36" ht="18">
      <c r="A37" s="5">
        <v>36</v>
      </c>
      <c r="B37" s="70" t="s">
        <v>33</v>
      </c>
      <c r="C37" s="168">
        <v>0</v>
      </c>
      <c r="D37" s="169">
        <f t="shared" si="0"/>
        <v>0</v>
      </c>
      <c r="E37" s="169">
        <f t="shared" si="1"/>
        <v>0</v>
      </c>
      <c r="F37" s="147" t="s">
        <v>92</v>
      </c>
      <c r="G37" s="134" t="s">
        <v>69</v>
      </c>
      <c r="H37" s="134" t="s">
        <v>69</v>
      </c>
      <c r="I37" s="134" t="s">
        <v>69</v>
      </c>
      <c r="J37" s="325" t="s">
        <v>175</v>
      </c>
      <c r="K37" s="134" t="s">
        <v>69</v>
      </c>
      <c r="L37" s="175" t="s">
        <v>108</v>
      </c>
      <c r="M37" s="134" t="s">
        <v>69</v>
      </c>
      <c r="N37" s="134" t="s">
        <v>69</v>
      </c>
      <c r="O37" s="134" t="s">
        <v>69</v>
      </c>
      <c r="P37" s="134" t="s">
        <v>69</v>
      </c>
      <c r="Q37" s="134" t="s">
        <v>69</v>
      </c>
      <c r="R37" s="134" t="s">
        <v>69</v>
      </c>
      <c r="S37" s="175" t="s">
        <v>108</v>
      </c>
      <c r="T37" s="328" t="s">
        <v>69</v>
      </c>
      <c r="U37" s="328" t="s">
        <v>69</v>
      </c>
      <c r="V37" s="328" t="s">
        <v>69</v>
      </c>
      <c r="W37" s="328" t="s">
        <v>69</v>
      </c>
      <c r="X37" s="328" t="s">
        <v>69</v>
      </c>
      <c r="Y37" s="328" t="s">
        <v>69</v>
      </c>
      <c r="Z37" s="327" t="s">
        <v>108</v>
      </c>
      <c r="AA37" s="168" t="s">
        <v>69</v>
      </c>
      <c r="AB37" s="168" t="s">
        <v>69</v>
      </c>
      <c r="AC37" s="168" t="s">
        <v>69</v>
      </c>
      <c r="AD37" s="168" t="s">
        <v>69</v>
      </c>
      <c r="AE37" s="130" t="s">
        <v>92</v>
      </c>
      <c r="AF37" s="239" t="s">
        <v>69</v>
      </c>
      <c r="AG37" s="329" t="s">
        <v>108</v>
      </c>
      <c r="AH37" s="244" t="s">
        <v>69</v>
      </c>
      <c r="AI37" s="130" t="s">
        <v>92</v>
      </c>
      <c r="AJ37" s="174"/>
    </row>
    <row r="38" spans="1:36" ht="18">
      <c r="A38" s="5">
        <v>37</v>
      </c>
      <c r="B38" s="247" t="s">
        <v>184</v>
      </c>
      <c r="C38" s="169">
        <v>2</v>
      </c>
      <c r="D38" s="169">
        <f t="shared" si="0"/>
        <v>2</v>
      </c>
      <c r="E38" s="169">
        <f t="shared" si="1"/>
        <v>0</v>
      </c>
      <c r="F38" s="288" t="s">
        <v>69</v>
      </c>
      <c r="G38" s="288" t="s">
        <v>69</v>
      </c>
      <c r="H38" s="288" t="s">
        <v>69</v>
      </c>
      <c r="I38" s="288" t="s">
        <v>69</v>
      </c>
      <c r="J38" s="288" t="s">
        <v>69</v>
      </c>
      <c r="K38" s="288" t="s">
        <v>69</v>
      </c>
      <c r="L38" s="175" t="s">
        <v>108</v>
      </c>
      <c r="M38" s="134" t="s">
        <v>69</v>
      </c>
      <c r="N38" s="121" t="s">
        <v>72</v>
      </c>
      <c r="O38" s="121" t="s">
        <v>72</v>
      </c>
      <c r="P38" s="134" t="s">
        <v>69</v>
      </c>
      <c r="Q38" s="134" t="s">
        <v>69</v>
      </c>
      <c r="R38" s="134" t="s">
        <v>69</v>
      </c>
      <c r="S38" s="175" t="s">
        <v>108</v>
      </c>
      <c r="T38" s="328" t="s">
        <v>69</v>
      </c>
      <c r="U38" s="328" t="s">
        <v>69</v>
      </c>
      <c r="V38" s="328" t="s">
        <v>69</v>
      </c>
      <c r="W38" s="328" t="s">
        <v>69</v>
      </c>
      <c r="X38" s="328" t="s">
        <v>69</v>
      </c>
      <c r="Y38" s="328" t="s">
        <v>69</v>
      </c>
      <c r="Z38" s="327" t="s">
        <v>108</v>
      </c>
      <c r="AA38" s="168" t="s">
        <v>69</v>
      </c>
      <c r="AB38" s="168" t="s">
        <v>69</v>
      </c>
      <c r="AC38" s="168" t="s">
        <v>69</v>
      </c>
      <c r="AD38" s="168" t="s">
        <v>69</v>
      </c>
      <c r="AE38" s="168" t="s">
        <v>69</v>
      </c>
      <c r="AF38" s="168" t="s">
        <v>69</v>
      </c>
      <c r="AG38" s="329" t="s">
        <v>108</v>
      </c>
      <c r="AH38" s="168" t="s">
        <v>69</v>
      </c>
      <c r="AI38" s="168" t="s">
        <v>69</v>
      </c>
      <c r="AJ38" s="175"/>
    </row>
    <row r="39" spans="1:36" ht="18">
      <c r="A39" s="5">
        <v>38</v>
      </c>
      <c r="B39" s="196" t="s">
        <v>77</v>
      </c>
      <c r="C39" s="169">
        <v>3</v>
      </c>
      <c r="D39" s="169">
        <v>1</v>
      </c>
      <c r="E39" s="169">
        <f t="shared" si="1"/>
        <v>2</v>
      </c>
      <c r="F39" s="288" t="s">
        <v>69</v>
      </c>
      <c r="G39" s="288" t="s">
        <v>69</v>
      </c>
      <c r="H39" s="288" t="s">
        <v>69</v>
      </c>
      <c r="I39" s="288" t="s">
        <v>69</v>
      </c>
      <c r="J39" s="121" t="s">
        <v>72</v>
      </c>
      <c r="K39" s="322" t="s">
        <v>175</v>
      </c>
      <c r="L39" s="175" t="s">
        <v>108</v>
      </c>
      <c r="M39" s="134" t="s">
        <v>69</v>
      </c>
      <c r="N39" s="134" t="s">
        <v>69</v>
      </c>
      <c r="O39" s="134" t="s">
        <v>69</v>
      </c>
      <c r="P39" s="134" t="s">
        <v>69</v>
      </c>
      <c r="Q39" s="134" t="s">
        <v>69</v>
      </c>
      <c r="R39" s="134" t="s">
        <v>69</v>
      </c>
      <c r="S39" s="175" t="s">
        <v>108</v>
      </c>
      <c r="T39" s="147" t="s">
        <v>92</v>
      </c>
      <c r="U39" s="328" t="s">
        <v>69</v>
      </c>
      <c r="V39" s="328" t="s">
        <v>69</v>
      </c>
      <c r="W39" s="328" t="s">
        <v>69</v>
      </c>
      <c r="X39" s="328" t="s">
        <v>69</v>
      </c>
      <c r="Y39" s="121" t="s">
        <v>72</v>
      </c>
      <c r="Z39" s="327" t="s">
        <v>108</v>
      </c>
      <c r="AA39" s="168" t="s">
        <v>69</v>
      </c>
      <c r="AB39" s="168" t="s">
        <v>69</v>
      </c>
      <c r="AC39" s="168" t="s">
        <v>69</v>
      </c>
      <c r="AD39" s="121" t="s">
        <v>72</v>
      </c>
      <c r="AE39" s="168" t="s">
        <v>69</v>
      </c>
      <c r="AF39" s="168" t="s">
        <v>69</v>
      </c>
      <c r="AG39" s="329" t="s">
        <v>108</v>
      </c>
      <c r="AH39" s="168" t="s">
        <v>69</v>
      </c>
      <c r="AI39" s="168" t="s">
        <v>69</v>
      </c>
      <c r="AJ39" s="175"/>
    </row>
    <row r="40" spans="1:36" ht="18">
      <c r="A40" s="5">
        <v>39</v>
      </c>
      <c r="B40" s="70" t="s">
        <v>35</v>
      </c>
      <c r="C40" s="169">
        <v>0</v>
      </c>
      <c r="D40" s="169">
        <f t="shared" si="0"/>
        <v>0</v>
      </c>
      <c r="E40" s="169">
        <f t="shared" si="1"/>
        <v>0</v>
      </c>
      <c r="F40" s="288" t="s">
        <v>69</v>
      </c>
      <c r="G40" s="288" t="s">
        <v>69</v>
      </c>
      <c r="H40" s="288" t="s">
        <v>69</v>
      </c>
      <c r="I40" s="288" t="s">
        <v>69</v>
      </c>
      <c r="J40" s="321" t="s">
        <v>175</v>
      </c>
      <c r="K40" s="134" t="s">
        <v>69</v>
      </c>
      <c r="L40" s="175" t="s">
        <v>108</v>
      </c>
      <c r="M40" s="134" t="s">
        <v>69</v>
      </c>
      <c r="N40" s="134" t="s">
        <v>69</v>
      </c>
      <c r="O40" s="134" t="s">
        <v>69</v>
      </c>
      <c r="P40" s="134" t="s">
        <v>69</v>
      </c>
      <c r="Q40" s="134" t="s">
        <v>69</v>
      </c>
      <c r="R40" s="134" t="s">
        <v>69</v>
      </c>
      <c r="S40" s="175" t="s">
        <v>108</v>
      </c>
      <c r="T40" s="134" t="s">
        <v>69</v>
      </c>
      <c r="U40" s="134" t="s">
        <v>69</v>
      </c>
      <c r="V40" s="134" t="s">
        <v>69</v>
      </c>
      <c r="W40" s="134" t="s">
        <v>69</v>
      </c>
      <c r="X40" s="134" t="s">
        <v>69</v>
      </c>
      <c r="Y40" s="134" t="s">
        <v>69</v>
      </c>
      <c r="Z40" s="327" t="s">
        <v>108</v>
      </c>
      <c r="AA40" s="168" t="s">
        <v>69</v>
      </c>
      <c r="AB40" s="168" t="s">
        <v>69</v>
      </c>
      <c r="AC40" s="168" t="s">
        <v>69</v>
      </c>
      <c r="AD40" s="168" t="s">
        <v>69</v>
      </c>
      <c r="AE40" s="168" t="s">
        <v>69</v>
      </c>
      <c r="AF40" s="168" t="s">
        <v>69</v>
      </c>
      <c r="AG40" s="329" t="s">
        <v>108</v>
      </c>
      <c r="AH40" s="168" t="s">
        <v>69</v>
      </c>
      <c r="AI40" s="169" t="s">
        <v>69</v>
      </c>
      <c r="AJ40" s="175"/>
    </row>
    <row r="41" spans="1:36" ht="18">
      <c r="A41" s="5">
        <v>40</v>
      </c>
      <c r="B41" s="70" t="s">
        <v>118</v>
      </c>
      <c r="C41" s="168">
        <v>2</v>
      </c>
      <c r="D41" s="169">
        <f t="shared" si="0"/>
        <v>2</v>
      </c>
      <c r="E41" s="169">
        <f t="shared" si="1"/>
        <v>0</v>
      </c>
      <c r="F41" s="121" t="s">
        <v>72</v>
      </c>
      <c r="G41" s="288" t="s">
        <v>69</v>
      </c>
      <c r="H41" s="288" t="s">
        <v>151</v>
      </c>
      <c r="I41" s="288" t="s">
        <v>69</v>
      </c>
      <c r="J41" s="321" t="s">
        <v>175</v>
      </c>
      <c r="K41" s="134" t="s">
        <v>69</v>
      </c>
      <c r="L41" s="175" t="s">
        <v>108</v>
      </c>
      <c r="M41" s="134" t="s">
        <v>69</v>
      </c>
      <c r="N41" s="134" t="s">
        <v>69</v>
      </c>
      <c r="O41" s="134" t="s">
        <v>69</v>
      </c>
      <c r="P41" s="134" t="s">
        <v>69</v>
      </c>
      <c r="Q41" s="134" t="s">
        <v>69</v>
      </c>
      <c r="R41" s="134" t="s">
        <v>69</v>
      </c>
      <c r="S41" s="175" t="s">
        <v>108</v>
      </c>
      <c r="T41" s="134" t="s">
        <v>69</v>
      </c>
      <c r="U41" s="134" t="s">
        <v>69</v>
      </c>
      <c r="V41" s="134" t="s">
        <v>69</v>
      </c>
      <c r="W41" s="134" t="s">
        <v>178</v>
      </c>
      <c r="X41" s="134" t="s">
        <v>69</v>
      </c>
      <c r="Y41" s="134" t="s">
        <v>69</v>
      </c>
      <c r="Z41" s="327" t="s">
        <v>108</v>
      </c>
      <c r="AA41" s="168" t="s">
        <v>69</v>
      </c>
      <c r="AB41" s="168" t="s">
        <v>69</v>
      </c>
      <c r="AC41" s="168" t="s">
        <v>69</v>
      </c>
      <c r="AD41" s="168" t="s">
        <v>69</v>
      </c>
      <c r="AE41" s="168" t="s">
        <v>69</v>
      </c>
      <c r="AF41" s="168" t="s">
        <v>69</v>
      </c>
      <c r="AG41" s="329" t="s">
        <v>108</v>
      </c>
      <c r="AH41" s="168" t="s">
        <v>69</v>
      </c>
      <c r="AI41" s="169" t="s">
        <v>199</v>
      </c>
      <c r="AJ41" s="175"/>
    </row>
    <row r="42" spans="1:36" ht="18">
      <c r="A42" s="5">
        <v>41</v>
      </c>
      <c r="B42" s="70" t="s">
        <v>36</v>
      </c>
      <c r="C42" s="168">
        <v>2</v>
      </c>
      <c r="D42" s="169">
        <v>1.5</v>
      </c>
      <c r="E42" s="169">
        <f t="shared" si="1"/>
        <v>0.5</v>
      </c>
      <c r="F42" s="134" t="s">
        <v>69</v>
      </c>
      <c r="G42" s="121" t="s">
        <v>72</v>
      </c>
      <c r="H42" s="134" t="s">
        <v>69</v>
      </c>
      <c r="I42" s="134" t="s">
        <v>69</v>
      </c>
      <c r="J42" s="321" t="s">
        <v>175</v>
      </c>
      <c r="K42" s="672" t="s">
        <v>69</v>
      </c>
      <c r="L42" s="175" t="s">
        <v>108</v>
      </c>
      <c r="M42" s="672" t="s">
        <v>69</v>
      </c>
      <c r="N42" s="672" t="s">
        <v>69</v>
      </c>
      <c r="O42" s="672" t="s">
        <v>69</v>
      </c>
      <c r="P42" s="672" t="s">
        <v>69</v>
      </c>
      <c r="Q42" s="672" t="s">
        <v>69</v>
      </c>
      <c r="R42" s="672" t="s">
        <v>69</v>
      </c>
      <c r="S42" s="175" t="s">
        <v>108</v>
      </c>
      <c r="T42" s="134" t="s">
        <v>69</v>
      </c>
      <c r="U42" s="134" t="s">
        <v>69</v>
      </c>
      <c r="V42" s="134" t="s">
        <v>69</v>
      </c>
      <c r="W42" s="147" t="s">
        <v>92</v>
      </c>
      <c r="X42" s="134" t="s">
        <v>69</v>
      </c>
      <c r="Y42" s="168">
        <v>2</v>
      </c>
      <c r="Z42" s="327" t="s">
        <v>108</v>
      </c>
      <c r="AA42" s="168" t="s">
        <v>69</v>
      </c>
      <c r="AB42" s="168" t="s">
        <v>69</v>
      </c>
      <c r="AC42" s="168" t="s">
        <v>69</v>
      </c>
      <c r="AD42" s="168" t="s">
        <v>69</v>
      </c>
      <c r="AE42" s="168" t="s">
        <v>69</v>
      </c>
      <c r="AF42" s="147" t="s">
        <v>92</v>
      </c>
      <c r="AG42" s="329" t="s">
        <v>108</v>
      </c>
      <c r="AH42" s="189" t="s">
        <v>195</v>
      </c>
      <c r="AI42" s="245" t="s">
        <v>69</v>
      </c>
      <c r="AJ42" s="175"/>
    </row>
    <row r="43" spans="1:36" ht="18">
      <c r="A43" s="5">
        <v>42</v>
      </c>
      <c r="B43" s="70" t="s">
        <v>143</v>
      </c>
      <c r="C43" s="168">
        <v>0</v>
      </c>
      <c r="D43" s="169">
        <f t="shared" si="0"/>
        <v>0</v>
      </c>
      <c r="E43" s="169">
        <f t="shared" si="1"/>
        <v>0</v>
      </c>
      <c r="F43" s="134" t="s">
        <v>69</v>
      </c>
      <c r="G43" s="134" t="s">
        <v>69</v>
      </c>
      <c r="H43" s="134" t="s">
        <v>69</v>
      </c>
      <c r="I43" s="134" t="s">
        <v>69</v>
      </c>
      <c r="J43" s="321" t="s">
        <v>175</v>
      </c>
      <c r="K43" s="134" t="s">
        <v>69</v>
      </c>
      <c r="L43" s="175" t="s">
        <v>108</v>
      </c>
      <c r="M43" s="134" t="s">
        <v>69</v>
      </c>
      <c r="N43" s="134" t="s">
        <v>69</v>
      </c>
      <c r="O43" s="134" t="s">
        <v>69</v>
      </c>
      <c r="P43" s="134" t="s">
        <v>69</v>
      </c>
      <c r="Q43" s="134" t="s">
        <v>69</v>
      </c>
      <c r="R43" s="134" t="s">
        <v>69</v>
      </c>
      <c r="S43" s="175" t="s">
        <v>108</v>
      </c>
      <c r="T43" s="134" t="s">
        <v>69</v>
      </c>
      <c r="U43" s="134" t="s">
        <v>69</v>
      </c>
      <c r="V43" s="134" t="s">
        <v>69</v>
      </c>
      <c r="W43" s="134" t="s">
        <v>69</v>
      </c>
      <c r="X43" s="134" t="s">
        <v>69</v>
      </c>
      <c r="Y43" s="134" t="s">
        <v>69</v>
      </c>
      <c r="Z43" s="327" t="s">
        <v>108</v>
      </c>
      <c r="AA43" s="168" t="s">
        <v>69</v>
      </c>
      <c r="AB43" s="168" t="s">
        <v>69</v>
      </c>
      <c r="AC43" s="168" t="s">
        <v>69</v>
      </c>
      <c r="AD43" s="168" t="s">
        <v>69</v>
      </c>
      <c r="AE43" s="168" t="s">
        <v>69</v>
      </c>
      <c r="AF43" s="168" t="s">
        <v>69</v>
      </c>
      <c r="AG43" s="329" t="s">
        <v>108</v>
      </c>
      <c r="AH43" s="170" t="s">
        <v>69</v>
      </c>
      <c r="AI43" s="245" t="s">
        <v>69</v>
      </c>
      <c r="AJ43" s="174"/>
    </row>
    <row r="44" spans="1:36" ht="18">
      <c r="A44" s="5">
        <v>43</v>
      </c>
      <c r="B44" s="196" t="s">
        <v>38</v>
      </c>
      <c r="C44" s="169">
        <v>0</v>
      </c>
      <c r="D44" s="169">
        <f t="shared" si="0"/>
        <v>0</v>
      </c>
      <c r="E44" s="169">
        <f t="shared" si="1"/>
        <v>0</v>
      </c>
      <c r="F44" s="134" t="s">
        <v>69</v>
      </c>
      <c r="G44" s="134" t="s">
        <v>69</v>
      </c>
      <c r="H44" s="134" t="s">
        <v>69</v>
      </c>
      <c r="I44" s="134" t="s">
        <v>69</v>
      </c>
      <c r="J44" s="134" t="s">
        <v>69</v>
      </c>
      <c r="K44" s="134" t="s">
        <v>69</v>
      </c>
      <c r="L44" s="175" t="s">
        <v>108</v>
      </c>
      <c r="M44" s="134" t="s">
        <v>69</v>
      </c>
      <c r="N44" s="134" t="s">
        <v>69</v>
      </c>
      <c r="O44" s="134" t="s">
        <v>69</v>
      </c>
      <c r="P44" s="134" t="s">
        <v>69</v>
      </c>
      <c r="Q44" s="134" t="s">
        <v>69</v>
      </c>
      <c r="R44" s="134" t="s">
        <v>69</v>
      </c>
      <c r="S44" s="175" t="s">
        <v>108</v>
      </c>
      <c r="T44" s="199" t="s">
        <v>69</v>
      </c>
      <c r="U44" s="199" t="s">
        <v>69</v>
      </c>
      <c r="V44" s="281" t="s">
        <v>92</v>
      </c>
      <c r="W44" s="168" t="s">
        <v>69</v>
      </c>
      <c r="X44" s="168" t="s">
        <v>69</v>
      </c>
      <c r="Y44" s="168" t="s">
        <v>69</v>
      </c>
      <c r="Z44" s="327" t="s">
        <v>108</v>
      </c>
      <c r="AA44" s="168" t="s">
        <v>69</v>
      </c>
      <c r="AB44" s="168" t="s">
        <v>69</v>
      </c>
      <c r="AC44" s="168" t="s">
        <v>69</v>
      </c>
      <c r="AD44" s="168" t="s">
        <v>69</v>
      </c>
      <c r="AE44" s="168" t="s">
        <v>69</v>
      </c>
      <c r="AF44" s="168" t="s">
        <v>69</v>
      </c>
      <c r="AG44" s="329" t="s">
        <v>108</v>
      </c>
      <c r="AH44" s="168" t="s">
        <v>69</v>
      </c>
      <c r="AI44" s="168" t="s">
        <v>69</v>
      </c>
      <c r="AJ44" s="175"/>
    </row>
    <row r="45" spans="1:36" ht="18">
      <c r="A45" s="5">
        <v>44</v>
      </c>
      <c r="B45" s="196" t="s">
        <v>39</v>
      </c>
      <c r="C45" s="169">
        <v>2</v>
      </c>
      <c r="D45" s="169">
        <f t="shared" si="0"/>
        <v>2</v>
      </c>
      <c r="E45" s="169">
        <f t="shared" si="1"/>
        <v>0</v>
      </c>
      <c r="F45" s="134" t="s">
        <v>69</v>
      </c>
      <c r="G45" s="134" t="s">
        <v>69</v>
      </c>
      <c r="H45" s="134" t="s">
        <v>69</v>
      </c>
      <c r="I45" s="134" t="s">
        <v>69</v>
      </c>
      <c r="J45" s="134" t="s">
        <v>69</v>
      </c>
      <c r="K45" s="134" t="s">
        <v>69</v>
      </c>
      <c r="L45" s="175" t="s">
        <v>108</v>
      </c>
      <c r="M45" s="134" t="s">
        <v>69</v>
      </c>
      <c r="N45" s="134" t="s">
        <v>69</v>
      </c>
      <c r="O45" s="134" t="s">
        <v>69</v>
      </c>
      <c r="P45" s="134" t="s">
        <v>69</v>
      </c>
      <c r="Q45" s="134" t="s">
        <v>69</v>
      </c>
      <c r="R45" s="134" t="s">
        <v>69</v>
      </c>
      <c r="S45" s="177" t="s">
        <v>108</v>
      </c>
      <c r="T45" s="134" t="s">
        <v>69</v>
      </c>
      <c r="U45" s="134" t="s">
        <v>69</v>
      </c>
      <c r="V45" s="121" t="s">
        <v>72</v>
      </c>
      <c r="W45" s="121" t="s">
        <v>72</v>
      </c>
      <c r="X45" s="168" t="s">
        <v>69</v>
      </c>
      <c r="Y45" s="134" t="s">
        <v>121</v>
      </c>
      <c r="Z45" s="327" t="s">
        <v>108</v>
      </c>
      <c r="AA45" s="168" t="s">
        <v>69</v>
      </c>
      <c r="AB45" s="168" t="s">
        <v>69</v>
      </c>
      <c r="AC45" s="168" t="s">
        <v>69</v>
      </c>
      <c r="AD45" s="168" t="s">
        <v>69</v>
      </c>
      <c r="AE45" s="168" t="s">
        <v>69</v>
      </c>
      <c r="AF45" s="168" t="s">
        <v>69</v>
      </c>
      <c r="AG45" s="329" t="s">
        <v>108</v>
      </c>
      <c r="AH45" s="168" t="s">
        <v>69</v>
      </c>
      <c r="AI45" s="168" t="s">
        <v>69</v>
      </c>
      <c r="AJ45" s="175"/>
    </row>
    <row r="46" spans="1:36" ht="18">
      <c r="A46" s="5">
        <v>45</v>
      </c>
      <c r="B46" s="196" t="s">
        <v>40</v>
      </c>
      <c r="C46" s="169">
        <v>1</v>
      </c>
      <c r="D46" s="169">
        <f t="shared" si="0"/>
        <v>1</v>
      </c>
      <c r="E46" s="169">
        <f t="shared" si="1"/>
        <v>0</v>
      </c>
      <c r="F46" s="134" t="s">
        <v>69</v>
      </c>
      <c r="G46" s="134" t="s">
        <v>69</v>
      </c>
      <c r="H46" s="134" t="s">
        <v>69</v>
      </c>
      <c r="I46" s="134" t="s">
        <v>69</v>
      </c>
      <c r="J46" s="134" t="s">
        <v>69</v>
      </c>
      <c r="K46" s="134" t="s">
        <v>69</v>
      </c>
      <c r="L46" s="175" t="s">
        <v>108</v>
      </c>
      <c r="M46" s="134" t="s">
        <v>69</v>
      </c>
      <c r="N46" s="134" t="s">
        <v>69</v>
      </c>
      <c r="O46" s="134" t="s">
        <v>69</v>
      </c>
      <c r="P46" s="134" t="s">
        <v>69</v>
      </c>
      <c r="Q46" s="134" t="s">
        <v>69</v>
      </c>
      <c r="R46" s="134" t="s">
        <v>69</v>
      </c>
      <c r="S46" s="177" t="s">
        <v>108</v>
      </c>
      <c r="T46" s="134" t="s">
        <v>69</v>
      </c>
      <c r="U46" s="134" t="s">
        <v>69</v>
      </c>
      <c r="V46" s="134" t="s">
        <v>69</v>
      </c>
      <c r="W46" s="134" t="s">
        <v>69</v>
      </c>
      <c r="X46" s="134" t="s">
        <v>69</v>
      </c>
      <c r="Y46" s="134" t="s">
        <v>69</v>
      </c>
      <c r="Z46" s="327" t="s">
        <v>108</v>
      </c>
      <c r="AA46" s="168" t="s">
        <v>69</v>
      </c>
      <c r="AB46" s="168" t="s">
        <v>69</v>
      </c>
      <c r="AC46" s="168" t="s">
        <v>69</v>
      </c>
      <c r="AD46" s="168" t="s">
        <v>69</v>
      </c>
      <c r="AE46" s="168" t="s">
        <v>69</v>
      </c>
      <c r="AF46" s="168" t="s">
        <v>69</v>
      </c>
      <c r="AG46" s="329" t="s">
        <v>108</v>
      </c>
      <c r="AH46" s="121" t="s">
        <v>195</v>
      </c>
      <c r="AI46" s="239"/>
      <c r="AJ46" s="175"/>
    </row>
    <row r="47" spans="1:36" ht="18">
      <c r="A47" s="5">
        <v>46</v>
      </c>
      <c r="B47" s="70" t="s">
        <v>41</v>
      </c>
      <c r="C47" s="169">
        <v>1</v>
      </c>
      <c r="D47" s="169">
        <f t="shared" si="0"/>
        <v>1</v>
      </c>
      <c r="E47" s="169">
        <f t="shared" si="1"/>
        <v>0</v>
      </c>
      <c r="F47" s="134" t="s">
        <v>69</v>
      </c>
      <c r="G47" s="134" t="s">
        <v>69</v>
      </c>
      <c r="H47" s="281" t="s">
        <v>92</v>
      </c>
      <c r="I47" s="134" t="s">
        <v>69</v>
      </c>
      <c r="J47" s="273" t="s">
        <v>175</v>
      </c>
      <c r="K47" s="121" t="s">
        <v>72</v>
      </c>
      <c r="L47" s="175" t="s">
        <v>108</v>
      </c>
      <c r="M47" s="134" t="s">
        <v>69</v>
      </c>
      <c r="N47" s="134" t="s">
        <v>69</v>
      </c>
      <c r="O47" s="134" t="s">
        <v>69</v>
      </c>
      <c r="P47" s="134" t="s">
        <v>69</v>
      </c>
      <c r="Q47" s="134" t="s">
        <v>69</v>
      </c>
      <c r="R47" s="134" t="s">
        <v>69</v>
      </c>
      <c r="S47" s="175" t="s">
        <v>108</v>
      </c>
      <c r="T47" s="200" t="s">
        <v>69</v>
      </c>
      <c r="U47" s="200" t="s">
        <v>69</v>
      </c>
      <c r="V47" s="200" t="s">
        <v>69</v>
      </c>
      <c r="W47" s="200" t="s">
        <v>69</v>
      </c>
      <c r="X47" s="200" t="s">
        <v>69</v>
      </c>
      <c r="Y47" s="200" t="s">
        <v>69</v>
      </c>
      <c r="Z47" s="327" t="s">
        <v>108</v>
      </c>
      <c r="AA47" s="168" t="s">
        <v>69</v>
      </c>
      <c r="AB47" s="168" t="s">
        <v>69</v>
      </c>
      <c r="AC47" s="168" t="s">
        <v>69</v>
      </c>
      <c r="AD47" s="168" t="s">
        <v>69</v>
      </c>
      <c r="AE47" s="168" t="s">
        <v>69</v>
      </c>
      <c r="AF47" s="168" t="s">
        <v>69</v>
      </c>
      <c r="AG47" s="329" t="s">
        <v>108</v>
      </c>
      <c r="AH47" s="134" t="s">
        <v>69</v>
      </c>
      <c r="AI47" s="239" t="s">
        <v>69</v>
      </c>
      <c r="AJ47" s="175"/>
    </row>
    <row r="48" spans="1:36" ht="18">
      <c r="A48" s="5">
        <v>47</v>
      </c>
      <c r="B48" s="196" t="s">
        <v>42</v>
      </c>
      <c r="C48" s="169">
        <v>2</v>
      </c>
      <c r="D48" s="169">
        <f t="shared" si="0"/>
        <v>2</v>
      </c>
      <c r="E48" s="169">
        <f t="shared" si="1"/>
        <v>0</v>
      </c>
      <c r="F48" s="134" t="s">
        <v>69</v>
      </c>
      <c r="G48" s="134" t="s">
        <v>69</v>
      </c>
      <c r="H48" s="121" t="s">
        <v>72</v>
      </c>
      <c r="I48" s="134" t="s">
        <v>69</v>
      </c>
      <c r="J48" s="273" t="s">
        <v>175</v>
      </c>
      <c r="K48" s="134" t="s">
        <v>69</v>
      </c>
      <c r="L48" s="175" t="s">
        <v>108</v>
      </c>
      <c r="M48" s="134" t="s">
        <v>69</v>
      </c>
      <c r="N48" s="134" t="s">
        <v>69</v>
      </c>
      <c r="O48" s="134" t="s">
        <v>69</v>
      </c>
      <c r="P48" s="134" t="s">
        <v>69</v>
      </c>
      <c r="Q48" s="134" t="s">
        <v>69</v>
      </c>
      <c r="R48" s="121" t="s">
        <v>72</v>
      </c>
      <c r="S48" s="175" t="s">
        <v>108</v>
      </c>
      <c r="T48" s="200" t="s">
        <v>69</v>
      </c>
      <c r="U48" s="200" t="s">
        <v>69</v>
      </c>
      <c r="V48" s="200" t="s">
        <v>69</v>
      </c>
      <c r="W48" s="200" t="s">
        <v>69</v>
      </c>
      <c r="X48" s="200" t="s">
        <v>69</v>
      </c>
      <c r="Y48" s="200" t="s">
        <v>69</v>
      </c>
      <c r="Z48" s="327" t="s">
        <v>108</v>
      </c>
      <c r="AA48" s="168" t="s">
        <v>69</v>
      </c>
      <c r="AB48" s="168" t="s">
        <v>69</v>
      </c>
      <c r="AC48" s="168" t="s">
        <v>69</v>
      </c>
      <c r="AD48" s="168" t="s">
        <v>69</v>
      </c>
      <c r="AE48" s="168" t="s">
        <v>69</v>
      </c>
      <c r="AF48" s="147" t="s">
        <v>92</v>
      </c>
      <c r="AG48" s="329" t="s">
        <v>108</v>
      </c>
      <c r="AH48" s="134" t="s">
        <v>69</v>
      </c>
      <c r="AI48" s="239" t="s">
        <v>69</v>
      </c>
      <c r="AJ48" s="174"/>
    </row>
    <row r="49" spans="1:36" ht="18">
      <c r="A49" s="5">
        <v>48</v>
      </c>
      <c r="B49" s="70" t="s">
        <v>161</v>
      </c>
      <c r="C49" s="168">
        <v>0</v>
      </c>
      <c r="D49" s="169">
        <f t="shared" si="0"/>
        <v>0</v>
      </c>
      <c r="E49" s="169">
        <f t="shared" si="1"/>
        <v>0</v>
      </c>
      <c r="F49" s="134" t="s">
        <v>69</v>
      </c>
      <c r="G49" s="134" t="s">
        <v>69</v>
      </c>
      <c r="H49" s="134" t="s">
        <v>69</v>
      </c>
      <c r="I49" s="134" t="s">
        <v>69</v>
      </c>
      <c r="J49" s="273" t="s">
        <v>175</v>
      </c>
      <c r="K49" s="134" t="s">
        <v>69</v>
      </c>
      <c r="L49" s="175" t="s">
        <v>108</v>
      </c>
      <c r="M49" s="134" t="s">
        <v>69</v>
      </c>
      <c r="N49" s="134" t="s">
        <v>69</v>
      </c>
      <c r="O49" s="134" t="s">
        <v>69</v>
      </c>
      <c r="P49" s="134" t="s">
        <v>69</v>
      </c>
      <c r="Q49" s="134" t="s">
        <v>69</v>
      </c>
      <c r="R49" s="134" t="s">
        <v>69</v>
      </c>
      <c r="S49" s="175" t="s">
        <v>108</v>
      </c>
      <c r="T49" s="200" t="s">
        <v>69</v>
      </c>
      <c r="U49" s="200" t="s">
        <v>69</v>
      </c>
      <c r="V49" s="200" t="s">
        <v>69</v>
      </c>
      <c r="W49" s="200" t="s">
        <v>69</v>
      </c>
      <c r="X49" s="200" t="s">
        <v>69</v>
      </c>
      <c r="Y49" s="200" t="s">
        <v>69</v>
      </c>
      <c r="Z49" s="327" t="s">
        <v>108</v>
      </c>
      <c r="AA49" s="168" t="s">
        <v>69</v>
      </c>
      <c r="AB49" s="168" t="s">
        <v>69</v>
      </c>
      <c r="AC49" s="168" t="s">
        <v>69</v>
      </c>
      <c r="AD49" s="168" t="s">
        <v>69</v>
      </c>
      <c r="AE49" s="168" t="s">
        <v>69</v>
      </c>
      <c r="AF49" s="168" t="s">
        <v>69</v>
      </c>
      <c r="AG49" s="329" t="s">
        <v>108</v>
      </c>
      <c r="AH49" s="134" t="s">
        <v>69</v>
      </c>
      <c r="AI49" s="168" t="s">
        <v>69</v>
      </c>
      <c r="AJ49" s="175"/>
    </row>
    <row r="50" spans="1:36" ht="18">
      <c r="A50" s="5">
        <v>49</v>
      </c>
      <c r="B50" s="196" t="s">
        <v>47</v>
      </c>
      <c r="C50" s="169">
        <v>4</v>
      </c>
      <c r="D50" s="169">
        <f t="shared" si="0"/>
        <v>4</v>
      </c>
      <c r="E50" s="169">
        <f t="shared" si="1"/>
        <v>0</v>
      </c>
      <c r="F50" s="134" t="s">
        <v>69</v>
      </c>
      <c r="G50" s="134" t="s">
        <v>69</v>
      </c>
      <c r="H50" s="134" t="s">
        <v>69</v>
      </c>
      <c r="I50" s="134" t="s">
        <v>69</v>
      </c>
      <c r="J50" s="134" t="s">
        <v>69</v>
      </c>
      <c r="K50" s="134" t="s">
        <v>69</v>
      </c>
      <c r="L50" s="175" t="s">
        <v>108</v>
      </c>
      <c r="M50" s="134" t="s">
        <v>69</v>
      </c>
      <c r="N50" s="134" t="s">
        <v>69</v>
      </c>
      <c r="O50" s="134" t="s">
        <v>69</v>
      </c>
      <c r="P50" s="134" t="s">
        <v>69</v>
      </c>
      <c r="Q50" s="134" t="s">
        <v>69</v>
      </c>
      <c r="R50" s="134" t="s">
        <v>69</v>
      </c>
      <c r="S50" s="175" t="s">
        <v>108</v>
      </c>
      <c r="T50" s="121" t="s">
        <v>72</v>
      </c>
      <c r="U50" s="121" t="s">
        <v>72</v>
      </c>
      <c r="V50" s="121" t="s">
        <v>72</v>
      </c>
      <c r="W50" s="121" t="s">
        <v>72</v>
      </c>
      <c r="X50" s="200" t="s">
        <v>69</v>
      </c>
      <c r="Y50" s="200" t="s">
        <v>69</v>
      </c>
      <c r="Z50" s="327" t="s">
        <v>108</v>
      </c>
      <c r="AA50" s="134" t="s">
        <v>69</v>
      </c>
      <c r="AB50" s="134" t="s">
        <v>69</v>
      </c>
      <c r="AC50" s="134" t="s">
        <v>69</v>
      </c>
      <c r="AD50" s="134" t="s">
        <v>69</v>
      </c>
      <c r="AE50" s="134" t="s">
        <v>69</v>
      </c>
      <c r="AF50" s="134" t="s">
        <v>69</v>
      </c>
      <c r="AG50" s="329" t="s">
        <v>108</v>
      </c>
      <c r="AH50" s="134" t="s">
        <v>69</v>
      </c>
      <c r="AI50" s="134" t="s">
        <v>69</v>
      </c>
      <c r="AJ50" s="175"/>
    </row>
    <row r="51" spans="1:36" ht="18">
      <c r="A51" s="5">
        <v>50</v>
      </c>
      <c r="B51" s="196" t="s">
        <v>48</v>
      </c>
      <c r="C51" s="169">
        <v>2</v>
      </c>
      <c r="D51" s="169">
        <f t="shared" si="0"/>
        <v>2</v>
      </c>
      <c r="E51" s="169">
        <f t="shared" si="1"/>
        <v>0</v>
      </c>
      <c r="F51" s="134" t="s">
        <v>69</v>
      </c>
      <c r="G51" s="134" t="s">
        <v>69</v>
      </c>
      <c r="H51" s="134" t="s">
        <v>69</v>
      </c>
      <c r="I51" s="134" t="s">
        <v>69</v>
      </c>
      <c r="J51" s="134" t="s">
        <v>69</v>
      </c>
      <c r="K51" s="134" t="s">
        <v>69</v>
      </c>
      <c r="L51" s="175" t="s">
        <v>108</v>
      </c>
      <c r="M51" s="134" t="s">
        <v>69</v>
      </c>
      <c r="N51" s="134" t="s">
        <v>69</v>
      </c>
      <c r="O51" s="134" t="s">
        <v>69</v>
      </c>
      <c r="P51" s="134" t="s">
        <v>69</v>
      </c>
      <c r="Q51" s="134" t="s">
        <v>69</v>
      </c>
      <c r="R51" s="121" t="s">
        <v>72</v>
      </c>
      <c r="S51" s="175" t="s">
        <v>108</v>
      </c>
      <c r="T51" s="121" t="s">
        <v>72</v>
      </c>
      <c r="U51" s="134" t="s">
        <v>69</v>
      </c>
      <c r="V51" s="134" t="s">
        <v>69</v>
      </c>
      <c r="W51" s="134" t="s">
        <v>69</v>
      </c>
      <c r="X51" s="134" t="s">
        <v>69</v>
      </c>
      <c r="Y51" s="134" t="s">
        <v>69</v>
      </c>
      <c r="Z51" s="327" t="s">
        <v>108</v>
      </c>
      <c r="AA51" s="119" t="s">
        <v>69</v>
      </c>
      <c r="AB51" s="119" t="s">
        <v>69</v>
      </c>
      <c r="AC51" s="119" t="s">
        <v>69</v>
      </c>
      <c r="AD51" s="119" t="s">
        <v>69</v>
      </c>
      <c r="AE51" s="130" t="s">
        <v>92</v>
      </c>
      <c r="AF51" s="134" t="s">
        <v>69</v>
      </c>
      <c r="AG51" s="329" t="s">
        <v>108</v>
      </c>
      <c r="AH51" s="134" t="s">
        <v>69</v>
      </c>
      <c r="AI51" s="153"/>
      <c r="AJ51" s="175"/>
    </row>
    <row r="52" spans="1:36" ht="18">
      <c r="A52" s="5">
        <v>51</v>
      </c>
      <c r="B52" s="196" t="s">
        <v>49</v>
      </c>
      <c r="C52" s="169">
        <v>1.5</v>
      </c>
      <c r="D52" s="169">
        <f t="shared" si="0"/>
        <v>1.5</v>
      </c>
      <c r="E52" s="169">
        <f t="shared" si="1"/>
        <v>0</v>
      </c>
      <c r="F52" s="197" t="s">
        <v>72</v>
      </c>
      <c r="G52" s="205" t="s">
        <v>69</v>
      </c>
      <c r="H52" s="205" t="s">
        <v>69</v>
      </c>
      <c r="I52" s="205" t="s">
        <v>69</v>
      </c>
      <c r="J52" s="317" t="s">
        <v>175</v>
      </c>
      <c r="K52" s="205" t="s">
        <v>69</v>
      </c>
      <c r="L52" s="175" t="s">
        <v>108</v>
      </c>
      <c r="M52" s="134" t="s">
        <v>69</v>
      </c>
      <c r="N52" s="134" t="s">
        <v>69</v>
      </c>
      <c r="O52" s="134" t="s">
        <v>69</v>
      </c>
      <c r="P52" s="134" t="s">
        <v>69</v>
      </c>
      <c r="Q52" s="134" t="s">
        <v>69</v>
      </c>
      <c r="R52" s="134" t="s">
        <v>69</v>
      </c>
      <c r="S52" s="175" t="s">
        <v>108</v>
      </c>
      <c r="T52" s="134" t="s">
        <v>69</v>
      </c>
      <c r="U52" s="134" t="s">
        <v>69</v>
      </c>
      <c r="V52" s="134" t="s">
        <v>69</v>
      </c>
      <c r="W52" s="134" t="s">
        <v>69</v>
      </c>
      <c r="X52" s="132" t="s">
        <v>94</v>
      </c>
      <c r="Y52" s="134" t="s">
        <v>69</v>
      </c>
      <c r="Z52" s="327" t="s">
        <v>108</v>
      </c>
      <c r="AA52" s="134" t="s">
        <v>69</v>
      </c>
      <c r="AB52" s="134" t="s">
        <v>69</v>
      </c>
      <c r="AC52" s="134" t="s">
        <v>69</v>
      </c>
      <c r="AD52" s="134" t="s">
        <v>69</v>
      </c>
      <c r="AE52" s="134" t="s">
        <v>69</v>
      </c>
      <c r="AF52" s="134" t="s">
        <v>69</v>
      </c>
      <c r="AG52" s="329" t="s">
        <v>108</v>
      </c>
      <c r="AH52" s="134" t="s">
        <v>69</v>
      </c>
      <c r="AI52" s="168" t="s">
        <v>69</v>
      </c>
      <c r="AJ52" s="175"/>
    </row>
    <row r="53" spans="1:36" ht="18">
      <c r="A53" s="5">
        <v>52</v>
      </c>
      <c r="B53" s="196" t="s">
        <v>203</v>
      </c>
      <c r="C53" s="169">
        <v>0</v>
      </c>
      <c r="D53" s="169">
        <f t="shared" si="0"/>
        <v>0</v>
      </c>
      <c r="E53" s="169">
        <f t="shared" si="1"/>
        <v>0</v>
      </c>
      <c r="F53" s="197" t="s">
        <v>151</v>
      </c>
      <c r="G53" s="205" t="s">
        <v>69</v>
      </c>
      <c r="H53" s="205" t="s">
        <v>69</v>
      </c>
      <c r="I53" s="205" t="s">
        <v>69</v>
      </c>
      <c r="J53" s="147" t="s">
        <v>92</v>
      </c>
      <c r="K53" s="134" t="s">
        <v>69</v>
      </c>
      <c r="L53" s="175" t="s">
        <v>108</v>
      </c>
      <c r="M53" s="134" t="s">
        <v>69</v>
      </c>
      <c r="N53" s="134" t="s">
        <v>69</v>
      </c>
      <c r="O53" s="134" t="s">
        <v>69</v>
      </c>
      <c r="P53" s="134" t="s">
        <v>69</v>
      </c>
      <c r="Q53" s="134" t="s">
        <v>69</v>
      </c>
      <c r="R53" s="134" t="s">
        <v>69</v>
      </c>
      <c r="S53" s="175" t="s">
        <v>108</v>
      </c>
      <c r="T53" s="134" t="s">
        <v>69</v>
      </c>
      <c r="U53" s="134" t="s">
        <v>69</v>
      </c>
      <c r="V53" s="134" t="s">
        <v>69</v>
      </c>
      <c r="W53" s="134" t="s">
        <v>69</v>
      </c>
      <c r="X53" s="134" t="s">
        <v>69</v>
      </c>
      <c r="Y53" s="134" t="s">
        <v>69</v>
      </c>
      <c r="Z53" s="327" t="s">
        <v>108</v>
      </c>
      <c r="AA53" s="672" t="s">
        <v>69</v>
      </c>
      <c r="AB53" s="672" t="s">
        <v>69</v>
      </c>
      <c r="AC53" s="672" t="s">
        <v>69</v>
      </c>
      <c r="AD53" s="672" t="s">
        <v>69</v>
      </c>
      <c r="AE53" s="672" t="s">
        <v>69</v>
      </c>
      <c r="AF53" s="672" t="s">
        <v>69</v>
      </c>
      <c r="AG53" s="329" t="s">
        <v>108</v>
      </c>
      <c r="AH53" s="134" t="s">
        <v>69</v>
      </c>
      <c r="AI53" s="134" t="s">
        <v>69</v>
      </c>
      <c r="AJ53" s="175"/>
    </row>
    <row r="54" spans="1:36" ht="18">
      <c r="A54" s="5">
        <v>53</v>
      </c>
      <c r="B54" s="196" t="s">
        <v>185</v>
      </c>
      <c r="C54" s="169">
        <v>2</v>
      </c>
      <c r="D54" s="169">
        <v>1</v>
      </c>
      <c r="E54" s="169">
        <f t="shared" si="1"/>
        <v>1</v>
      </c>
      <c r="F54" s="242" t="s">
        <v>73</v>
      </c>
      <c r="G54" s="242" t="s">
        <v>73</v>
      </c>
      <c r="H54" s="205" t="s">
        <v>69</v>
      </c>
      <c r="I54" s="205" t="s">
        <v>69</v>
      </c>
      <c r="J54" s="316" t="s">
        <v>175</v>
      </c>
      <c r="K54" s="134" t="s">
        <v>69</v>
      </c>
      <c r="L54" s="175" t="s">
        <v>108</v>
      </c>
      <c r="M54" s="134" t="s">
        <v>69</v>
      </c>
      <c r="N54" s="134" t="s">
        <v>69</v>
      </c>
      <c r="O54" s="134" t="s">
        <v>69</v>
      </c>
      <c r="P54" s="134" t="s">
        <v>69</v>
      </c>
      <c r="Q54" s="134" t="s">
        <v>69</v>
      </c>
      <c r="R54" s="147" t="s">
        <v>92</v>
      </c>
      <c r="S54" s="175" t="s">
        <v>108</v>
      </c>
      <c r="T54" s="134" t="s">
        <v>69</v>
      </c>
      <c r="U54" s="134" t="s">
        <v>69</v>
      </c>
      <c r="V54" s="134" t="s">
        <v>69</v>
      </c>
      <c r="W54" s="134" t="s">
        <v>69</v>
      </c>
      <c r="X54" s="134" t="s">
        <v>69</v>
      </c>
      <c r="Y54" s="121" t="s">
        <v>72</v>
      </c>
      <c r="Z54" s="327" t="s">
        <v>108</v>
      </c>
      <c r="AA54" s="672" t="s">
        <v>69</v>
      </c>
      <c r="AB54" s="672" t="s">
        <v>69</v>
      </c>
      <c r="AC54" s="672" t="s">
        <v>69</v>
      </c>
      <c r="AD54" s="672" t="s">
        <v>69</v>
      </c>
      <c r="AE54" s="130" t="s">
        <v>92</v>
      </c>
      <c r="AF54" s="134" t="s">
        <v>69</v>
      </c>
      <c r="AG54" s="329" t="s">
        <v>108</v>
      </c>
      <c r="AH54" s="328" t="s">
        <v>69</v>
      </c>
      <c r="AI54" s="168" t="s">
        <v>69</v>
      </c>
      <c r="AJ54" s="174"/>
    </row>
    <row r="55" spans="1:36" ht="18">
      <c r="A55" s="5">
        <v>54</v>
      </c>
      <c r="B55" s="196" t="s">
        <v>50</v>
      </c>
      <c r="C55" s="169">
        <v>3</v>
      </c>
      <c r="D55" s="169">
        <f t="shared" si="0"/>
        <v>3</v>
      </c>
      <c r="E55" s="169">
        <f t="shared" si="1"/>
        <v>0</v>
      </c>
      <c r="F55" s="205" t="s">
        <v>69</v>
      </c>
      <c r="G55" s="205" t="s">
        <v>69</v>
      </c>
      <c r="H55" s="121" t="s">
        <v>72</v>
      </c>
      <c r="I55" s="121" t="s">
        <v>72</v>
      </c>
      <c r="J55" s="121" t="s">
        <v>72</v>
      </c>
      <c r="K55" s="320" t="s">
        <v>175</v>
      </c>
      <c r="L55" s="175" t="s">
        <v>108</v>
      </c>
      <c r="M55" s="205" t="s">
        <v>69</v>
      </c>
      <c r="N55" s="205" t="s">
        <v>69</v>
      </c>
      <c r="O55" s="205" t="s">
        <v>69</v>
      </c>
      <c r="P55" s="205" t="s">
        <v>69</v>
      </c>
      <c r="Q55" s="205" t="s">
        <v>69</v>
      </c>
      <c r="R55" s="205" t="s">
        <v>69</v>
      </c>
      <c r="S55" s="175" t="s">
        <v>108</v>
      </c>
      <c r="T55" s="134" t="s">
        <v>69</v>
      </c>
      <c r="U55" s="134" t="s">
        <v>69</v>
      </c>
      <c r="V55" s="134" t="s">
        <v>69</v>
      </c>
      <c r="W55" s="134" t="s">
        <v>69</v>
      </c>
      <c r="X55" s="134" t="s">
        <v>69</v>
      </c>
      <c r="Y55" s="134" t="s">
        <v>69</v>
      </c>
      <c r="Z55" s="327" t="s">
        <v>108</v>
      </c>
      <c r="AA55" s="134" t="s">
        <v>69</v>
      </c>
      <c r="AB55" s="134" t="s">
        <v>69</v>
      </c>
      <c r="AC55" s="134" t="s">
        <v>69</v>
      </c>
      <c r="AD55" s="134" t="s">
        <v>69</v>
      </c>
      <c r="AE55" s="134" t="s">
        <v>69</v>
      </c>
      <c r="AF55" s="134" t="s">
        <v>69</v>
      </c>
      <c r="AG55" s="329" t="s">
        <v>108</v>
      </c>
      <c r="AH55" s="328" t="s">
        <v>69</v>
      </c>
      <c r="AI55" s="239" t="s">
        <v>69</v>
      </c>
      <c r="AJ55" s="175"/>
    </row>
    <row r="56" spans="1:36" ht="18">
      <c r="A56" s="5">
        <v>55</v>
      </c>
      <c r="B56" s="337" t="s">
        <v>104</v>
      </c>
      <c r="C56" s="168">
        <v>0</v>
      </c>
      <c r="D56" s="169">
        <f t="shared" si="0"/>
        <v>0</v>
      </c>
      <c r="E56" s="169">
        <f t="shared" si="1"/>
        <v>0</v>
      </c>
      <c r="F56" s="205" t="s">
        <v>69</v>
      </c>
      <c r="G56" s="205" t="s">
        <v>69</v>
      </c>
      <c r="H56" s="205" t="s">
        <v>69</v>
      </c>
      <c r="I56" s="205" t="s">
        <v>69</v>
      </c>
      <c r="J56" s="319" t="s">
        <v>175</v>
      </c>
      <c r="K56" s="205" t="s">
        <v>69</v>
      </c>
      <c r="L56" s="175" t="s">
        <v>108</v>
      </c>
      <c r="M56" s="205" t="s">
        <v>69</v>
      </c>
      <c r="N56" s="250" t="s">
        <v>92</v>
      </c>
      <c r="O56" s="205" t="s">
        <v>69</v>
      </c>
      <c r="P56" s="205" t="s">
        <v>69</v>
      </c>
      <c r="Q56" s="205" t="s">
        <v>69</v>
      </c>
      <c r="R56" s="205" t="s">
        <v>69</v>
      </c>
      <c r="S56" s="175" t="s">
        <v>108</v>
      </c>
      <c r="T56" s="134" t="s">
        <v>69</v>
      </c>
      <c r="U56" s="134" t="s">
        <v>69</v>
      </c>
      <c r="V56" s="134" t="s">
        <v>69</v>
      </c>
      <c r="W56" s="134" t="s">
        <v>69</v>
      </c>
      <c r="X56" s="130" t="s">
        <v>92</v>
      </c>
      <c r="Y56" s="134" t="s">
        <v>69</v>
      </c>
      <c r="Z56" s="327" t="s">
        <v>108</v>
      </c>
      <c r="AA56" s="134" t="s">
        <v>69</v>
      </c>
      <c r="AB56" s="134" t="s">
        <v>69</v>
      </c>
      <c r="AC56" s="134" t="s">
        <v>69</v>
      </c>
      <c r="AD56" s="134" t="s">
        <v>69</v>
      </c>
      <c r="AE56" s="134" t="s">
        <v>69</v>
      </c>
      <c r="AF56" s="134" t="s">
        <v>69</v>
      </c>
      <c r="AG56" s="329" t="s">
        <v>108</v>
      </c>
      <c r="AH56" s="134" t="s">
        <v>69</v>
      </c>
      <c r="AI56" s="239" t="s">
        <v>69</v>
      </c>
      <c r="AJ56" s="175"/>
    </row>
    <row r="57" spans="1:36" ht="18">
      <c r="A57" s="5">
        <v>56</v>
      </c>
      <c r="B57" s="192" t="s">
        <v>186</v>
      </c>
      <c r="C57" s="195">
        <v>1</v>
      </c>
      <c r="D57" s="169">
        <f t="shared" si="0"/>
        <v>1</v>
      </c>
      <c r="E57" s="169">
        <f t="shared" si="1"/>
        <v>0</v>
      </c>
      <c r="F57" s="205" t="s">
        <v>151</v>
      </c>
      <c r="G57" s="205" t="s">
        <v>69</v>
      </c>
      <c r="H57" s="205" t="s">
        <v>69</v>
      </c>
      <c r="I57" s="205" t="s">
        <v>69</v>
      </c>
      <c r="J57" s="319" t="s">
        <v>175</v>
      </c>
      <c r="K57" s="197" t="s">
        <v>72</v>
      </c>
      <c r="L57" s="175" t="s">
        <v>108</v>
      </c>
      <c r="M57" s="205" t="s">
        <v>69</v>
      </c>
      <c r="N57" s="205" t="s">
        <v>69</v>
      </c>
      <c r="O57" s="205" t="s">
        <v>69</v>
      </c>
      <c r="P57" s="205" t="s">
        <v>69</v>
      </c>
      <c r="Q57" s="205" t="s">
        <v>69</v>
      </c>
      <c r="R57" s="205" t="s">
        <v>69</v>
      </c>
      <c r="S57" s="175" t="s">
        <v>108</v>
      </c>
      <c r="T57" s="134" t="s">
        <v>69</v>
      </c>
      <c r="U57" s="134" t="s">
        <v>69</v>
      </c>
      <c r="V57" s="134" t="s">
        <v>69</v>
      </c>
      <c r="W57" s="134" t="s">
        <v>69</v>
      </c>
      <c r="X57" s="134" t="s">
        <v>69</v>
      </c>
      <c r="Y57" s="134" t="s">
        <v>69</v>
      </c>
      <c r="Z57" s="327" t="s">
        <v>108</v>
      </c>
      <c r="AA57" s="134" t="s">
        <v>69</v>
      </c>
      <c r="AB57" s="134" t="s">
        <v>69</v>
      </c>
      <c r="AC57" s="134" t="s">
        <v>69</v>
      </c>
      <c r="AD57" s="134" t="s">
        <v>69</v>
      </c>
      <c r="AE57" s="134" t="s">
        <v>69</v>
      </c>
      <c r="AF57" s="134" t="s">
        <v>69</v>
      </c>
      <c r="AG57" s="329" t="s">
        <v>108</v>
      </c>
      <c r="AH57" s="134" t="s">
        <v>69</v>
      </c>
      <c r="AI57" s="168" t="s">
        <v>69</v>
      </c>
      <c r="AJ57" s="175"/>
    </row>
    <row r="58" spans="1:36" ht="18">
      <c r="A58" s="5">
        <v>57</v>
      </c>
      <c r="B58" s="196" t="s">
        <v>187</v>
      </c>
      <c r="C58" s="195">
        <v>1</v>
      </c>
      <c r="D58" s="169">
        <f t="shared" si="0"/>
        <v>1</v>
      </c>
      <c r="E58" s="169">
        <f t="shared" si="1"/>
        <v>0</v>
      </c>
      <c r="F58" s="134" t="s">
        <v>69</v>
      </c>
      <c r="G58" s="134" t="s">
        <v>69</v>
      </c>
      <c r="H58" s="134" t="s">
        <v>69</v>
      </c>
      <c r="I58" s="134" t="s">
        <v>69</v>
      </c>
      <c r="J58" s="273" t="s">
        <v>175</v>
      </c>
      <c r="K58" s="134" t="s">
        <v>69</v>
      </c>
      <c r="L58" s="175" t="s">
        <v>108</v>
      </c>
      <c r="M58" s="121" t="s">
        <v>72</v>
      </c>
      <c r="N58" s="205" t="s">
        <v>69</v>
      </c>
      <c r="O58" s="205" t="s">
        <v>69</v>
      </c>
      <c r="P58" s="205" t="s">
        <v>69</v>
      </c>
      <c r="Q58" s="205" t="s">
        <v>69</v>
      </c>
      <c r="R58" s="147" t="s">
        <v>92</v>
      </c>
      <c r="S58" s="175" t="s">
        <v>108</v>
      </c>
      <c r="T58" s="134" t="s">
        <v>69</v>
      </c>
      <c r="U58" s="147" t="s">
        <v>92</v>
      </c>
      <c r="V58" s="134" t="s">
        <v>69</v>
      </c>
      <c r="W58" s="134" t="s">
        <v>69</v>
      </c>
      <c r="X58" s="134" t="s">
        <v>69</v>
      </c>
      <c r="Y58" s="134" t="s">
        <v>69</v>
      </c>
      <c r="Z58" s="327" t="s">
        <v>108</v>
      </c>
      <c r="AA58" s="134" t="s">
        <v>69</v>
      </c>
      <c r="AB58" s="134" t="s">
        <v>69</v>
      </c>
      <c r="AC58" s="134" t="s">
        <v>69</v>
      </c>
      <c r="AD58" s="134" t="s">
        <v>69</v>
      </c>
      <c r="AE58" s="134" t="s">
        <v>69</v>
      </c>
      <c r="AF58" s="134" t="s">
        <v>69</v>
      </c>
      <c r="AG58" s="329" t="s">
        <v>108</v>
      </c>
      <c r="AH58" s="134" t="s">
        <v>69</v>
      </c>
      <c r="AI58" s="134" t="s">
        <v>69</v>
      </c>
      <c r="AJ58" s="175"/>
    </row>
    <row r="59" spans="1:36" ht="18">
      <c r="A59" s="5">
        <v>58</v>
      </c>
      <c r="B59" s="196" t="s">
        <v>52</v>
      </c>
      <c r="C59" s="169">
        <v>0</v>
      </c>
      <c r="D59" s="169">
        <f t="shared" si="0"/>
        <v>0</v>
      </c>
      <c r="E59" s="169">
        <f t="shared" si="1"/>
        <v>0</v>
      </c>
      <c r="F59" s="134" t="s">
        <v>69</v>
      </c>
      <c r="G59" s="134" t="s">
        <v>69</v>
      </c>
      <c r="H59" s="134" t="s">
        <v>69</v>
      </c>
      <c r="I59" s="134" t="s">
        <v>69</v>
      </c>
      <c r="J59" s="134" t="s">
        <v>69</v>
      </c>
      <c r="K59" s="134" t="s">
        <v>69</v>
      </c>
      <c r="L59" s="175" t="s">
        <v>108</v>
      </c>
      <c r="M59" s="205" t="s">
        <v>69</v>
      </c>
      <c r="N59" s="205" t="s">
        <v>69</v>
      </c>
      <c r="O59" s="205" t="s">
        <v>69</v>
      </c>
      <c r="P59" s="205" t="s">
        <v>69</v>
      </c>
      <c r="Q59" s="205" t="s">
        <v>69</v>
      </c>
      <c r="R59" s="205" t="s">
        <v>69</v>
      </c>
      <c r="S59" s="175" t="s">
        <v>108</v>
      </c>
      <c r="T59" s="134" t="s">
        <v>69</v>
      </c>
      <c r="U59" s="134" t="s">
        <v>69</v>
      </c>
      <c r="V59" s="134" t="s">
        <v>69</v>
      </c>
      <c r="W59" s="134" t="s">
        <v>69</v>
      </c>
      <c r="X59" s="134" t="s">
        <v>69</v>
      </c>
      <c r="Y59" s="134" t="s">
        <v>69</v>
      </c>
      <c r="Z59" s="327" t="s">
        <v>108</v>
      </c>
      <c r="AA59" s="134" t="s">
        <v>69</v>
      </c>
      <c r="AB59" s="134" t="s">
        <v>69</v>
      </c>
      <c r="AC59" s="134" t="s">
        <v>69</v>
      </c>
      <c r="AD59" s="134" t="s">
        <v>69</v>
      </c>
      <c r="AE59" s="130" t="s">
        <v>92</v>
      </c>
      <c r="AF59" s="134" t="s">
        <v>69</v>
      </c>
      <c r="AG59" s="329" t="s">
        <v>108</v>
      </c>
      <c r="AH59" s="134" t="s">
        <v>69</v>
      </c>
      <c r="AI59" s="239" t="s">
        <v>69</v>
      </c>
      <c r="AJ59" s="175"/>
    </row>
    <row r="60" spans="1:36" ht="18">
      <c r="A60" s="5">
        <v>59</v>
      </c>
      <c r="B60" s="196" t="s">
        <v>53</v>
      </c>
      <c r="C60" s="169">
        <v>4</v>
      </c>
      <c r="D60" s="169">
        <f t="shared" si="0"/>
        <v>4</v>
      </c>
      <c r="E60" s="169">
        <f t="shared" si="1"/>
        <v>0</v>
      </c>
      <c r="F60" s="134" t="s">
        <v>69</v>
      </c>
      <c r="G60" s="142" t="s">
        <v>72</v>
      </c>
      <c r="H60" s="132" t="s">
        <v>94</v>
      </c>
      <c r="I60" s="134" t="s">
        <v>69</v>
      </c>
      <c r="J60" s="273" t="s">
        <v>175</v>
      </c>
      <c r="K60" s="121" t="s">
        <v>72</v>
      </c>
      <c r="L60" s="175" t="s">
        <v>108</v>
      </c>
      <c r="M60" s="134" t="s">
        <v>69</v>
      </c>
      <c r="N60" s="134" t="s">
        <v>69</v>
      </c>
      <c r="O60" s="134" t="s">
        <v>69</v>
      </c>
      <c r="P60" s="134" t="s">
        <v>69</v>
      </c>
      <c r="Q60" s="134" t="s">
        <v>69</v>
      </c>
      <c r="R60" s="134" t="s">
        <v>69</v>
      </c>
      <c r="S60" s="175" t="s">
        <v>108</v>
      </c>
      <c r="T60" s="134" t="s">
        <v>69</v>
      </c>
      <c r="U60" s="134" t="s">
        <v>69</v>
      </c>
      <c r="V60" s="134" t="s">
        <v>69</v>
      </c>
      <c r="W60" s="134" t="s">
        <v>69</v>
      </c>
      <c r="X60" s="134" t="s">
        <v>69</v>
      </c>
      <c r="Y60" s="134" t="s">
        <v>69</v>
      </c>
      <c r="Z60" s="327" t="s">
        <v>108</v>
      </c>
      <c r="AA60" s="134" t="s">
        <v>69</v>
      </c>
      <c r="AB60" s="134" t="s">
        <v>69</v>
      </c>
      <c r="AC60" s="236" t="s">
        <v>94</v>
      </c>
      <c r="AD60" s="121" t="s">
        <v>72</v>
      </c>
      <c r="AE60" s="134" t="s">
        <v>69</v>
      </c>
      <c r="AF60" s="134" t="s">
        <v>69</v>
      </c>
      <c r="AG60" s="329" t="s">
        <v>108</v>
      </c>
      <c r="AH60" s="134" t="s">
        <v>69</v>
      </c>
      <c r="AI60" s="168" t="s">
        <v>69</v>
      </c>
      <c r="AJ60" s="174"/>
    </row>
    <row r="61" spans="1:36" ht="18">
      <c r="A61" s="5">
        <v>60</v>
      </c>
      <c r="B61" s="196" t="s">
        <v>204</v>
      </c>
      <c r="C61" s="169">
        <v>10</v>
      </c>
      <c r="D61" s="169">
        <v>0</v>
      </c>
      <c r="E61" s="169">
        <f t="shared" si="1"/>
        <v>10</v>
      </c>
      <c r="F61" s="121" t="s">
        <v>72</v>
      </c>
      <c r="G61" s="121" t="s">
        <v>72</v>
      </c>
      <c r="H61" s="121" t="s">
        <v>72</v>
      </c>
      <c r="I61" s="121" t="s">
        <v>72</v>
      </c>
      <c r="J61" s="121" t="s">
        <v>72</v>
      </c>
      <c r="K61" s="121" t="s">
        <v>72</v>
      </c>
      <c r="L61" s="175" t="s">
        <v>108</v>
      </c>
      <c r="M61" s="121" t="s">
        <v>72</v>
      </c>
      <c r="N61" s="121" t="s">
        <v>72</v>
      </c>
      <c r="O61" s="121" t="s">
        <v>72</v>
      </c>
      <c r="P61" s="134" t="s">
        <v>69</v>
      </c>
      <c r="Q61" s="134" t="s">
        <v>69</v>
      </c>
      <c r="R61" s="134" t="s">
        <v>69</v>
      </c>
      <c r="S61" s="175" t="s">
        <v>108</v>
      </c>
      <c r="T61" s="134" t="s">
        <v>69</v>
      </c>
      <c r="U61" s="134" t="s">
        <v>69</v>
      </c>
      <c r="V61" s="134" t="s">
        <v>69</v>
      </c>
      <c r="W61" s="134" t="s">
        <v>69</v>
      </c>
      <c r="X61" s="134" t="s">
        <v>69</v>
      </c>
      <c r="Y61" s="134" t="s">
        <v>69</v>
      </c>
      <c r="Z61" s="327" t="s">
        <v>108</v>
      </c>
      <c r="AA61" s="134" t="s">
        <v>69</v>
      </c>
      <c r="AB61" s="134" t="s">
        <v>69</v>
      </c>
      <c r="AC61" s="134" t="s">
        <v>69</v>
      </c>
      <c r="AD61" s="147" t="s">
        <v>92</v>
      </c>
      <c r="AE61" s="134" t="s">
        <v>69</v>
      </c>
      <c r="AF61" s="134" t="s">
        <v>69</v>
      </c>
      <c r="AG61" s="329" t="s">
        <v>108</v>
      </c>
      <c r="AH61" s="134" t="s">
        <v>69</v>
      </c>
      <c r="AI61" s="168" t="s">
        <v>69</v>
      </c>
      <c r="AJ61" s="174"/>
    </row>
    <row r="62" spans="1:36" ht="18">
      <c r="A62" s="5">
        <v>61</v>
      </c>
      <c r="B62" s="196" t="s">
        <v>55</v>
      </c>
      <c r="C62" s="169">
        <v>1</v>
      </c>
      <c r="D62" s="169">
        <f t="shared" si="0"/>
        <v>1</v>
      </c>
      <c r="E62" s="169">
        <f t="shared" si="1"/>
        <v>0</v>
      </c>
      <c r="F62" s="134" t="s">
        <v>69</v>
      </c>
      <c r="G62" s="204" t="s">
        <v>72</v>
      </c>
      <c r="H62" s="134" t="s">
        <v>69</v>
      </c>
      <c r="I62" s="134" t="s">
        <v>69</v>
      </c>
      <c r="J62" s="273" t="s">
        <v>175</v>
      </c>
      <c r="K62" s="672" t="s">
        <v>69</v>
      </c>
      <c r="L62" s="175" t="s">
        <v>108</v>
      </c>
      <c r="M62" s="134" t="s">
        <v>69</v>
      </c>
      <c r="N62" s="134" t="s">
        <v>69</v>
      </c>
      <c r="O62" s="134" t="s">
        <v>69</v>
      </c>
      <c r="P62" s="134" t="s">
        <v>69</v>
      </c>
      <c r="Q62" s="134" t="s">
        <v>69</v>
      </c>
      <c r="R62" s="134" t="s">
        <v>69</v>
      </c>
      <c r="S62" s="175" t="s">
        <v>108</v>
      </c>
      <c r="T62" s="134" t="s">
        <v>69</v>
      </c>
      <c r="U62" s="134" t="s">
        <v>69</v>
      </c>
      <c r="V62" s="134" t="s">
        <v>69</v>
      </c>
      <c r="W62" s="134" t="s">
        <v>69</v>
      </c>
      <c r="X62" s="134" t="s">
        <v>69</v>
      </c>
      <c r="Y62" s="134" t="s">
        <v>69</v>
      </c>
      <c r="Z62" s="327" t="s">
        <v>108</v>
      </c>
      <c r="AA62" s="168" t="s">
        <v>69</v>
      </c>
      <c r="AB62" s="168" t="s">
        <v>69</v>
      </c>
      <c r="AC62" s="168" t="s">
        <v>69</v>
      </c>
      <c r="AD62" s="168" t="s">
        <v>69</v>
      </c>
      <c r="AE62" s="168" t="s">
        <v>69</v>
      </c>
      <c r="AF62" s="168" t="s">
        <v>69</v>
      </c>
      <c r="AG62" s="329" t="s">
        <v>108</v>
      </c>
      <c r="AH62" s="240" t="s">
        <v>69</v>
      </c>
      <c r="AI62" s="168" t="s">
        <v>69</v>
      </c>
      <c r="AJ62" s="175"/>
    </row>
    <row r="63" spans="1:36" ht="18">
      <c r="A63" s="5">
        <v>62</v>
      </c>
      <c r="B63" s="196" t="s">
        <v>57</v>
      </c>
      <c r="C63" s="169">
        <v>10.5</v>
      </c>
      <c r="D63" s="169">
        <v>7.5</v>
      </c>
      <c r="E63" s="169">
        <f t="shared" si="1"/>
        <v>3</v>
      </c>
      <c r="F63" s="134" t="s">
        <v>69</v>
      </c>
      <c r="G63" s="134" t="s">
        <v>69</v>
      </c>
      <c r="H63" s="134" t="s">
        <v>69</v>
      </c>
      <c r="I63" s="134" t="s">
        <v>69</v>
      </c>
      <c r="J63" s="134" t="s">
        <v>69</v>
      </c>
      <c r="K63" s="134" t="s">
        <v>69</v>
      </c>
      <c r="L63" s="175" t="s">
        <v>108</v>
      </c>
      <c r="M63" s="132" t="s">
        <v>94</v>
      </c>
      <c r="N63" s="134" t="s">
        <v>69</v>
      </c>
      <c r="O63" s="134" t="s">
        <v>69</v>
      </c>
      <c r="P63" s="134" t="s">
        <v>69</v>
      </c>
      <c r="Q63" s="121" t="s">
        <v>72</v>
      </c>
      <c r="R63" s="121" t="s">
        <v>72</v>
      </c>
      <c r="S63" s="175" t="s">
        <v>108</v>
      </c>
      <c r="T63" s="121" t="s">
        <v>72</v>
      </c>
      <c r="U63" s="121" t="s">
        <v>72</v>
      </c>
      <c r="V63" s="121" t="s">
        <v>72</v>
      </c>
      <c r="W63" s="121" t="s">
        <v>72</v>
      </c>
      <c r="X63" s="121" t="s">
        <v>72</v>
      </c>
      <c r="Y63" s="121" t="s">
        <v>72</v>
      </c>
      <c r="Z63" s="327" t="s">
        <v>108</v>
      </c>
      <c r="AA63" s="121" t="s">
        <v>72</v>
      </c>
      <c r="AB63" s="121" t="s">
        <v>72</v>
      </c>
      <c r="AC63" s="168" t="s">
        <v>69</v>
      </c>
      <c r="AD63" s="168" t="s">
        <v>69</v>
      </c>
      <c r="AE63" s="168" t="s">
        <v>69</v>
      </c>
      <c r="AF63" s="168" t="s">
        <v>69</v>
      </c>
      <c r="AG63" s="329" t="s">
        <v>108</v>
      </c>
      <c r="AH63" s="240" t="s">
        <v>69</v>
      </c>
      <c r="AI63" s="169" t="s">
        <v>69</v>
      </c>
      <c r="AJ63" s="175"/>
    </row>
    <row r="64" spans="1:36" ht="18">
      <c r="A64" s="5">
        <v>63</v>
      </c>
      <c r="B64" s="196" t="s">
        <v>80</v>
      </c>
      <c r="C64" s="168">
        <v>0</v>
      </c>
      <c r="D64" s="169">
        <f t="shared" si="0"/>
        <v>0</v>
      </c>
      <c r="E64" s="169">
        <f t="shared" si="1"/>
        <v>0</v>
      </c>
      <c r="F64" s="134" t="s">
        <v>69</v>
      </c>
      <c r="G64" s="134" t="s">
        <v>69</v>
      </c>
      <c r="H64" s="134" t="s">
        <v>69</v>
      </c>
      <c r="I64" s="672" t="s">
        <v>69</v>
      </c>
      <c r="J64" s="672" t="s">
        <v>69</v>
      </c>
      <c r="K64" s="672" t="s">
        <v>69</v>
      </c>
      <c r="L64" s="175" t="s">
        <v>108</v>
      </c>
      <c r="M64" s="672" t="s">
        <v>69</v>
      </c>
      <c r="N64" s="672" t="s">
        <v>69</v>
      </c>
      <c r="O64" s="672" t="s">
        <v>69</v>
      </c>
      <c r="P64" s="672" t="s">
        <v>69</v>
      </c>
      <c r="Q64" s="672" t="s">
        <v>69</v>
      </c>
      <c r="R64" s="672" t="s">
        <v>69</v>
      </c>
      <c r="S64" s="175" t="s">
        <v>108</v>
      </c>
      <c r="T64" s="134" t="s">
        <v>69</v>
      </c>
      <c r="U64" s="134" t="s">
        <v>69</v>
      </c>
      <c r="V64" s="134" t="s">
        <v>69</v>
      </c>
      <c r="W64" s="134" t="s">
        <v>69</v>
      </c>
      <c r="X64" s="134" t="s">
        <v>69</v>
      </c>
      <c r="Y64" s="134" t="s">
        <v>69</v>
      </c>
      <c r="Z64" s="327" t="s">
        <v>108</v>
      </c>
      <c r="AA64" s="283" t="s">
        <v>69</v>
      </c>
      <c r="AB64" s="283" t="s">
        <v>69</v>
      </c>
      <c r="AC64" s="283" t="s">
        <v>69</v>
      </c>
      <c r="AD64" s="283" t="s">
        <v>69</v>
      </c>
      <c r="AE64" s="283" t="s">
        <v>69</v>
      </c>
      <c r="AF64" s="283" t="s">
        <v>69</v>
      </c>
      <c r="AG64" s="329" t="s">
        <v>108</v>
      </c>
      <c r="AH64" s="240" t="s">
        <v>69</v>
      </c>
      <c r="AI64" s="168" t="s">
        <v>69</v>
      </c>
      <c r="AJ64" s="175"/>
    </row>
    <row r="65" spans="1:36" ht="18">
      <c r="A65" s="5">
        <v>64</v>
      </c>
      <c r="B65" s="196" t="s">
        <v>58</v>
      </c>
      <c r="C65" s="169">
        <v>6</v>
      </c>
      <c r="D65" s="169">
        <f t="shared" si="0"/>
        <v>6</v>
      </c>
      <c r="E65" s="169">
        <f t="shared" si="1"/>
        <v>0</v>
      </c>
      <c r="F65" s="213" t="s">
        <v>72</v>
      </c>
      <c r="G65" s="205" t="s">
        <v>69</v>
      </c>
      <c r="H65" s="121" t="s">
        <v>72</v>
      </c>
      <c r="I65" s="672" t="s">
        <v>69</v>
      </c>
      <c r="J65" s="672" t="s">
        <v>69</v>
      </c>
      <c r="K65" s="121" t="s">
        <v>72</v>
      </c>
      <c r="L65" s="175" t="s">
        <v>108</v>
      </c>
      <c r="M65" s="672" t="s">
        <v>69</v>
      </c>
      <c r="N65" s="672" t="s">
        <v>69</v>
      </c>
      <c r="O65" s="672" t="s">
        <v>69</v>
      </c>
      <c r="P65" s="672" t="s">
        <v>69</v>
      </c>
      <c r="Q65" s="672" t="s">
        <v>69</v>
      </c>
      <c r="R65" s="121" t="s">
        <v>72</v>
      </c>
      <c r="S65" s="175" t="s">
        <v>108</v>
      </c>
      <c r="T65" s="134" t="s">
        <v>69</v>
      </c>
      <c r="U65" s="134" t="s">
        <v>69</v>
      </c>
      <c r="V65" s="134" t="s">
        <v>69</v>
      </c>
      <c r="W65" s="134" t="s">
        <v>69</v>
      </c>
      <c r="X65" s="134" t="s">
        <v>69</v>
      </c>
      <c r="Y65" s="134" t="s">
        <v>69</v>
      </c>
      <c r="Z65" s="327" t="s">
        <v>108</v>
      </c>
      <c r="AA65" s="283" t="s">
        <v>69</v>
      </c>
      <c r="AB65" s="283" t="s">
        <v>69</v>
      </c>
      <c r="AC65" s="283" t="s">
        <v>69</v>
      </c>
      <c r="AD65" s="283" t="s">
        <v>69</v>
      </c>
      <c r="AE65" s="283" t="s">
        <v>69</v>
      </c>
      <c r="AF65" s="121" t="s">
        <v>72</v>
      </c>
      <c r="AG65" s="329" t="s">
        <v>108</v>
      </c>
      <c r="AH65" s="250" t="s">
        <v>92</v>
      </c>
      <c r="AI65" s="239" t="s">
        <v>199</v>
      </c>
      <c r="AJ65" s="174"/>
    </row>
    <row r="66" spans="1:36" ht="18">
      <c r="A66" s="5">
        <v>65</v>
      </c>
      <c r="B66" s="196" t="s">
        <v>189</v>
      </c>
      <c r="C66" s="169">
        <v>4.5</v>
      </c>
      <c r="D66" s="169">
        <v>1</v>
      </c>
      <c r="E66" s="169">
        <f t="shared" si="1"/>
        <v>3.5</v>
      </c>
      <c r="F66" s="213" t="s">
        <v>72</v>
      </c>
      <c r="G66" s="226" t="s">
        <v>69</v>
      </c>
      <c r="H66" s="226" t="s">
        <v>69</v>
      </c>
      <c r="I66" s="226" t="s">
        <v>69</v>
      </c>
      <c r="J66" s="226" t="s">
        <v>69</v>
      </c>
      <c r="K66" s="226" t="s">
        <v>69</v>
      </c>
      <c r="L66" s="175" t="s">
        <v>108</v>
      </c>
      <c r="M66" s="147" t="s">
        <v>92</v>
      </c>
      <c r="N66" s="147" t="s">
        <v>92</v>
      </c>
      <c r="O66" s="121" t="s">
        <v>72</v>
      </c>
      <c r="P66" s="672" t="s">
        <v>69</v>
      </c>
      <c r="Q66" s="672" t="s">
        <v>69</v>
      </c>
      <c r="R66" s="121" t="s">
        <v>72</v>
      </c>
      <c r="S66" s="175" t="s">
        <v>108</v>
      </c>
      <c r="T66" s="134" t="s">
        <v>69</v>
      </c>
      <c r="U66" s="134" t="s">
        <v>69</v>
      </c>
      <c r="V66" s="134" t="s">
        <v>69</v>
      </c>
      <c r="W66" s="134" t="s">
        <v>69</v>
      </c>
      <c r="X66" s="132" t="s">
        <v>94</v>
      </c>
      <c r="Y66" s="672" t="s">
        <v>69</v>
      </c>
      <c r="Z66" s="327" t="s">
        <v>108</v>
      </c>
      <c r="AA66" s="672" t="s">
        <v>69</v>
      </c>
      <c r="AB66" s="672" t="s">
        <v>69</v>
      </c>
      <c r="AC66" s="121" t="s">
        <v>72</v>
      </c>
      <c r="AD66" s="134" t="s">
        <v>69</v>
      </c>
      <c r="AE66" s="134" t="s">
        <v>69</v>
      </c>
      <c r="AF66" s="134" t="s">
        <v>69</v>
      </c>
      <c r="AG66" s="329" t="s">
        <v>108</v>
      </c>
      <c r="AH66" s="239" t="s">
        <v>69</v>
      </c>
      <c r="AI66" s="168" t="s">
        <v>69</v>
      </c>
      <c r="AJ66" s="175"/>
    </row>
    <row r="67" spans="1:36" ht="18">
      <c r="A67" s="5">
        <v>66</v>
      </c>
      <c r="B67" s="70" t="s">
        <v>60</v>
      </c>
      <c r="C67" s="169">
        <v>3</v>
      </c>
      <c r="D67" s="169">
        <v>1.5</v>
      </c>
      <c r="E67" s="169">
        <f t="shared" ref="E67:E73" si="2">C67-D67</f>
        <v>1.5</v>
      </c>
      <c r="F67" s="226" t="s">
        <v>69</v>
      </c>
      <c r="G67" s="226" t="s">
        <v>69</v>
      </c>
      <c r="H67" s="226" t="s">
        <v>69</v>
      </c>
      <c r="I67" s="226" t="s">
        <v>69</v>
      </c>
      <c r="J67" s="241" t="s">
        <v>175</v>
      </c>
      <c r="K67" s="121" t="s">
        <v>72</v>
      </c>
      <c r="L67" s="175" t="s">
        <v>108</v>
      </c>
      <c r="M67" s="134" t="s">
        <v>69</v>
      </c>
      <c r="N67" s="134" t="s">
        <v>69</v>
      </c>
      <c r="O67" s="134" t="s">
        <v>69</v>
      </c>
      <c r="P67" s="121" t="s">
        <v>72</v>
      </c>
      <c r="Q67" s="672" t="s">
        <v>69</v>
      </c>
      <c r="R67" s="672" t="s">
        <v>69</v>
      </c>
      <c r="S67" s="175" t="s">
        <v>108</v>
      </c>
      <c r="T67" s="134" t="s">
        <v>69</v>
      </c>
      <c r="U67" s="134" t="s">
        <v>69</v>
      </c>
      <c r="V67" s="134" t="s">
        <v>69</v>
      </c>
      <c r="W67" s="134" t="s">
        <v>69</v>
      </c>
      <c r="X67" s="134" t="s">
        <v>69</v>
      </c>
      <c r="Y67" s="134" t="s">
        <v>69</v>
      </c>
      <c r="Z67" s="327" t="s">
        <v>108</v>
      </c>
      <c r="AA67" s="168" t="s">
        <v>69</v>
      </c>
      <c r="AB67" s="168" t="s">
        <v>69</v>
      </c>
      <c r="AC67" s="168" t="s">
        <v>69</v>
      </c>
      <c r="AD67" s="168" t="s">
        <v>69</v>
      </c>
      <c r="AE67" s="168" t="s">
        <v>69</v>
      </c>
      <c r="AF67" s="197" t="s">
        <v>72</v>
      </c>
      <c r="AG67" s="329" t="s">
        <v>108</v>
      </c>
      <c r="AH67" s="134" t="s">
        <v>69</v>
      </c>
      <c r="AI67" s="239" t="s">
        <v>69</v>
      </c>
      <c r="AJ67" s="175"/>
    </row>
    <row r="68" spans="1:36" ht="18">
      <c r="A68" s="5">
        <v>67</v>
      </c>
      <c r="B68" s="70" t="s">
        <v>190</v>
      </c>
      <c r="C68" s="169">
        <v>7</v>
      </c>
      <c r="D68" s="169">
        <v>1</v>
      </c>
      <c r="E68" s="169">
        <f t="shared" si="2"/>
        <v>6</v>
      </c>
      <c r="F68" s="231" t="s">
        <v>73</v>
      </c>
      <c r="G68" s="226" t="s">
        <v>69</v>
      </c>
      <c r="H68" s="281" t="s">
        <v>92</v>
      </c>
      <c r="I68" s="132" t="s">
        <v>94</v>
      </c>
      <c r="J68" s="241" t="s">
        <v>175</v>
      </c>
      <c r="K68" s="121" t="s">
        <v>72</v>
      </c>
      <c r="L68" s="175" t="s">
        <v>108</v>
      </c>
      <c r="M68" s="121" t="s">
        <v>72</v>
      </c>
      <c r="N68" s="134" t="s">
        <v>69</v>
      </c>
      <c r="O68" s="134" t="s">
        <v>69</v>
      </c>
      <c r="P68" s="134" t="s">
        <v>69</v>
      </c>
      <c r="Q68" s="134" t="s">
        <v>69</v>
      </c>
      <c r="R68" s="121" t="s">
        <v>72</v>
      </c>
      <c r="S68" s="175" t="s">
        <v>108</v>
      </c>
      <c r="T68" s="134" t="s">
        <v>69</v>
      </c>
      <c r="U68" s="134" t="s">
        <v>69</v>
      </c>
      <c r="V68" s="134" t="s">
        <v>69</v>
      </c>
      <c r="W68" s="134" t="s">
        <v>69</v>
      </c>
      <c r="X68" s="121" t="s">
        <v>72</v>
      </c>
      <c r="Y68" s="121" t="s">
        <v>72</v>
      </c>
      <c r="Z68" s="327" t="s">
        <v>108</v>
      </c>
      <c r="AA68" s="168" t="s">
        <v>69</v>
      </c>
      <c r="AB68" s="168" t="s">
        <v>69</v>
      </c>
      <c r="AC68" s="168" t="s">
        <v>69</v>
      </c>
      <c r="AD68" s="168" t="s">
        <v>69</v>
      </c>
      <c r="AE68" s="168" t="s">
        <v>69</v>
      </c>
      <c r="AF68" s="197" t="s">
        <v>72</v>
      </c>
      <c r="AG68" s="329" t="s">
        <v>108</v>
      </c>
      <c r="AH68" s="134" t="s">
        <v>69</v>
      </c>
      <c r="AI68" s="239" t="s">
        <v>69</v>
      </c>
      <c r="AJ68" s="175"/>
    </row>
    <row r="69" spans="1:36" ht="18">
      <c r="A69" s="5">
        <v>68</v>
      </c>
      <c r="B69" s="70" t="s">
        <v>106</v>
      </c>
      <c r="C69" s="169">
        <v>3</v>
      </c>
      <c r="D69" s="169">
        <v>1</v>
      </c>
      <c r="E69" s="169">
        <f t="shared" si="2"/>
        <v>2</v>
      </c>
      <c r="F69" s="226" t="s">
        <v>69</v>
      </c>
      <c r="G69" s="226" t="s">
        <v>69</v>
      </c>
      <c r="H69" s="226" t="s">
        <v>69</v>
      </c>
      <c r="I69" s="226" t="s">
        <v>69</v>
      </c>
      <c r="J69" s="226" t="s">
        <v>69</v>
      </c>
      <c r="K69" s="226" t="s">
        <v>69</v>
      </c>
      <c r="L69" s="175" t="s">
        <v>108</v>
      </c>
      <c r="M69" s="672" t="s">
        <v>69</v>
      </c>
      <c r="N69" s="672" t="s">
        <v>69</v>
      </c>
      <c r="O69" s="672" t="s">
        <v>69</v>
      </c>
      <c r="P69" s="672" t="s">
        <v>69</v>
      </c>
      <c r="Q69" s="121" t="s">
        <v>72</v>
      </c>
      <c r="R69" s="134" t="s">
        <v>69</v>
      </c>
      <c r="S69" s="175" t="s">
        <v>108</v>
      </c>
      <c r="T69" s="134" t="s">
        <v>69</v>
      </c>
      <c r="U69" s="134" t="s">
        <v>69</v>
      </c>
      <c r="V69" s="134" t="s">
        <v>69</v>
      </c>
      <c r="W69" s="134" t="s">
        <v>69</v>
      </c>
      <c r="X69" s="134" t="s">
        <v>69</v>
      </c>
      <c r="Y69" s="134" t="s">
        <v>69</v>
      </c>
      <c r="Z69" s="327" t="s">
        <v>108</v>
      </c>
      <c r="AA69" s="168" t="s">
        <v>69</v>
      </c>
      <c r="AB69" s="134" t="s">
        <v>121</v>
      </c>
      <c r="AC69" s="168" t="s">
        <v>69</v>
      </c>
      <c r="AD69" s="168" t="s">
        <v>69</v>
      </c>
      <c r="AE69" s="168" t="s">
        <v>69</v>
      </c>
      <c r="AF69" s="168" t="s">
        <v>69</v>
      </c>
      <c r="AG69" s="329" t="s">
        <v>108</v>
      </c>
      <c r="AH69" s="121" t="s">
        <v>72</v>
      </c>
      <c r="AI69" s="239" t="s">
        <v>199</v>
      </c>
      <c r="AJ69" s="175"/>
    </row>
    <row r="70" spans="1:36" ht="18">
      <c r="A70" s="5">
        <v>69</v>
      </c>
      <c r="B70" s="196" t="s">
        <v>61</v>
      </c>
      <c r="C70" s="169">
        <v>0.5</v>
      </c>
      <c r="D70" s="169">
        <f t="shared" ref="D70:D73" si="3">C70</f>
        <v>0.5</v>
      </c>
      <c r="E70" s="169">
        <f t="shared" si="2"/>
        <v>0</v>
      </c>
      <c r="F70" s="250" t="s">
        <v>92</v>
      </c>
      <c r="G70" s="250" t="s">
        <v>92</v>
      </c>
      <c r="H70" s="310" t="s">
        <v>69</v>
      </c>
      <c r="I70" s="132" t="s">
        <v>94</v>
      </c>
      <c r="J70" s="241" t="s">
        <v>175</v>
      </c>
      <c r="K70" s="134" t="s">
        <v>69</v>
      </c>
      <c r="L70" s="175" t="s">
        <v>108</v>
      </c>
      <c r="M70" s="134" t="s">
        <v>69</v>
      </c>
      <c r="N70" s="134" t="s">
        <v>69</v>
      </c>
      <c r="O70" s="134" t="s">
        <v>69</v>
      </c>
      <c r="P70" s="134" t="s">
        <v>69</v>
      </c>
      <c r="Q70" s="134" t="s">
        <v>69</v>
      </c>
      <c r="R70" s="134" t="s">
        <v>69</v>
      </c>
      <c r="S70" s="175" t="s">
        <v>108</v>
      </c>
      <c r="T70" s="134" t="s">
        <v>69</v>
      </c>
      <c r="U70" s="134" t="s">
        <v>69</v>
      </c>
      <c r="V70" s="134" t="s">
        <v>69</v>
      </c>
      <c r="W70" s="134" t="s">
        <v>69</v>
      </c>
      <c r="X70" s="134" t="s">
        <v>69</v>
      </c>
      <c r="Y70" s="134" t="s">
        <v>69</v>
      </c>
      <c r="Z70" s="327" t="s">
        <v>108</v>
      </c>
      <c r="AA70" s="168" t="s">
        <v>69</v>
      </c>
      <c r="AB70" s="168" t="s">
        <v>69</v>
      </c>
      <c r="AC70" s="168" t="s">
        <v>69</v>
      </c>
      <c r="AD70" s="168" t="s">
        <v>69</v>
      </c>
      <c r="AE70" s="168" t="s">
        <v>69</v>
      </c>
      <c r="AF70" s="168" t="s">
        <v>69</v>
      </c>
      <c r="AG70" s="329" t="s">
        <v>108</v>
      </c>
      <c r="AH70" s="168" t="s">
        <v>69</v>
      </c>
      <c r="AI70" s="169" t="s">
        <v>69</v>
      </c>
      <c r="AJ70" s="175"/>
    </row>
    <row r="71" spans="1:36" ht="18">
      <c r="A71" s="5">
        <v>70</v>
      </c>
      <c r="B71" s="196" t="s">
        <v>205</v>
      </c>
      <c r="C71" s="169">
        <v>8</v>
      </c>
      <c r="D71" s="169">
        <v>0</v>
      </c>
      <c r="E71" s="169">
        <f t="shared" si="2"/>
        <v>8</v>
      </c>
      <c r="F71" s="197" t="s">
        <v>72</v>
      </c>
      <c r="G71" s="197" t="s">
        <v>72</v>
      </c>
      <c r="H71" s="197" t="s">
        <v>72</v>
      </c>
      <c r="I71" s="197" t="s">
        <v>72</v>
      </c>
      <c r="J71" s="197" t="s">
        <v>72</v>
      </c>
      <c r="K71" s="197" t="s">
        <v>72</v>
      </c>
      <c r="L71" s="175" t="s">
        <v>108</v>
      </c>
      <c r="M71" s="121" t="s">
        <v>72</v>
      </c>
      <c r="N71" s="134" t="s">
        <v>69</v>
      </c>
      <c r="O71" s="134" t="s">
        <v>69</v>
      </c>
      <c r="P71" s="134" t="s">
        <v>69</v>
      </c>
      <c r="Q71" s="134" t="s">
        <v>69</v>
      </c>
      <c r="R71" s="134" t="s">
        <v>69</v>
      </c>
      <c r="S71" s="175" t="s">
        <v>108</v>
      </c>
      <c r="T71" s="134" t="s">
        <v>69</v>
      </c>
      <c r="U71" s="134" t="s">
        <v>69</v>
      </c>
      <c r="V71" s="134" t="s">
        <v>69</v>
      </c>
      <c r="W71" s="134" t="s">
        <v>69</v>
      </c>
      <c r="X71" s="134" t="s">
        <v>69</v>
      </c>
      <c r="Y71" s="134" t="s">
        <v>69</v>
      </c>
      <c r="Z71" s="327" t="s">
        <v>108</v>
      </c>
      <c r="AA71" s="168" t="s">
        <v>69</v>
      </c>
      <c r="AB71" s="168" t="s">
        <v>69</v>
      </c>
      <c r="AC71" s="168" t="s">
        <v>69</v>
      </c>
      <c r="AD71" s="168" t="s">
        <v>69</v>
      </c>
      <c r="AE71" s="168" t="s">
        <v>69</v>
      </c>
      <c r="AF71" s="168" t="s">
        <v>69</v>
      </c>
      <c r="AG71" s="329" t="s">
        <v>108</v>
      </c>
      <c r="AH71" s="168" t="s">
        <v>69</v>
      </c>
      <c r="AI71" s="169" t="s">
        <v>69</v>
      </c>
      <c r="AJ71" s="175"/>
    </row>
    <row r="72" spans="1:36" ht="18">
      <c r="A72" s="5">
        <v>71</v>
      </c>
      <c r="B72" s="196" t="s">
        <v>62</v>
      </c>
      <c r="C72" s="169">
        <v>4</v>
      </c>
      <c r="D72" s="169">
        <f t="shared" si="3"/>
        <v>4</v>
      </c>
      <c r="E72" s="169">
        <f t="shared" si="2"/>
        <v>0</v>
      </c>
      <c r="F72" s="134" t="s">
        <v>69</v>
      </c>
      <c r="G72" s="134" t="s">
        <v>69</v>
      </c>
      <c r="H72" s="134" t="s">
        <v>69</v>
      </c>
      <c r="I72" s="134" t="s">
        <v>69</v>
      </c>
      <c r="J72" s="121" t="s">
        <v>72</v>
      </c>
      <c r="K72" s="241" t="s">
        <v>175</v>
      </c>
      <c r="L72" s="175" t="s">
        <v>108</v>
      </c>
      <c r="M72" s="672" t="s">
        <v>69</v>
      </c>
      <c r="N72" s="672" t="s">
        <v>69</v>
      </c>
      <c r="O72" s="672" t="s">
        <v>69</v>
      </c>
      <c r="P72" s="672" t="s">
        <v>69</v>
      </c>
      <c r="Q72" s="672" t="s">
        <v>69</v>
      </c>
      <c r="R72" s="132" t="s">
        <v>94</v>
      </c>
      <c r="S72" s="175" t="s">
        <v>108</v>
      </c>
      <c r="T72" s="134" t="s">
        <v>69</v>
      </c>
      <c r="U72" s="121" t="s">
        <v>72</v>
      </c>
      <c r="V72" s="134" t="s">
        <v>69</v>
      </c>
      <c r="W72" s="134" t="s">
        <v>69</v>
      </c>
      <c r="X72" s="134" t="s">
        <v>69</v>
      </c>
      <c r="Y72" s="134" t="s">
        <v>69</v>
      </c>
      <c r="Z72" s="327" t="s">
        <v>108</v>
      </c>
      <c r="AA72" s="134" t="s">
        <v>69</v>
      </c>
      <c r="AB72" s="134" t="s">
        <v>69</v>
      </c>
      <c r="AC72" s="134" t="s">
        <v>69</v>
      </c>
      <c r="AD72" s="132" t="s">
        <v>94</v>
      </c>
      <c r="AE72" s="134" t="s">
        <v>69</v>
      </c>
      <c r="AF72" s="134" t="s">
        <v>69</v>
      </c>
      <c r="AG72" s="329" t="s">
        <v>108</v>
      </c>
      <c r="AH72" s="121" t="s">
        <v>72</v>
      </c>
      <c r="AI72" s="169" t="s">
        <v>69</v>
      </c>
      <c r="AJ72" s="174"/>
    </row>
    <row r="73" spans="1:36" ht="18">
      <c r="A73" s="5">
        <v>72</v>
      </c>
      <c r="B73" s="196" t="s">
        <v>171</v>
      </c>
      <c r="C73" s="169">
        <v>1</v>
      </c>
      <c r="D73" s="169">
        <f t="shared" si="3"/>
        <v>1</v>
      </c>
      <c r="E73" s="169">
        <f t="shared" si="2"/>
        <v>0</v>
      </c>
      <c r="F73" s="205" t="s">
        <v>69</v>
      </c>
      <c r="G73" s="205" t="s">
        <v>69</v>
      </c>
      <c r="H73" s="205" t="s">
        <v>69</v>
      </c>
      <c r="I73" s="205" t="s">
        <v>69</v>
      </c>
      <c r="J73" s="241" t="s">
        <v>175</v>
      </c>
      <c r="K73" s="134" t="s">
        <v>69</v>
      </c>
      <c r="L73" s="175" t="s">
        <v>108</v>
      </c>
      <c r="M73" s="134" t="s">
        <v>69</v>
      </c>
      <c r="N73" s="134" t="s">
        <v>69</v>
      </c>
      <c r="O73" s="134" t="s">
        <v>69</v>
      </c>
      <c r="P73" s="134" t="s">
        <v>69</v>
      </c>
      <c r="Q73" s="134" t="s">
        <v>69</v>
      </c>
      <c r="R73" s="134" t="s">
        <v>69</v>
      </c>
      <c r="S73" s="175" t="s">
        <v>108</v>
      </c>
      <c r="T73" s="134" t="s">
        <v>69</v>
      </c>
      <c r="U73" s="134" t="s">
        <v>69</v>
      </c>
      <c r="V73" s="134" t="s">
        <v>69</v>
      </c>
      <c r="W73" s="134" t="s">
        <v>69</v>
      </c>
      <c r="X73" s="134" t="s">
        <v>69</v>
      </c>
      <c r="Y73" s="134" t="s">
        <v>69</v>
      </c>
      <c r="Z73" s="327" t="s">
        <v>108</v>
      </c>
      <c r="AA73" s="168" t="s">
        <v>69</v>
      </c>
      <c r="AB73" s="168" t="s">
        <v>69</v>
      </c>
      <c r="AC73" s="168" t="s">
        <v>69</v>
      </c>
      <c r="AD73" s="168" t="s">
        <v>69</v>
      </c>
      <c r="AE73" s="121" t="s">
        <v>72</v>
      </c>
      <c r="AF73" s="134" t="s">
        <v>69</v>
      </c>
      <c r="AG73" s="329" t="s">
        <v>108</v>
      </c>
      <c r="AH73" s="170" t="s">
        <v>69</v>
      </c>
      <c r="AI73" s="245" t="s">
        <v>69</v>
      </c>
      <c r="AJ73" s="175"/>
    </row>
    <row r="74" spans="1:36" ht="18">
      <c r="A74" s="5"/>
      <c r="B74" s="196"/>
      <c r="C74" s="168"/>
      <c r="D74" s="206"/>
      <c r="E74" s="206"/>
      <c r="F74" s="203"/>
      <c r="G74" s="206"/>
      <c r="H74" s="168"/>
      <c r="I74" s="168"/>
      <c r="J74" s="168"/>
      <c r="K74" s="168"/>
      <c r="L74" s="168"/>
      <c r="M74" s="174"/>
      <c r="N74" s="168"/>
      <c r="O74" s="121"/>
      <c r="P74" s="134"/>
      <c r="Q74" s="134"/>
      <c r="R74" s="134"/>
      <c r="S74" s="134"/>
      <c r="T74" s="175"/>
      <c r="U74" s="168"/>
      <c r="V74" s="168"/>
      <c r="W74" s="168"/>
      <c r="X74" s="168"/>
      <c r="Y74" s="168"/>
      <c r="Z74" s="168"/>
      <c r="AA74" s="174"/>
      <c r="AB74" s="168"/>
      <c r="AC74" s="168"/>
      <c r="AD74" s="168"/>
      <c r="AE74" s="168"/>
      <c r="AF74" s="168"/>
      <c r="AG74" s="168"/>
      <c r="AH74" s="177"/>
      <c r="AI74" s="169"/>
      <c r="AJ74" s="7"/>
    </row>
    <row r="75" spans="1:36" ht="18">
      <c r="A75" s="5"/>
      <c r="B75" s="69"/>
      <c r="C75" s="168"/>
      <c r="D75" s="335"/>
      <c r="E75" s="335"/>
      <c r="F75" s="193"/>
      <c r="G75" s="121"/>
      <c r="H75" s="121"/>
      <c r="I75" s="121"/>
      <c r="J75" s="121"/>
      <c r="K75" s="121"/>
      <c r="L75" s="121"/>
      <c r="M75" s="175"/>
      <c r="N75" s="121"/>
      <c r="O75" s="121"/>
      <c r="P75" s="121"/>
      <c r="Q75" s="121"/>
      <c r="R75" s="121"/>
      <c r="S75" s="121"/>
      <c r="T75" s="175"/>
      <c r="U75" s="121"/>
      <c r="V75" s="121"/>
      <c r="W75" s="121"/>
      <c r="X75" s="121"/>
      <c r="Y75" s="121"/>
      <c r="Z75" s="121"/>
      <c r="AA75" s="175"/>
      <c r="AB75" s="121"/>
      <c r="AC75" s="121"/>
      <c r="AD75" s="131"/>
      <c r="AE75" s="131"/>
      <c r="AF75" s="131"/>
      <c r="AG75" s="131"/>
      <c r="AH75" s="177"/>
      <c r="AI75" s="153"/>
      <c r="AJ75" s="7"/>
    </row>
    <row r="76" spans="1:36" ht="18">
      <c r="A76" s="5"/>
      <c r="B76" s="133"/>
      <c r="C76" s="168"/>
      <c r="D76" s="168"/>
      <c r="E76" s="168"/>
      <c r="F76" s="194"/>
      <c r="G76" s="131"/>
      <c r="H76" s="131"/>
      <c r="I76" s="131"/>
      <c r="J76" s="131"/>
      <c r="K76" s="131"/>
      <c r="L76" s="131"/>
      <c r="M76" s="175"/>
      <c r="N76" s="131"/>
      <c r="O76" s="131"/>
      <c r="P76" s="131"/>
      <c r="Q76" s="131"/>
      <c r="R76" s="131"/>
      <c r="S76" s="131"/>
      <c r="T76" s="175"/>
      <c r="U76" s="168"/>
      <c r="V76" s="168"/>
      <c r="W76" s="168"/>
      <c r="X76" s="168"/>
      <c r="Y76" s="168"/>
      <c r="Z76" s="168"/>
      <c r="AA76" s="175"/>
      <c r="AB76" s="132"/>
      <c r="AC76" s="121"/>
      <c r="AD76" s="121"/>
      <c r="AE76" s="121"/>
      <c r="AF76" s="121"/>
      <c r="AG76" s="121"/>
      <c r="AH76" s="177"/>
      <c r="AI76" s="153"/>
      <c r="AJ76" s="7"/>
    </row>
    <row r="77" spans="1:36">
      <c r="B77" s="155" t="s">
        <v>125</v>
      </c>
    </row>
    <row r="78" spans="1:36">
      <c r="B78" s="155" t="s">
        <v>126</v>
      </c>
    </row>
    <row r="79" spans="1:36">
      <c r="B79" s="42" t="s">
        <v>127</v>
      </c>
    </row>
    <row r="80" spans="1:36">
      <c r="B80" s="42" t="s">
        <v>128</v>
      </c>
    </row>
    <row r="81" spans="2:2">
      <c r="B81" s="42" t="s">
        <v>129</v>
      </c>
    </row>
    <row r="82" spans="2:2">
      <c r="B82" s="42" t="s">
        <v>130</v>
      </c>
    </row>
    <row r="83" spans="2:2">
      <c r="B83" s="42" t="s">
        <v>131</v>
      </c>
    </row>
    <row r="84" spans="2:2">
      <c r="B84" s="42" t="s">
        <v>132</v>
      </c>
    </row>
    <row r="85" spans="2:2">
      <c r="B85" t="s">
        <v>206</v>
      </c>
    </row>
  </sheetData>
  <autoFilter ref="E1:E85" xr:uid="{A45D1ACA-5830-45AB-9CEC-0FDB09A50761}"/>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09C68-BFD1-40BF-9EC9-123F511F3A77}">
  <dimension ref="A1:AJ83"/>
  <sheetViews>
    <sheetView topLeftCell="B1" workbookViewId="0">
      <pane xSplit="1" ySplit="1" topLeftCell="C59" activePane="bottomRight" state="frozen"/>
      <selection pane="topRight"/>
      <selection pane="bottomLeft"/>
      <selection pane="bottomRight" activeCell="B59" sqref="B59"/>
    </sheetView>
  </sheetViews>
  <sheetFormatPr defaultRowHeight="14.25"/>
  <cols>
    <col min="2" max="2" width="32.265625" bestFit="1" customWidth="1"/>
    <col min="15" max="15" width="9.1328125" style="31"/>
  </cols>
  <sheetData>
    <row r="1" spans="1:36" ht="18">
      <c r="A1" s="29" t="s">
        <v>64</v>
      </c>
      <c r="B1" s="29" t="s">
        <v>65</v>
      </c>
      <c r="C1" s="336" t="s">
        <v>68</v>
      </c>
      <c r="D1" s="336" t="s">
        <v>66</v>
      </c>
      <c r="E1" s="336" t="s">
        <v>67</v>
      </c>
      <c r="F1" s="165">
        <v>1</v>
      </c>
      <c r="G1" s="165">
        <v>2</v>
      </c>
      <c r="H1" s="165">
        <v>3</v>
      </c>
      <c r="I1" s="165">
        <v>4</v>
      </c>
      <c r="J1" s="165">
        <v>5</v>
      </c>
      <c r="K1" s="165">
        <v>6</v>
      </c>
      <c r="L1" s="165">
        <v>7</v>
      </c>
      <c r="M1" s="122">
        <v>8</v>
      </c>
      <c r="N1" s="165">
        <v>9</v>
      </c>
      <c r="O1" s="165">
        <v>10</v>
      </c>
      <c r="P1" s="165">
        <v>11</v>
      </c>
      <c r="Q1" s="165">
        <v>12</v>
      </c>
      <c r="R1" s="165">
        <v>13</v>
      </c>
      <c r="S1" s="165">
        <v>14</v>
      </c>
      <c r="T1" s="165">
        <v>15</v>
      </c>
      <c r="U1" s="165">
        <v>16</v>
      </c>
      <c r="V1" s="165">
        <v>17</v>
      </c>
      <c r="W1" s="165">
        <v>18</v>
      </c>
      <c r="X1" s="165">
        <v>19</v>
      </c>
      <c r="Y1" s="165">
        <v>20</v>
      </c>
      <c r="Z1" s="165">
        <v>21</v>
      </c>
      <c r="AA1" s="165">
        <v>22</v>
      </c>
      <c r="AB1" s="165">
        <v>23</v>
      </c>
      <c r="AC1" s="165">
        <v>24</v>
      </c>
      <c r="AD1" s="165">
        <v>25</v>
      </c>
      <c r="AE1" s="165">
        <v>26</v>
      </c>
      <c r="AF1" s="165">
        <v>27</v>
      </c>
      <c r="AG1" s="165">
        <v>28</v>
      </c>
      <c r="AH1" s="166">
        <v>29</v>
      </c>
      <c r="AI1" s="243">
        <v>30</v>
      </c>
      <c r="AJ1" s="167">
        <v>31</v>
      </c>
    </row>
    <row r="2" spans="1:36" ht="18">
      <c r="A2" s="34">
        <v>1</v>
      </c>
      <c r="B2" s="261" t="s">
        <v>6</v>
      </c>
      <c r="C2" s="169">
        <v>3</v>
      </c>
      <c r="D2" s="169">
        <v>3</v>
      </c>
      <c r="E2" s="169">
        <f>C2-D2</f>
        <v>0</v>
      </c>
      <c r="F2" s="197" t="s">
        <v>72</v>
      </c>
      <c r="G2" s="338" t="s">
        <v>111</v>
      </c>
      <c r="H2" s="205" t="s">
        <v>69</v>
      </c>
      <c r="I2" s="205" t="s">
        <v>69</v>
      </c>
      <c r="J2" s="175" t="s">
        <v>108</v>
      </c>
      <c r="K2" s="205" t="s">
        <v>69</v>
      </c>
      <c r="L2" s="205" t="s">
        <v>69</v>
      </c>
      <c r="M2" s="205" t="s">
        <v>69</v>
      </c>
      <c r="N2" s="226" t="s">
        <v>69</v>
      </c>
      <c r="O2" s="289" t="s">
        <v>69</v>
      </c>
      <c r="P2" s="289" t="s">
        <v>69</v>
      </c>
      <c r="Q2" s="175" t="s">
        <v>108</v>
      </c>
      <c r="R2" s="342" t="s">
        <v>72</v>
      </c>
      <c r="S2" s="239" t="s">
        <v>69</v>
      </c>
      <c r="T2" s="239" t="s">
        <v>69</v>
      </c>
      <c r="U2" s="672" t="s">
        <v>69</v>
      </c>
      <c r="V2" s="672" t="s">
        <v>69</v>
      </c>
      <c r="W2" s="672" t="s">
        <v>69</v>
      </c>
      <c r="X2" s="327" t="s">
        <v>108</v>
      </c>
      <c r="Y2" s="345" t="s">
        <v>111</v>
      </c>
      <c r="Z2" s="9" t="s">
        <v>111</v>
      </c>
      <c r="AA2" s="144" t="s">
        <v>72</v>
      </c>
      <c r="AB2" s="672" t="s">
        <v>70</v>
      </c>
      <c r="AC2" s="672" t="s">
        <v>72</v>
      </c>
      <c r="AD2" s="672" t="s">
        <v>69</v>
      </c>
      <c r="AE2" s="329" t="s">
        <v>108</v>
      </c>
      <c r="AF2" s="134" t="s">
        <v>69</v>
      </c>
      <c r="AG2" s="134" t="s">
        <v>69</v>
      </c>
      <c r="AH2" s="171" t="s">
        <v>69</v>
      </c>
      <c r="AI2" s="169" t="s">
        <v>69</v>
      </c>
      <c r="AJ2" s="168" t="s">
        <v>69</v>
      </c>
    </row>
    <row r="3" spans="1:36" ht="18">
      <c r="A3" s="34">
        <v>2</v>
      </c>
      <c r="B3" s="261" t="s">
        <v>7</v>
      </c>
      <c r="C3" s="169">
        <v>0</v>
      </c>
      <c r="D3" s="169">
        <v>0</v>
      </c>
      <c r="E3" s="169">
        <f t="shared" ref="E3:E66" si="0">C3-D3</f>
        <v>0</v>
      </c>
      <c r="F3" s="205" t="s">
        <v>69</v>
      </c>
      <c r="G3" s="338" t="s">
        <v>111</v>
      </c>
      <c r="H3" s="205" t="s">
        <v>69</v>
      </c>
      <c r="I3" s="205" t="s">
        <v>69</v>
      </c>
      <c r="J3" s="175" t="s">
        <v>108</v>
      </c>
      <c r="K3" s="205" t="s">
        <v>69</v>
      </c>
      <c r="L3" s="205" t="s">
        <v>69</v>
      </c>
      <c r="M3" s="205" t="s">
        <v>69</v>
      </c>
      <c r="N3" s="226" t="s">
        <v>69</v>
      </c>
      <c r="O3" s="9" t="s">
        <v>69</v>
      </c>
      <c r="P3" s="289" t="s">
        <v>69</v>
      </c>
      <c r="Q3" s="177" t="s">
        <v>108</v>
      </c>
      <c r="R3" s="9" t="s">
        <v>69</v>
      </c>
      <c r="S3" s="239" t="s">
        <v>69</v>
      </c>
      <c r="T3" s="673" t="s">
        <v>69</v>
      </c>
      <c r="U3" s="672" t="s">
        <v>69</v>
      </c>
      <c r="V3" s="672" t="s">
        <v>69</v>
      </c>
      <c r="W3" s="672" t="s">
        <v>69</v>
      </c>
      <c r="X3" s="327" t="s">
        <v>108</v>
      </c>
      <c r="Y3" s="345" t="s">
        <v>111</v>
      </c>
      <c r="Z3" s="345" t="s">
        <v>111</v>
      </c>
      <c r="AA3" s="345" t="s">
        <v>111</v>
      </c>
      <c r="AB3" s="672" t="s">
        <v>69</v>
      </c>
      <c r="AC3" s="672" t="s">
        <v>69</v>
      </c>
      <c r="AD3" s="672" t="s">
        <v>69</v>
      </c>
      <c r="AE3" s="329" t="s">
        <v>108</v>
      </c>
      <c r="AF3" s="134" t="s">
        <v>69</v>
      </c>
      <c r="AG3" s="134" t="s">
        <v>69</v>
      </c>
      <c r="AH3" s="171" t="s">
        <v>69</v>
      </c>
      <c r="AI3" s="169" t="s">
        <v>69</v>
      </c>
      <c r="AJ3" s="168" t="s">
        <v>69</v>
      </c>
    </row>
    <row r="4" spans="1:36" ht="18">
      <c r="A4" s="34">
        <v>3</v>
      </c>
      <c r="B4" s="261" t="s">
        <v>8</v>
      </c>
      <c r="C4" s="169">
        <v>1</v>
      </c>
      <c r="D4" s="169">
        <v>1</v>
      </c>
      <c r="E4" s="169">
        <f t="shared" si="0"/>
        <v>0</v>
      </c>
      <c r="F4" s="205" t="s">
        <v>69</v>
      </c>
      <c r="G4" s="338" t="s">
        <v>111</v>
      </c>
      <c r="H4" s="205" t="s">
        <v>69</v>
      </c>
      <c r="I4" s="205" t="s">
        <v>69</v>
      </c>
      <c r="J4" s="175" t="s">
        <v>108</v>
      </c>
      <c r="K4" s="205" t="s">
        <v>69</v>
      </c>
      <c r="L4" s="205" t="s">
        <v>69</v>
      </c>
      <c r="M4" s="205" t="s">
        <v>69</v>
      </c>
      <c r="N4" s="239" t="s">
        <v>69</v>
      </c>
      <c r="O4" s="9" t="s">
        <v>69</v>
      </c>
      <c r="P4" s="239" t="s">
        <v>69</v>
      </c>
      <c r="Q4" s="175" t="s">
        <v>108</v>
      </c>
      <c r="R4" s="258" t="s">
        <v>69</v>
      </c>
      <c r="S4" s="239" t="s">
        <v>69</v>
      </c>
      <c r="T4" s="673" t="s">
        <v>69</v>
      </c>
      <c r="U4" s="672" t="s">
        <v>69</v>
      </c>
      <c r="V4" s="672" t="s">
        <v>69</v>
      </c>
      <c r="W4" s="672" t="s">
        <v>69</v>
      </c>
      <c r="X4" s="327" t="s">
        <v>108</v>
      </c>
      <c r="Y4" s="345" t="s">
        <v>111</v>
      </c>
      <c r="Z4" s="9" t="s">
        <v>111</v>
      </c>
      <c r="AA4" s="144" t="s">
        <v>72</v>
      </c>
      <c r="AB4" s="134" t="s">
        <v>69</v>
      </c>
      <c r="AC4" s="134" t="s">
        <v>69</v>
      </c>
      <c r="AD4" s="134" t="s">
        <v>69</v>
      </c>
      <c r="AE4" s="329" t="s">
        <v>108</v>
      </c>
      <c r="AF4" s="134" t="s">
        <v>69</v>
      </c>
      <c r="AG4" s="134" t="s">
        <v>69</v>
      </c>
      <c r="AH4" s="171" t="s">
        <v>69</v>
      </c>
      <c r="AI4" s="169" t="s">
        <v>69</v>
      </c>
      <c r="AJ4" s="134" t="s">
        <v>69</v>
      </c>
    </row>
    <row r="5" spans="1:36" ht="18">
      <c r="A5" s="34">
        <v>4</v>
      </c>
      <c r="B5" s="261" t="s">
        <v>11</v>
      </c>
      <c r="C5" s="168">
        <v>4</v>
      </c>
      <c r="D5" s="169">
        <v>4</v>
      </c>
      <c r="E5" s="169">
        <f t="shared" si="0"/>
        <v>0</v>
      </c>
      <c r="F5" s="205" t="s">
        <v>69</v>
      </c>
      <c r="G5" s="338" t="s">
        <v>111</v>
      </c>
      <c r="H5" s="205" t="s">
        <v>69</v>
      </c>
      <c r="I5" s="205" t="s">
        <v>69</v>
      </c>
      <c r="J5" s="175" t="s">
        <v>108</v>
      </c>
      <c r="K5" s="205" t="s">
        <v>69</v>
      </c>
      <c r="L5" s="205" t="s">
        <v>69</v>
      </c>
      <c r="M5" s="205" t="s">
        <v>69</v>
      </c>
      <c r="N5" s="239" t="s">
        <v>69</v>
      </c>
      <c r="O5" s="9" t="s">
        <v>69</v>
      </c>
      <c r="P5" s="239" t="s">
        <v>69</v>
      </c>
      <c r="Q5" s="175" t="s">
        <v>108</v>
      </c>
      <c r="R5" s="152" t="s">
        <v>72</v>
      </c>
      <c r="S5" s="131" t="s">
        <v>72</v>
      </c>
      <c r="T5" s="207" t="s">
        <v>69</v>
      </c>
      <c r="U5" s="672" t="s">
        <v>69</v>
      </c>
      <c r="V5" s="134" t="s">
        <v>69</v>
      </c>
      <c r="W5" s="134" t="s">
        <v>69</v>
      </c>
      <c r="X5" s="327" t="s">
        <v>108</v>
      </c>
      <c r="Y5" s="345" t="s">
        <v>111</v>
      </c>
      <c r="Z5" s="63" t="s">
        <v>72</v>
      </c>
      <c r="AA5" s="144" t="s">
        <v>72</v>
      </c>
      <c r="AB5" s="134" t="s">
        <v>70</v>
      </c>
      <c r="AC5" s="134" t="s">
        <v>69</v>
      </c>
      <c r="AD5" s="134" t="s">
        <v>69</v>
      </c>
      <c r="AE5" s="329" t="s">
        <v>108</v>
      </c>
      <c r="AF5" s="134" t="s">
        <v>69</v>
      </c>
      <c r="AG5" s="134" t="s">
        <v>69</v>
      </c>
      <c r="AH5" s="134" t="s">
        <v>69</v>
      </c>
      <c r="AI5" s="169" t="s">
        <v>70</v>
      </c>
      <c r="AJ5" s="168" t="s">
        <v>69</v>
      </c>
    </row>
    <row r="6" spans="1:36" ht="18">
      <c r="A6" s="34">
        <v>5</v>
      </c>
      <c r="B6" s="261" t="s">
        <v>193</v>
      </c>
      <c r="C6" s="168">
        <v>0</v>
      </c>
      <c r="D6" s="169">
        <v>0</v>
      </c>
      <c r="E6" s="169">
        <f t="shared" si="0"/>
        <v>0</v>
      </c>
      <c r="F6" s="205" t="s">
        <v>69</v>
      </c>
      <c r="G6" s="338" t="s">
        <v>111</v>
      </c>
      <c r="H6" s="205" t="s">
        <v>69</v>
      </c>
      <c r="I6" s="205" t="s">
        <v>69</v>
      </c>
      <c r="J6" s="175" t="s">
        <v>108</v>
      </c>
      <c r="K6" s="205" t="s">
        <v>69</v>
      </c>
      <c r="L6" s="205" t="s">
        <v>69</v>
      </c>
      <c r="M6" s="205" t="s">
        <v>69</v>
      </c>
      <c r="N6" s="226" t="s">
        <v>69</v>
      </c>
      <c r="O6" s="9" t="s">
        <v>69</v>
      </c>
      <c r="P6" s="289" t="s">
        <v>69</v>
      </c>
      <c r="Q6" s="175" t="s">
        <v>108</v>
      </c>
      <c r="R6" s="169" t="s">
        <v>69</v>
      </c>
      <c r="S6" s="168" t="s">
        <v>69</v>
      </c>
      <c r="T6" s="134" t="s">
        <v>69</v>
      </c>
      <c r="U6" s="134" t="s">
        <v>69</v>
      </c>
      <c r="V6" s="134" t="s">
        <v>69</v>
      </c>
      <c r="W6" s="134" t="s">
        <v>69</v>
      </c>
      <c r="X6" s="327" t="s">
        <v>108</v>
      </c>
      <c r="Y6" s="345" t="s">
        <v>111</v>
      </c>
      <c r="Z6" s="63" t="s">
        <v>111</v>
      </c>
      <c r="AA6" s="207" t="s">
        <v>69</v>
      </c>
      <c r="AB6" s="134" t="s">
        <v>69</v>
      </c>
      <c r="AC6" s="134" t="s">
        <v>69</v>
      </c>
      <c r="AD6" s="134" t="s">
        <v>69</v>
      </c>
      <c r="AE6" s="329" t="s">
        <v>108</v>
      </c>
      <c r="AF6" s="134" t="s">
        <v>69</v>
      </c>
      <c r="AG6" s="134" t="s">
        <v>69</v>
      </c>
      <c r="AH6" s="207" t="s">
        <v>69</v>
      </c>
      <c r="AI6" s="169" t="s">
        <v>69</v>
      </c>
      <c r="AJ6" s="168" t="s">
        <v>69</v>
      </c>
    </row>
    <row r="7" spans="1:36" ht="18">
      <c r="A7" s="34">
        <v>6</v>
      </c>
      <c r="B7" s="261" t="s">
        <v>137</v>
      </c>
      <c r="C7" s="168">
        <v>0.5</v>
      </c>
      <c r="D7" s="169">
        <v>0.5</v>
      </c>
      <c r="E7" s="169">
        <f t="shared" si="0"/>
        <v>0</v>
      </c>
      <c r="F7" s="205" t="s">
        <v>69</v>
      </c>
      <c r="G7" s="338" t="s">
        <v>111</v>
      </c>
      <c r="H7" s="205" t="s">
        <v>69</v>
      </c>
      <c r="I7" s="205" t="s">
        <v>69</v>
      </c>
      <c r="J7" s="175" t="s">
        <v>108</v>
      </c>
      <c r="K7" s="205" t="s">
        <v>69</v>
      </c>
      <c r="L7" s="205" t="s">
        <v>69</v>
      </c>
      <c r="M7" s="205" t="s">
        <v>69</v>
      </c>
      <c r="N7" s="239" t="s">
        <v>69</v>
      </c>
      <c r="O7" s="64" t="s">
        <v>207</v>
      </c>
      <c r="P7" s="289" t="s">
        <v>69</v>
      </c>
      <c r="Q7" s="175" t="s">
        <v>108</v>
      </c>
      <c r="R7" s="239" t="s">
        <v>69</v>
      </c>
      <c r="S7" s="239" t="s">
        <v>69</v>
      </c>
      <c r="T7" s="239" t="s">
        <v>69</v>
      </c>
      <c r="U7" s="134" t="s">
        <v>69</v>
      </c>
      <c r="V7" s="134" t="s">
        <v>69</v>
      </c>
      <c r="W7" s="134" t="s">
        <v>69</v>
      </c>
      <c r="X7" s="327" t="s">
        <v>108</v>
      </c>
      <c r="Y7" s="345" t="s">
        <v>111</v>
      </c>
      <c r="Z7" s="9" t="s">
        <v>111</v>
      </c>
      <c r="AA7" s="207" t="s">
        <v>69</v>
      </c>
      <c r="AB7" s="134" t="s">
        <v>69</v>
      </c>
      <c r="AC7" s="134" t="s">
        <v>69</v>
      </c>
      <c r="AD7" s="134" t="s">
        <v>69</v>
      </c>
      <c r="AE7" s="329" t="s">
        <v>108</v>
      </c>
      <c r="AF7" s="134" t="s">
        <v>69</v>
      </c>
      <c r="AG7" s="134" t="s">
        <v>69</v>
      </c>
      <c r="AH7" s="207" t="s">
        <v>69</v>
      </c>
      <c r="AI7" s="169" t="s">
        <v>69</v>
      </c>
      <c r="AJ7" s="168" t="s">
        <v>69</v>
      </c>
    </row>
    <row r="8" spans="1:36" ht="18">
      <c r="A8" s="34">
        <v>7</v>
      </c>
      <c r="B8" s="261" t="s">
        <v>95</v>
      </c>
      <c r="C8" s="168">
        <v>0</v>
      </c>
      <c r="D8" s="169">
        <v>0</v>
      </c>
      <c r="E8" s="169">
        <f t="shared" si="0"/>
        <v>0</v>
      </c>
      <c r="F8" s="205" t="s">
        <v>69</v>
      </c>
      <c r="G8" s="338" t="s">
        <v>111</v>
      </c>
      <c r="H8" s="205" t="s">
        <v>69</v>
      </c>
      <c r="I8" s="205" t="s">
        <v>69</v>
      </c>
      <c r="J8" s="175" t="s">
        <v>108</v>
      </c>
      <c r="K8" s="205" t="s">
        <v>69</v>
      </c>
      <c r="L8" s="134" t="s">
        <v>69</v>
      </c>
      <c r="M8" s="134" t="s">
        <v>69</v>
      </c>
      <c r="N8" s="239" t="s">
        <v>69</v>
      </c>
      <c r="O8" s="9" t="s">
        <v>69</v>
      </c>
      <c r="P8" s="134" t="s">
        <v>69</v>
      </c>
      <c r="Q8" s="175" t="s">
        <v>108</v>
      </c>
      <c r="R8" s="239" t="s">
        <v>69</v>
      </c>
      <c r="S8" s="9" t="s">
        <v>69</v>
      </c>
      <c r="T8" s="239" t="s">
        <v>69</v>
      </c>
      <c r="U8" s="134" t="s">
        <v>69</v>
      </c>
      <c r="V8" s="134" t="s">
        <v>69</v>
      </c>
      <c r="W8" s="134" t="s">
        <v>69</v>
      </c>
      <c r="X8" s="327" t="s">
        <v>108</v>
      </c>
      <c r="Y8" s="345" t="s">
        <v>111</v>
      </c>
      <c r="Z8" s="168" t="s">
        <v>69</v>
      </c>
      <c r="AA8" s="333" t="s">
        <v>69</v>
      </c>
      <c r="AB8" s="168" t="s">
        <v>69</v>
      </c>
      <c r="AC8" s="168" t="s">
        <v>69</v>
      </c>
      <c r="AD8" s="168" t="s">
        <v>69</v>
      </c>
      <c r="AE8" s="329" t="s">
        <v>108</v>
      </c>
      <c r="AF8" s="134" t="s">
        <v>69</v>
      </c>
      <c r="AG8" s="134" t="s">
        <v>69</v>
      </c>
      <c r="AH8" s="207" t="s">
        <v>69</v>
      </c>
      <c r="AI8" s="239" t="s">
        <v>69</v>
      </c>
      <c r="AJ8" s="134" t="s">
        <v>69</v>
      </c>
    </row>
    <row r="9" spans="1:36" ht="18">
      <c r="A9" s="34">
        <v>8</v>
      </c>
      <c r="B9" s="261" t="s">
        <v>13</v>
      </c>
      <c r="C9" s="168">
        <v>0</v>
      </c>
      <c r="D9" s="169">
        <v>0</v>
      </c>
      <c r="E9" s="169">
        <f t="shared" si="0"/>
        <v>0</v>
      </c>
      <c r="F9" s="205" t="s">
        <v>69</v>
      </c>
      <c r="G9" s="338" t="s">
        <v>111</v>
      </c>
      <c r="H9" s="205" t="s">
        <v>69</v>
      </c>
      <c r="I9" s="205" t="s">
        <v>69</v>
      </c>
      <c r="J9" s="175" t="s">
        <v>108</v>
      </c>
      <c r="K9" s="205" t="s">
        <v>69</v>
      </c>
      <c r="L9" s="134" t="s">
        <v>69</v>
      </c>
      <c r="M9" s="134" t="s">
        <v>69</v>
      </c>
      <c r="N9" s="239" t="s">
        <v>69</v>
      </c>
      <c r="O9" s="9" t="s">
        <v>69</v>
      </c>
      <c r="P9" s="134" t="s">
        <v>69</v>
      </c>
      <c r="Q9" s="175" t="s">
        <v>108</v>
      </c>
      <c r="R9" s="134" t="s">
        <v>69</v>
      </c>
      <c r="S9" s="134" t="s">
        <v>69</v>
      </c>
      <c r="T9" s="239" t="s">
        <v>69</v>
      </c>
      <c r="U9" s="134" t="s">
        <v>69</v>
      </c>
      <c r="V9" s="134" t="s">
        <v>69</v>
      </c>
      <c r="W9" s="134" t="s">
        <v>69</v>
      </c>
      <c r="X9" s="327" t="s">
        <v>108</v>
      </c>
      <c r="Y9" s="345" t="s">
        <v>111</v>
      </c>
      <c r="Z9" s="168" t="s">
        <v>69</v>
      </c>
      <c r="AA9" s="333" t="s">
        <v>69</v>
      </c>
      <c r="AB9" s="168" t="s">
        <v>69</v>
      </c>
      <c r="AC9" s="168" t="s">
        <v>69</v>
      </c>
      <c r="AD9" s="168" t="s">
        <v>69</v>
      </c>
      <c r="AE9" s="329" t="s">
        <v>108</v>
      </c>
      <c r="AF9" s="134" t="s">
        <v>69</v>
      </c>
      <c r="AG9" s="134" t="s">
        <v>69</v>
      </c>
      <c r="AH9" s="207" t="s">
        <v>69</v>
      </c>
      <c r="AI9" s="169" t="s">
        <v>69</v>
      </c>
      <c r="AJ9" s="134" t="s">
        <v>69</v>
      </c>
    </row>
    <row r="10" spans="1:36" ht="18">
      <c r="A10" s="34">
        <v>9</v>
      </c>
      <c r="B10" s="261" t="s">
        <v>194</v>
      </c>
      <c r="C10" s="168">
        <v>1</v>
      </c>
      <c r="D10" s="169">
        <v>1</v>
      </c>
      <c r="E10" s="169">
        <f t="shared" si="0"/>
        <v>0</v>
      </c>
      <c r="F10" s="205" t="s">
        <v>69</v>
      </c>
      <c r="G10" s="338" t="s">
        <v>111</v>
      </c>
      <c r="H10" s="205" t="s">
        <v>69</v>
      </c>
      <c r="I10" s="205" t="s">
        <v>69</v>
      </c>
      <c r="J10" s="175" t="s">
        <v>108</v>
      </c>
      <c r="K10" s="205" t="s">
        <v>69</v>
      </c>
      <c r="L10" s="134" t="s">
        <v>69</v>
      </c>
      <c r="M10" s="134" t="s">
        <v>69</v>
      </c>
      <c r="N10" s="239" t="s">
        <v>69</v>
      </c>
      <c r="O10" s="9" t="s">
        <v>69</v>
      </c>
      <c r="P10" s="207" t="s">
        <v>69</v>
      </c>
      <c r="Q10" s="175" t="s">
        <v>108</v>
      </c>
      <c r="R10" s="134" t="s">
        <v>69</v>
      </c>
      <c r="S10" s="134" t="s">
        <v>69</v>
      </c>
      <c r="T10" s="239" t="s">
        <v>69</v>
      </c>
      <c r="U10" s="134" t="s">
        <v>69</v>
      </c>
      <c r="V10" s="134" t="s">
        <v>69</v>
      </c>
      <c r="W10" s="134" t="s">
        <v>69</v>
      </c>
      <c r="X10" s="327" t="s">
        <v>108</v>
      </c>
      <c r="Y10" s="345" t="s">
        <v>111</v>
      </c>
      <c r="Z10" s="9" t="s">
        <v>111</v>
      </c>
      <c r="AA10" s="144" t="s">
        <v>72</v>
      </c>
      <c r="AB10" s="134" t="s">
        <v>69</v>
      </c>
      <c r="AC10" s="134" t="s">
        <v>69</v>
      </c>
      <c r="AD10" s="134" t="s">
        <v>69</v>
      </c>
      <c r="AE10" s="329" t="s">
        <v>108</v>
      </c>
      <c r="AF10" s="134" t="s">
        <v>69</v>
      </c>
      <c r="AG10" s="134" t="s">
        <v>69</v>
      </c>
      <c r="AH10" s="207" t="s">
        <v>69</v>
      </c>
      <c r="AI10" s="344" t="s">
        <v>69</v>
      </c>
      <c r="AJ10" s="134" t="s">
        <v>69</v>
      </c>
    </row>
    <row r="11" spans="1:36" ht="18">
      <c r="A11" s="34">
        <v>10</v>
      </c>
      <c r="B11" s="261" t="s">
        <v>177</v>
      </c>
      <c r="C11" s="168">
        <v>2</v>
      </c>
      <c r="D11" s="169">
        <v>1</v>
      </c>
      <c r="E11" s="169">
        <f t="shared" si="0"/>
        <v>1</v>
      </c>
      <c r="F11" s="205" t="s">
        <v>69</v>
      </c>
      <c r="G11" s="338" t="s">
        <v>111</v>
      </c>
      <c r="H11" s="205" t="s">
        <v>69</v>
      </c>
      <c r="I11" s="205" t="s">
        <v>69</v>
      </c>
      <c r="J11" s="175" t="s">
        <v>108</v>
      </c>
      <c r="K11" s="205" t="s">
        <v>69</v>
      </c>
      <c r="L11" s="205" t="s">
        <v>69</v>
      </c>
      <c r="M11" s="205" t="s">
        <v>69</v>
      </c>
      <c r="N11" s="239" t="s">
        <v>69</v>
      </c>
      <c r="O11" s="9" t="s">
        <v>69</v>
      </c>
      <c r="P11" s="207" t="s">
        <v>70</v>
      </c>
      <c r="Q11" s="175" t="s">
        <v>108</v>
      </c>
      <c r="R11" s="239" t="s">
        <v>69</v>
      </c>
      <c r="S11" s="134" t="s">
        <v>69</v>
      </c>
      <c r="T11" s="252" t="s">
        <v>69</v>
      </c>
      <c r="U11" s="672" t="s">
        <v>69</v>
      </c>
      <c r="V11" s="672" t="s">
        <v>69</v>
      </c>
      <c r="W11" s="672" t="s">
        <v>69</v>
      </c>
      <c r="X11" s="327" t="s">
        <v>108</v>
      </c>
      <c r="Y11" s="345" t="s">
        <v>111</v>
      </c>
      <c r="Z11" s="63" t="s">
        <v>72</v>
      </c>
      <c r="AA11" s="121" t="s">
        <v>72</v>
      </c>
      <c r="AB11" s="134" t="s">
        <v>69</v>
      </c>
      <c r="AC11" s="134" t="s">
        <v>69</v>
      </c>
      <c r="AD11" s="134" t="s">
        <v>69</v>
      </c>
      <c r="AE11" s="329" t="s">
        <v>108</v>
      </c>
      <c r="AF11" s="134" t="s">
        <v>69</v>
      </c>
      <c r="AG11" s="134" t="s">
        <v>69</v>
      </c>
      <c r="AH11" s="350" t="s">
        <v>69</v>
      </c>
      <c r="AI11" s="357" t="s">
        <v>69</v>
      </c>
      <c r="AJ11" s="134" t="s">
        <v>69</v>
      </c>
    </row>
    <row r="12" spans="1:36" ht="18">
      <c r="A12" s="34">
        <v>11</v>
      </c>
      <c r="B12" s="261" t="s">
        <v>154</v>
      </c>
      <c r="C12" s="168">
        <v>2.5</v>
      </c>
      <c r="D12" s="169">
        <v>1.5</v>
      </c>
      <c r="E12" s="169">
        <f t="shared" si="0"/>
        <v>1</v>
      </c>
      <c r="F12" s="242" t="s">
        <v>94</v>
      </c>
      <c r="G12" s="338" t="s">
        <v>111</v>
      </c>
      <c r="H12" s="205" t="s">
        <v>69</v>
      </c>
      <c r="I12" s="205" t="s">
        <v>69</v>
      </c>
      <c r="J12" s="175" t="s">
        <v>108</v>
      </c>
      <c r="K12" s="205" t="s">
        <v>69</v>
      </c>
      <c r="L12" s="134" t="s">
        <v>69</v>
      </c>
      <c r="M12" s="134" t="s">
        <v>69</v>
      </c>
      <c r="N12" s="239" t="s">
        <v>69</v>
      </c>
      <c r="O12" s="9" t="s">
        <v>69</v>
      </c>
      <c r="P12" s="207" t="s">
        <v>70</v>
      </c>
      <c r="Q12" s="175" t="s">
        <v>108</v>
      </c>
      <c r="R12" s="153" t="s">
        <v>72</v>
      </c>
      <c r="S12" s="134" t="s">
        <v>69</v>
      </c>
      <c r="T12" s="207" t="s">
        <v>69</v>
      </c>
      <c r="U12" s="134" t="s">
        <v>69</v>
      </c>
      <c r="V12" s="134" t="s">
        <v>69</v>
      </c>
      <c r="W12" s="134" t="s">
        <v>69</v>
      </c>
      <c r="X12" s="327" t="s">
        <v>108</v>
      </c>
      <c r="Y12" s="345" t="s">
        <v>111</v>
      </c>
      <c r="Z12" s="9" t="s">
        <v>111</v>
      </c>
      <c r="AA12" s="233" t="s">
        <v>72</v>
      </c>
      <c r="AB12" s="134" t="s">
        <v>69</v>
      </c>
      <c r="AC12" s="134" t="s">
        <v>69</v>
      </c>
      <c r="AD12" s="134" t="s">
        <v>69</v>
      </c>
      <c r="AE12" s="329" t="s">
        <v>108</v>
      </c>
      <c r="AF12" s="134" t="s">
        <v>69</v>
      </c>
      <c r="AG12" s="134" t="s">
        <v>69</v>
      </c>
      <c r="AH12" s="171" t="s">
        <v>69</v>
      </c>
      <c r="AI12" s="344" t="s">
        <v>69</v>
      </c>
      <c r="AJ12" s="134" t="s">
        <v>69</v>
      </c>
    </row>
    <row r="13" spans="1:36" ht="18">
      <c r="A13" s="34">
        <v>12</v>
      </c>
      <c r="B13" s="261" t="s">
        <v>16</v>
      </c>
      <c r="C13" s="168">
        <v>4</v>
      </c>
      <c r="D13" s="169">
        <v>4</v>
      </c>
      <c r="E13" s="169">
        <f t="shared" si="0"/>
        <v>0</v>
      </c>
      <c r="F13" s="205" t="s">
        <v>69</v>
      </c>
      <c r="G13" s="338" t="s">
        <v>111</v>
      </c>
      <c r="H13" s="205" t="s">
        <v>69</v>
      </c>
      <c r="I13" s="205" t="s">
        <v>69</v>
      </c>
      <c r="J13" s="175" t="s">
        <v>108</v>
      </c>
      <c r="K13" s="197" t="s">
        <v>72</v>
      </c>
      <c r="L13" s="205" t="s">
        <v>69</v>
      </c>
      <c r="M13" s="205" t="s">
        <v>69</v>
      </c>
      <c r="N13" s="239" t="s">
        <v>69</v>
      </c>
      <c r="O13" s="9" t="s">
        <v>69</v>
      </c>
      <c r="P13" s="207" t="s">
        <v>70</v>
      </c>
      <c r="Q13" s="175" t="s">
        <v>108</v>
      </c>
      <c r="R13" s="153" t="s">
        <v>72</v>
      </c>
      <c r="S13" s="134" t="s">
        <v>69</v>
      </c>
      <c r="T13" s="134" t="s">
        <v>69</v>
      </c>
      <c r="U13" s="672" t="s">
        <v>69</v>
      </c>
      <c r="V13" s="672" t="s">
        <v>69</v>
      </c>
      <c r="W13" s="672" t="s">
        <v>69</v>
      </c>
      <c r="X13" s="327" t="s">
        <v>108</v>
      </c>
      <c r="Y13" s="345" t="s">
        <v>111</v>
      </c>
      <c r="Z13" s="63" t="s">
        <v>72</v>
      </c>
      <c r="AA13" s="144" t="s">
        <v>72</v>
      </c>
      <c r="AB13" s="134" t="s">
        <v>69</v>
      </c>
      <c r="AC13" s="134" t="s">
        <v>69</v>
      </c>
      <c r="AD13" s="134" t="s">
        <v>69</v>
      </c>
      <c r="AE13" s="329" t="s">
        <v>108</v>
      </c>
      <c r="AF13" s="134" t="s">
        <v>69</v>
      </c>
      <c r="AG13" s="134" t="s">
        <v>69</v>
      </c>
      <c r="AH13" s="207" t="s">
        <v>69</v>
      </c>
      <c r="AI13" s="169" t="s">
        <v>69</v>
      </c>
      <c r="AJ13" s="134" t="s">
        <v>69</v>
      </c>
    </row>
    <row r="14" spans="1:36" ht="18">
      <c r="A14" s="34">
        <v>13</v>
      </c>
      <c r="B14" s="261" t="s">
        <v>17</v>
      </c>
      <c r="C14" s="168">
        <v>2</v>
      </c>
      <c r="D14" s="169">
        <v>2</v>
      </c>
      <c r="E14" s="169">
        <f t="shared" si="0"/>
        <v>0</v>
      </c>
      <c r="F14" s="205" t="s">
        <v>69</v>
      </c>
      <c r="G14" s="338" t="s">
        <v>111</v>
      </c>
      <c r="H14" s="205" t="s">
        <v>69</v>
      </c>
      <c r="I14" s="205" t="s">
        <v>69</v>
      </c>
      <c r="J14" s="175" t="s">
        <v>108</v>
      </c>
      <c r="K14" s="205" t="s">
        <v>69</v>
      </c>
      <c r="L14" s="134" t="s">
        <v>69</v>
      </c>
      <c r="M14" s="134" t="s">
        <v>69</v>
      </c>
      <c r="N14" s="239" t="s">
        <v>69</v>
      </c>
      <c r="O14" s="9" t="s">
        <v>69</v>
      </c>
      <c r="P14" s="134" t="s">
        <v>69</v>
      </c>
      <c r="Q14" s="175" t="s">
        <v>108</v>
      </c>
      <c r="R14" s="134" t="s">
        <v>69</v>
      </c>
      <c r="S14" s="134" t="s">
        <v>69</v>
      </c>
      <c r="T14" s="134" t="s">
        <v>69</v>
      </c>
      <c r="U14" s="672" t="s">
        <v>69</v>
      </c>
      <c r="V14" s="672" t="s">
        <v>69</v>
      </c>
      <c r="W14" s="672" t="s">
        <v>69</v>
      </c>
      <c r="X14" s="327" t="s">
        <v>108</v>
      </c>
      <c r="Y14" s="345" t="s">
        <v>111</v>
      </c>
      <c r="Z14" s="121" t="s">
        <v>72</v>
      </c>
      <c r="AA14" s="134" t="s">
        <v>69</v>
      </c>
      <c r="AB14" s="134" t="s">
        <v>69</v>
      </c>
      <c r="AC14" s="134" t="s">
        <v>69</v>
      </c>
      <c r="AD14" s="134" t="s">
        <v>69</v>
      </c>
      <c r="AE14" s="329" t="s">
        <v>108</v>
      </c>
      <c r="AF14" s="134" t="s">
        <v>69</v>
      </c>
      <c r="AG14" s="134" t="s">
        <v>69</v>
      </c>
      <c r="AH14" s="207" t="s">
        <v>69</v>
      </c>
      <c r="AI14" s="344" t="s">
        <v>69</v>
      </c>
      <c r="AJ14" s="134" t="s">
        <v>72</v>
      </c>
    </row>
    <row r="15" spans="1:36" ht="18">
      <c r="A15" s="34">
        <v>14</v>
      </c>
      <c r="B15" s="261" t="s">
        <v>155</v>
      </c>
      <c r="C15" s="168">
        <v>1</v>
      </c>
      <c r="D15" s="169">
        <v>1</v>
      </c>
      <c r="E15" s="169">
        <f t="shared" si="0"/>
        <v>0</v>
      </c>
      <c r="F15" s="205" t="s">
        <v>69</v>
      </c>
      <c r="G15" s="338" t="s">
        <v>111</v>
      </c>
      <c r="H15" s="205" t="s">
        <v>69</v>
      </c>
      <c r="I15" s="205" t="s">
        <v>69</v>
      </c>
      <c r="J15" s="175" t="s">
        <v>108</v>
      </c>
      <c r="K15" s="205" t="s">
        <v>69</v>
      </c>
      <c r="L15" s="134" t="s">
        <v>69</v>
      </c>
      <c r="M15" s="134" t="s">
        <v>69</v>
      </c>
      <c r="N15" s="239" t="s">
        <v>69</v>
      </c>
      <c r="O15" s="9" t="s">
        <v>69</v>
      </c>
      <c r="P15" s="289" t="s">
        <v>69</v>
      </c>
      <c r="Q15" s="175" t="s">
        <v>108</v>
      </c>
      <c r="R15" s="134" t="s">
        <v>69</v>
      </c>
      <c r="S15" s="134" t="s">
        <v>69</v>
      </c>
      <c r="T15" s="134" t="s">
        <v>69</v>
      </c>
      <c r="U15" s="168" t="s">
        <v>69</v>
      </c>
      <c r="V15" s="131" t="s">
        <v>72</v>
      </c>
      <c r="W15" s="168" t="s">
        <v>69</v>
      </c>
      <c r="X15" s="327" t="s">
        <v>108</v>
      </c>
      <c r="Y15" s="345" t="s">
        <v>111</v>
      </c>
      <c r="Z15" s="134" t="s">
        <v>69</v>
      </c>
      <c r="AA15" s="134" t="s">
        <v>69</v>
      </c>
      <c r="AB15" s="134" t="s">
        <v>69</v>
      </c>
      <c r="AC15" s="134" t="s">
        <v>69</v>
      </c>
      <c r="AD15" s="134" t="s">
        <v>69</v>
      </c>
      <c r="AE15" s="329" t="s">
        <v>108</v>
      </c>
      <c r="AF15" s="134" t="s">
        <v>69</v>
      </c>
      <c r="AG15" s="134" t="s">
        <v>69</v>
      </c>
      <c r="AH15" s="171" t="s">
        <v>69</v>
      </c>
      <c r="AI15" s="344" t="s">
        <v>69</v>
      </c>
      <c r="AJ15" s="134" t="s">
        <v>69</v>
      </c>
    </row>
    <row r="16" spans="1:36" ht="18">
      <c r="A16" s="34">
        <v>15</v>
      </c>
      <c r="B16" s="363" t="s">
        <v>208</v>
      </c>
      <c r="C16" s="169"/>
      <c r="D16" s="169"/>
      <c r="E16" s="169">
        <f t="shared" si="0"/>
        <v>0</v>
      </c>
      <c r="F16" s="197" t="s">
        <v>72</v>
      </c>
      <c r="G16" s="338" t="s">
        <v>111</v>
      </c>
      <c r="H16" s="205" t="s">
        <v>69</v>
      </c>
      <c r="I16" s="205" t="s">
        <v>69</v>
      </c>
      <c r="J16" s="175" t="s">
        <v>108</v>
      </c>
      <c r="K16" s="205" t="s">
        <v>69</v>
      </c>
      <c r="L16" s="205" t="s">
        <v>69</v>
      </c>
      <c r="M16" s="242" t="s">
        <v>94</v>
      </c>
      <c r="N16" s="153" t="s">
        <v>76</v>
      </c>
      <c r="O16" s="153" t="s">
        <v>76</v>
      </c>
      <c r="P16" s="153" t="s">
        <v>76</v>
      </c>
      <c r="Q16" s="175" t="s">
        <v>108</v>
      </c>
      <c r="R16" s="153" t="s">
        <v>76</v>
      </c>
      <c r="S16" s="121" t="s">
        <v>76</v>
      </c>
      <c r="T16" s="121" t="s">
        <v>76</v>
      </c>
      <c r="U16" s="121" t="s">
        <v>76</v>
      </c>
      <c r="V16" s="121" t="s">
        <v>76</v>
      </c>
      <c r="W16" s="121" t="s">
        <v>76</v>
      </c>
      <c r="X16" s="327" t="s">
        <v>108</v>
      </c>
      <c r="Y16" s="345" t="s">
        <v>111</v>
      </c>
      <c r="Z16" s="121" t="s">
        <v>76</v>
      </c>
      <c r="AA16" s="121" t="s">
        <v>76</v>
      </c>
      <c r="AB16" s="121" t="s">
        <v>76</v>
      </c>
      <c r="AC16" s="121" t="s">
        <v>76</v>
      </c>
      <c r="AD16" s="121" t="s">
        <v>76</v>
      </c>
      <c r="AE16" s="329" t="s">
        <v>108</v>
      </c>
      <c r="AF16" s="153" t="s">
        <v>76</v>
      </c>
      <c r="AG16" s="153" t="s">
        <v>76</v>
      </c>
      <c r="AH16" s="153" t="s">
        <v>76</v>
      </c>
      <c r="AI16" s="153" t="s">
        <v>76</v>
      </c>
      <c r="AJ16" s="121" t="s">
        <v>76</v>
      </c>
    </row>
    <row r="17" spans="1:36" ht="18">
      <c r="A17" s="34">
        <v>16</v>
      </c>
      <c r="B17" s="261" t="s">
        <v>22</v>
      </c>
      <c r="C17" s="169">
        <v>4</v>
      </c>
      <c r="D17" s="169">
        <v>4</v>
      </c>
      <c r="E17" s="169">
        <f t="shared" si="0"/>
        <v>0</v>
      </c>
      <c r="F17" s="197" t="s">
        <v>72</v>
      </c>
      <c r="G17" s="338" t="s">
        <v>111</v>
      </c>
      <c r="H17" s="205" t="s">
        <v>69</v>
      </c>
      <c r="I17" s="205" t="s">
        <v>69</v>
      </c>
      <c r="J17" s="175" t="s">
        <v>108</v>
      </c>
      <c r="K17" s="197" t="s">
        <v>72</v>
      </c>
      <c r="L17" s="205" t="s">
        <v>69</v>
      </c>
      <c r="M17" s="205" t="s">
        <v>69</v>
      </c>
      <c r="N17" s="239" t="s">
        <v>69</v>
      </c>
      <c r="O17" s="9" t="s">
        <v>69</v>
      </c>
      <c r="P17" s="207" t="s">
        <v>69</v>
      </c>
      <c r="Q17" s="175" t="s">
        <v>108</v>
      </c>
      <c r="R17" s="239" t="s">
        <v>69</v>
      </c>
      <c r="S17" s="107" t="s">
        <v>69</v>
      </c>
      <c r="T17" s="134" t="s">
        <v>69</v>
      </c>
      <c r="U17" s="672" t="s">
        <v>69</v>
      </c>
      <c r="V17" s="672" t="s">
        <v>69</v>
      </c>
      <c r="W17" s="672" t="s">
        <v>69</v>
      </c>
      <c r="X17" s="327" t="s">
        <v>108</v>
      </c>
      <c r="Y17" s="345" t="s">
        <v>111</v>
      </c>
      <c r="Z17" s="131" t="s">
        <v>72</v>
      </c>
      <c r="AA17" s="131" t="s">
        <v>72</v>
      </c>
      <c r="AB17" s="168" t="s">
        <v>69</v>
      </c>
      <c r="AC17" s="134" t="s">
        <v>69</v>
      </c>
      <c r="AD17" s="134" t="s">
        <v>69</v>
      </c>
      <c r="AE17" s="329" t="s">
        <v>108</v>
      </c>
      <c r="AF17" s="239" t="s">
        <v>69</v>
      </c>
      <c r="AG17" s="134" t="s">
        <v>69</v>
      </c>
      <c r="AH17" s="171" t="s">
        <v>69</v>
      </c>
      <c r="AI17" s="169" t="s">
        <v>69</v>
      </c>
      <c r="AJ17" s="134" t="s">
        <v>69</v>
      </c>
    </row>
    <row r="18" spans="1:36" ht="18">
      <c r="A18" s="34">
        <v>17</v>
      </c>
      <c r="B18" s="261" t="s">
        <v>179</v>
      </c>
      <c r="C18" s="169">
        <v>3</v>
      </c>
      <c r="D18" s="169">
        <v>1</v>
      </c>
      <c r="E18" s="169">
        <f t="shared" si="0"/>
        <v>2</v>
      </c>
      <c r="F18" s="197" t="s">
        <v>72</v>
      </c>
      <c r="G18" s="338" t="s">
        <v>111</v>
      </c>
      <c r="H18" s="205" t="s">
        <v>69</v>
      </c>
      <c r="I18" s="205" t="s">
        <v>69</v>
      </c>
      <c r="J18" s="175" t="s">
        <v>108</v>
      </c>
      <c r="K18" s="205" t="s">
        <v>69</v>
      </c>
      <c r="L18" s="205" t="s">
        <v>69</v>
      </c>
      <c r="M18" s="205" t="s">
        <v>69</v>
      </c>
      <c r="N18" s="239" t="s">
        <v>69</v>
      </c>
      <c r="O18" s="197" t="s">
        <v>72</v>
      </c>
      <c r="P18" s="289" t="s">
        <v>69</v>
      </c>
      <c r="Q18" s="175" t="s">
        <v>108</v>
      </c>
      <c r="R18" s="239" t="s">
        <v>69</v>
      </c>
      <c r="S18" s="9" t="s">
        <v>69</v>
      </c>
      <c r="T18" s="9" t="s">
        <v>69</v>
      </c>
      <c r="U18" s="134" t="s">
        <v>69</v>
      </c>
      <c r="V18" s="134" t="s">
        <v>69</v>
      </c>
      <c r="W18" s="134" t="s">
        <v>69</v>
      </c>
      <c r="X18" s="327" t="s">
        <v>108</v>
      </c>
      <c r="Y18" s="345" t="s">
        <v>111</v>
      </c>
      <c r="Z18" s="9" t="s">
        <v>111</v>
      </c>
      <c r="AA18" s="171" t="s">
        <v>69</v>
      </c>
      <c r="AB18" s="121" t="s">
        <v>72</v>
      </c>
      <c r="AC18" s="134" t="s">
        <v>69</v>
      </c>
      <c r="AD18" s="134" t="s">
        <v>69</v>
      </c>
      <c r="AE18" s="329" t="s">
        <v>108</v>
      </c>
      <c r="AF18" s="239" t="s">
        <v>69</v>
      </c>
      <c r="AG18" s="134" t="s">
        <v>69</v>
      </c>
      <c r="AH18" s="171" t="s">
        <v>69</v>
      </c>
      <c r="AI18" s="169" t="s">
        <v>69</v>
      </c>
      <c r="AJ18" s="170" t="s">
        <v>69</v>
      </c>
    </row>
    <row r="19" spans="1:36" ht="18">
      <c r="A19" s="34">
        <v>18</v>
      </c>
      <c r="B19" s="261" t="s">
        <v>140</v>
      </c>
      <c r="C19" s="169">
        <v>2</v>
      </c>
      <c r="D19" s="169">
        <v>2</v>
      </c>
      <c r="E19" s="169">
        <f t="shared" si="0"/>
        <v>0</v>
      </c>
      <c r="F19" s="197" t="s">
        <v>72</v>
      </c>
      <c r="G19" s="338" t="s">
        <v>111</v>
      </c>
      <c r="H19" s="197" t="s">
        <v>72</v>
      </c>
      <c r="I19" s="205" t="s">
        <v>69</v>
      </c>
      <c r="J19" s="175" t="s">
        <v>108</v>
      </c>
      <c r="K19" s="205" t="s">
        <v>69</v>
      </c>
      <c r="L19" s="205" t="s">
        <v>69</v>
      </c>
      <c r="M19" s="205" t="s">
        <v>69</v>
      </c>
      <c r="N19" s="239" t="s">
        <v>69</v>
      </c>
      <c r="O19" s="9" t="s">
        <v>69</v>
      </c>
      <c r="P19" s="289" t="s">
        <v>69</v>
      </c>
      <c r="Q19" s="175" t="s">
        <v>108</v>
      </c>
      <c r="R19" s="239" t="s">
        <v>69</v>
      </c>
      <c r="S19" s="9" t="s">
        <v>69</v>
      </c>
      <c r="T19" s="9" t="s">
        <v>69</v>
      </c>
      <c r="U19" s="134" t="s">
        <v>69</v>
      </c>
      <c r="V19" s="281" t="s">
        <v>69</v>
      </c>
      <c r="W19" s="134" t="s">
        <v>69</v>
      </c>
      <c r="X19" s="327" t="s">
        <v>108</v>
      </c>
      <c r="Y19" s="345" t="s">
        <v>111</v>
      </c>
      <c r="Z19" s="9" t="s">
        <v>69</v>
      </c>
      <c r="AA19" s="171" t="s">
        <v>69</v>
      </c>
      <c r="AB19" s="168" t="s">
        <v>69</v>
      </c>
      <c r="AC19" s="168" t="s">
        <v>69</v>
      </c>
      <c r="AD19" s="134" t="s">
        <v>69</v>
      </c>
      <c r="AE19" s="329" t="s">
        <v>108</v>
      </c>
      <c r="AF19" s="239" t="s">
        <v>69</v>
      </c>
      <c r="AG19" s="134" t="s">
        <v>69</v>
      </c>
      <c r="AH19" s="207" t="s">
        <v>69</v>
      </c>
      <c r="AI19" s="239" t="s">
        <v>69</v>
      </c>
      <c r="AJ19" s="239" t="s">
        <v>69</v>
      </c>
    </row>
    <row r="20" spans="1:36" ht="18">
      <c r="A20" s="34">
        <v>19</v>
      </c>
      <c r="B20" s="261" t="s">
        <v>114</v>
      </c>
      <c r="C20" s="168">
        <v>0</v>
      </c>
      <c r="D20" s="169">
        <v>0</v>
      </c>
      <c r="E20" s="169">
        <f t="shared" si="0"/>
        <v>0</v>
      </c>
      <c r="F20" s="205" t="s">
        <v>69</v>
      </c>
      <c r="G20" s="338" t="s">
        <v>111</v>
      </c>
      <c r="H20" s="205" t="s">
        <v>69</v>
      </c>
      <c r="I20" s="205" t="s">
        <v>69</v>
      </c>
      <c r="J20" s="175" t="s">
        <v>108</v>
      </c>
      <c r="K20" s="205" t="s">
        <v>69</v>
      </c>
      <c r="L20" s="205" t="s">
        <v>69</v>
      </c>
      <c r="M20" s="205" t="s">
        <v>69</v>
      </c>
      <c r="N20" s="239" t="s">
        <v>69</v>
      </c>
      <c r="O20" s="9" t="s">
        <v>69</v>
      </c>
      <c r="P20" s="207" t="s">
        <v>70</v>
      </c>
      <c r="Q20" s="175" t="s">
        <v>108</v>
      </c>
      <c r="R20" s="207" t="s">
        <v>69</v>
      </c>
      <c r="S20" s="207" t="s">
        <v>69</v>
      </c>
      <c r="T20" s="207" t="s">
        <v>69</v>
      </c>
      <c r="U20" s="134" t="s">
        <v>69</v>
      </c>
      <c r="V20" s="134" t="s">
        <v>69</v>
      </c>
      <c r="W20" s="134" t="s">
        <v>69</v>
      </c>
      <c r="X20" s="327" t="s">
        <v>108</v>
      </c>
      <c r="Y20" s="345" t="s">
        <v>111</v>
      </c>
      <c r="Z20" s="9" t="s">
        <v>69</v>
      </c>
      <c r="AA20" s="171" t="s">
        <v>69</v>
      </c>
      <c r="AB20" s="168" t="s">
        <v>69</v>
      </c>
      <c r="AC20" s="168" t="s">
        <v>69</v>
      </c>
      <c r="AD20" s="168" t="s">
        <v>69</v>
      </c>
      <c r="AE20" s="329" t="s">
        <v>108</v>
      </c>
      <c r="AF20" s="169" t="s">
        <v>69</v>
      </c>
      <c r="AG20" s="169" t="s">
        <v>69</v>
      </c>
      <c r="AH20" s="169" t="s">
        <v>69</v>
      </c>
      <c r="AI20" s="169" t="s">
        <v>69</v>
      </c>
      <c r="AJ20" s="169" t="s">
        <v>69</v>
      </c>
    </row>
    <row r="21" spans="1:36" ht="18">
      <c r="A21" s="34">
        <v>20</v>
      </c>
      <c r="B21" s="261" t="s">
        <v>26</v>
      </c>
      <c r="C21" s="168">
        <v>0</v>
      </c>
      <c r="D21" s="169">
        <v>0</v>
      </c>
      <c r="E21" s="169">
        <f t="shared" si="0"/>
        <v>0</v>
      </c>
      <c r="F21" s="205" t="s">
        <v>69</v>
      </c>
      <c r="G21" s="338" t="s">
        <v>111</v>
      </c>
      <c r="H21" s="205" t="s">
        <v>69</v>
      </c>
      <c r="I21" s="205" t="s">
        <v>69</v>
      </c>
      <c r="J21" s="175" t="s">
        <v>108</v>
      </c>
      <c r="K21" s="205" t="s">
        <v>69</v>
      </c>
      <c r="L21" s="205" t="s">
        <v>69</v>
      </c>
      <c r="M21" s="205" t="s">
        <v>69</v>
      </c>
      <c r="N21" s="239" t="s">
        <v>69</v>
      </c>
      <c r="O21" s="9" t="s">
        <v>69</v>
      </c>
      <c r="P21" s="207" t="s">
        <v>69</v>
      </c>
      <c r="Q21" s="175" t="s">
        <v>108</v>
      </c>
      <c r="R21" s="239" t="s">
        <v>69</v>
      </c>
      <c r="S21" s="9" t="s">
        <v>69</v>
      </c>
      <c r="T21" s="207" t="s">
        <v>69</v>
      </c>
      <c r="U21" s="134" t="s">
        <v>69</v>
      </c>
      <c r="V21" s="134" t="s">
        <v>69</v>
      </c>
      <c r="W21" s="134" t="s">
        <v>69</v>
      </c>
      <c r="X21" s="327" t="s">
        <v>108</v>
      </c>
      <c r="Y21" s="345" t="s">
        <v>111</v>
      </c>
      <c r="Z21" s="9" t="s">
        <v>69</v>
      </c>
      <c r="AA21" s="171" t="s">
        <v>69</v>
      </c>
      <c r="AB21" s="168" t="s">
        <v>69</v>
      </c>
      <c r="AC21" s="168" t="s">
        <v>69</v>
      </c>
      <c r="AD21" s="168" t="s">
        <v>69</v>
      </c>
      <c r="AE21" s="329" t="s">
        <v>108</v>
      </c>
      <c r="AF21" s="169" t="s">
        <v>69</v>
      </c>
      <c r="AG21" s="169" t="s">
        <v>69</v>
      </c>
      <c r="AH21" s="169" t="s">
        <v>69</v>
      </c>
      <c r="AI21" s="169" t="s">
        <v>69</v>
      </c>
      <c r="AJ21" s="169" t="s">
        <v>69</v>
      </c>
    </row>
    <row r="22" spans="1:36" ht="18">
      <c r="A22" s="34">
        <v>21</v>
      </c>
      <c r="B22" s="261" t="s">
        <v>27</v>
      </c>
      <c r="C22" s="169">
        <v>24</v>
      </c>
      <c r="D22" s="169">
        <v>11</v>
      </c>
      <c r="E22" s="169">
        <f t="shared" si="0"/>
        <v>13</v>
      </c>
      <c r="F22" s="205" t="s">
        <v>69</v>
      </c>
      <c r="G22" s="338" t="s">
        <v>111</v>
      </c>
      <c r="H22" s="205" t="s">
        <v>69</v>
      </c>
      <c r="I22" s="205" t="s">
        <v>69</v>
      </c>
      <c r="J22" s="175" t="s">
        <v>108</v>
      </c>
      <c r="K22" s="205" t="s">
        <v>69</v>
      </c>
      <c r="L22" s="205" t="s">
        <v>69</v>
      </c>
      <c r="M22" s="205" t="s">
        <v>69</v>
      </c>
      <c r="N22" s="153" t="s">
        <v>72</v>
      </c>
      <c r="O22" s="153" t="s">
        <v>72</v>
      </c>
      <c r="P22" s="153" t="s">
        <v>72</v>
      </c>
      <c r="Q22" s="175" t="s">
        <v>108</v>
      </c>
      <c r="R22" s="153" t="s">
        <v>72</v>
      </c>
      <c r="S22" s="131" t="s">
        <v>72</v>
      </c>
      <c r="T22" s="131" t="s">
        <v>72</v>
      </c>
      <c r="U22" s="131" t="s">
        <v>72</v>
      </c>
      <c r="V22" s="131" t="s">
        <v>72</v>
      </c>
      <c r="W22" s="131" t="s">
        <v>72</v>
      </c>
      <c r="X22" s="327" t="s">
        <v>108</v>
      </c>
      <c r="Y22" s="345" t="s">
        <v>111</v>
      </c>
      <c r="Z22" s="131" t="s">
        <v>72</v>
      </c>
      <c r="AA22" s="218" t="s">
        <v>72</v>
      </c>
      <c r="AB22" s="131" t="s">
        <v>72</v>
      </c>
      <c r="AC22" s="131" t="s">
        <v>72</v>
      </c>
      <c r="AD22" s="131" t="s">
        <v>72</v>
      </c>
      <c r="AE22" s="329" t="s">
        <v>108</v>
      </c>
      <c r="AF22" s="152" t="s">
        <v>72</v>
      </c>
      <c r="AG22" s="131" t="s">
        <v>72</v>
      </c>
      <c r="AH22" s="218" t="s">
        <v>72</v>
      </c>
      <c r="AI22" s="152" t="s">
        <v>72</v>
      </c>
      <c r="AJ22" s="131" t="s">
        <v>72</v>
      </c>
    </row>
    <row r="23" spans="1:36" ht="18">
      <c r="A23" s="34">
        <v>22</v>
      </c>
      <c r="B23" s="261" t="s">
        <v>28</v>
      </c>
      <c r="C23" s="169">
        <v>1</v>
      </c>
      <c r="D23" s="169">
        <v>1</v>
      </c>
      <c r="E23" s="169">
        <f t="shared" si="0"/>
        <v>0</v>
      </c>
      <c r="F23" s="205" t="s">
        <v>69</v>
      </c>
      <c r="G23" s="338" t="s">
        <v>111</v>
      </c>
      <c r="H23" s="205" t="s">
        <v>69</v>
      </c>
      <c r="I23" s="205" t="s">
        <v>69</v>
      </c>
      <c r="J23" s="175" t="s">
        <v>108</v>
      </c>
      <c r="K23" s="205" t="s">
        <v>69</v>
      </c>
      <c r="L23" s="134" t="s">
        <v>69</v>
      </c>
      <c r="M23" s="134" t="s">
        <v>69</v>
      </c>
      <c r="N23" s="239" t="s">
        <v>69</v>
      </c>
      <c r="O23" s="9" t="s">
        <v>69</v>
      </c>
      <c r="P23" s="207" t="s">
        <v>70</v>
      </c>
      <c r="Q23" s="175" t="s">
        <v>108</v>
      </c>
      <c r="R23" s="207" t="s">
        <v>69</v>
      </c>
      <c r="S23" s="207" t="s">
        <v>69</v>
      </c>
      <c r="T23" s="207" t="s">
        <v>69</v>
      </c>
      <c r="U23" s="134" t="s">
        <v>69</v>
      </c>
      <c r="V23" s="134" t="s">
        <v>69</v>
      </c>
      <c r="W23" s="134" t="s">
        <v>69</v>
      </c>
      <c r="X23" s="327" t="s">
        <v>108</v>
      </c>
      <c r="Y23" s="345" t="s">
        <v>111</v>
      </c>
      <c r="Z23" s="345" t="s">
        <v>111</v>
      </c>
      <c r="AA23" s="218" t="s">
        <v>72</v>
      </c>
      <c r="AB23" s="168" t="s">
        <v>69</v>
      </c>
      <c r="AC23" s="168" t="s">
        <v>69</v>
      </c>
      <c r="AD23" s="134" t="s">
        <v>69</v>
      </c>
      <c r="AE23" s="329" t="s">
        <v>108</v>
      </c>
      <c r="AF23" s="169" t="s">
        <v>69</v>
      </c>
      <c r="AG23" s="134" t="s">
        <v>69</v>
      </c>
      <c r="AH23" s="344" t="s">
        <v>69</v>
      </c>
      <c r="AI23" s="344" t="s">
        <v>69</v>
      </c>
      <c r="AJ23" s="170" t="s">
        <v>69</v>
      </c>
    </row>
    <row r="24" spans="1:36" ht="18">
      <c r="A24" s="34">
        <v>23</v>
      </c>
      <c r="B24" s="261" t="s">
        <v>29</v>
      </c>
      <c r="C24" s="169">
        <v>0</v>
      </c>
      <c r="D24" s="169">
        <v>0</v>
      </c>
      <c r="E24" s="169">
        <f t="shared" si="0"/>
        <v>0</v>
      </c>
      <c r="F24" s="205" t="s">
        <v>69</v>
      </c>
      <c r="G24" s="338" t="s">
        <v>111</v>
      </c>
      <c r="H24" s="205" t="s">
        <v>69</v>
      </c>
      <c r="I24" s="205" t="s">
        <v>69</v>
      </c>
      <c r="J24" s="175" t="s">
        <v>108</v>
      </c>
      <c r="K24" s="205" t="s">
        <v>69</v>
      </c>
      <c r="L24" s="134" t="s">
        <v>69</v>
      </c>
      <c r="M24" s="134" t="s">
        <v>69</v>
      </c>
      <c r="N24" s="239" t="s">
        <v>69</v>
      </c>
      <c r="O24" s="9" t="s">
        <v>69</v>
      </c>
      <c r="P24" s="207" t="s">
        <v>70</v>
      </c>
      <c r="Q24" s="175" t="s">
        <v>108</v>
      </c>
      <c r="R24" s="134" t="s">
        <v>69</v>
      </c>
      <c r="S24" s="9" t="s">
        <v>69</v>
      </c>
      <c r="T24" s="207" t="s">
        <v>70</v>
      </c>
      <c r="U24" s="134" t="s">
        <v>69</v>
      </c>
      <c r="V24" s="134" t="s">
        <v>69</v>
      </c>
      <c r="W24" s="134" t="s">
        <v>69</v>
      </c>
      <c r="X24" s="327" t="s">
        <v>108</v>
      </c>
      <c r="Y24" s="345" t="s">
        <v>111</v>
      </c>
      <c r="Z24" s="134" t="s">
        <v>69</v>
      </c>
      <c r="AA24" s="207" t="s">
        <v>69</v>
      </c>
      <c r="AB24" s="134" t="s">
        <v>69</v>
      </c>
      <c r="AC24" s="134" t="s">
        <v>69</v>
      </c>
      <c r="AD24" s="168" t="s">
        <v>69</v>
      </c>
      <c r="AE24" s="329" t="s">
        <v>108</v>
      </c>
      <c r="AF24" s="169" t="s">
        <v>69</v>
      </c>
      <c r="AG24" s="134" t="s">
        <v>69</v>
      </c>
      <c r="AH24" s="171" t="s">
        <v>69</v>
      </c>
      <c r="AI24" s="195" t="s">
        <v>69</v>
      </c>
      <c r="AJ24" s="168" t="s">
        <v>69</v>
      </c>
    </row>
    <row r="25" spans="1:36" ht="18">
      <c r="A25" s="34">
        <v>24</v>
      </c>
      <c r="B25" s="261" t="s">
        <v>181</v>
      </c>
      <c r="C25" s="169">
        <v>1</v>
      </c>
      <c r="D25" s="169">
        <v>1</v>
      </c>
      <c r="E25" s="169">
        <f t="shared" si="0"/>
        <v>0</v>
      </c>
      <c r="F25" s="121" t="s">
        <v>72</v>
      </c>
      <c r="G25" s="338" t="s">
        <v>111</v>
      </c>
      <c r="H25" s="134" t="s">
        <v>69</v>
      </c>
      <c r="I25" s="134" t="s">
        <v>69</v>
      </c>
      <c r="J25" s="175" t="s">
        <v>108</v>
      </c>
      <c r="K25" s="134" t="s">
        <v>69</v>
      </c>
      <c r="L25" s="134" t="s">
        <v>69</v>
      </c>
      <c r="M25" s="134" t="s">
        <v>69</v>
      </c>
      <c r="N25" s="239" t="s">
        <v>69</v>
      </c>
      <c r="O25" s="9" t="s">
        <v>69</v>
      </c>
      <c r="P25" s="207" t="s">
        <v>70</v>
      </c>
      <c r="Q25" s="175" t="s">
        <v>108</v>
      </c>
      <c r="R25" s="239" t="s">
        <v>69</v>
      </c>
      <c r="S25" s="9" t="s">
        <v>69</v>
      </c>
      <c r="T25" s="207" t="s">
        <v>70</v>
      </c>
      <c r="U25" s="134" t="s">
        <v>69</v>
      </c>
      <c r="V25" s="134" t="s">
        <v>69</v>
      </c>
      <c r="W25" s="134" t="s">
        <v>69</v>
      </c>
      <c r="X25" s="327" t="s">
        <v>108</v>
      </c>
      <c r="Y25" s="345" t="s">
        <v>111</v>
      </c>
      <c r="Z25" s="134" t="s">
        <v>69</v>
      </c>
      <c r="AA25" s="171" t="s">
        <v>69</v>
      </c>
      <c r="AB25" s="168" t="s">
        <v>69</v>
      </c>
      <c r="AC25" s="168" t="s">
        <v>69</v>
      </c>
      <c r="AD25" s="168" t="s">
        <v>69</v>
      </c>
      <c r="AE25" s="329" t="s">
        <v>108</v>
      </c>
      <c r="AF25" s="169" t="s">
        <v>69</v>
      </c>
      <c r="AG25" s="134" t="s">
        <v>69</v>
      </c>
      <c r="AH25" s="134" t="s">
        <v>69</v>
      </c>
      <c r="AI25" s="169" t="s">
        <v>69</v>
      </c>
      <c r="AJ25" s="169" t="s">
        <v>69</v>
      </c>
    </row>
    <row r="26" spans="1:36" ht="18">
      <c r="A26" s="34">
        <v>25</v>
      </c>
      <c r="B26" s="261" t="s">
        <v>182</v>
      </c>
      <c r="C26" s="169">
        <v>5</v>
      </c>
      <c r="D26" s="169">
        <v>1</v>
      </c>
      <c r="E26" s="169">
        <f t="shared" si="0"/>
        <v>4</v>
      </c>
      <c r="F26" s="134" t="s">
        <v>69</v>
      </c>
      <c r="G26" s="338" t="s">
        <v>111</v>
      </c>
      <c r="H26" s="134" t="s">
        <v>69</v>
      </c>
      <c r="I26" s="121" t="s">
        <v>72</v>
      </c>
      <c r="J26" s="175" t="s">
        <v>108</v>
      </c>
      <c r="K26" s="134" t="s">
        <v>69</v>
      </c>
      <c r="L26" s="134" t="s">
        <v>69</v>
      </c>
      <c r="M26" s="134" t="s">
        <v>69</v>
      </c>
      <c r="N26" s="239" t="s">
        <v>69</v>
      </c>
      <c r="O26" s="9" t="s">
        <v>69</v>
      </c>
      <c r="P26" s="134" t="s">
        <v>69</v>
      </c>
      <c r="Q26" s="175" t="s">
        <v>108</v>
      </c>
      <c r="R26" s="239" t="s">
        <v>69</v>
      </c>
      <c r="S26" s="343" t="s">
        <v>72</v>
      </c>
      <c r="T26" s="207" t="s">
        <v>69</v>
      </c>
      <c r="U26" s="134" t="s">
        <v>69</v>
      </c>
      <c r="V26" s="134" t="s">
        <v>69</v>
      </c>
      <c r="W26" s="134" t="s">
        <v>69</v>
      </c>
      <c r="X26" s="327" t="s">
        <v>108</v>
      </c>
      <c r="Y26" s="345" t="s">
        <v>111</v>
      </c>
      <c r="Z26" s="9" t="s">
        <v>111</v>
      </c>
      <c r="AA26" s="346" t="s">
        <v>72</v>
      </c>
      <c r="AB26" s="168" t="s">
        <v>69</v>
      </c>
      <c r="AC26" s="168" t="s">
        <v>69</v>
      </c>
      <c r="AD26" s="168" t="s">
        <v>69</v>
      </c>
      <c r="AE26" s="329" t="s">
        <v>108</v>
      </c>
      <c r="AF26" s="169" t="s">
        <v>69</v>
      </c>
      <c r="AG26" s="134" t="s">
        <v>69</v>
      </c>
      <c r="AH26" s="171" t="s">
        <v>69</v>
      </c>
      <c r="AI26" s="153" t="s">
        <v>72</v>
      </c>
      <c r="AJ26" s="121" t="s">
        <v>72</v>
      </c>
    </row>
    <row r="27" spans="1:36" ht="18">
      <c r="A27" s="34">
        <v>26</v>
      </c>
      <c r="B27" s="261" t="s">
        <v>30</v>
      </c>
      <c r="C27" s="169">
        <v>0.5</v>
      </c>
      <c r="D27" s="169">
        <v>0.5</v>
      </c>
      <c r="E27" s="169">
        <f t="shared" si="0"/>
        <v>0</v>
      </c>
      <c r="F27" s="134" t="s">
        <v>69</v>
      </c>
      <c r="G27" s="338" t="s">
        <v>111</v>
      </c>
      <c r="H27" s="134" t="s">
        <v>69</v>
      </c>
      <c r="I27" s="134" t="s">
        <v>69</v>
      </c>
      <c r="J27" s="175" t="s">
        <v>108</v>
      </c>
      <c r="K27" s="191" t="s">
        <v>207</v>
      </c>
      <c r="L27" s="134" t="s">
        <v>69</v>
      </c>
      <c r="M27" s="134" t="s">
        <v>69</v>
      </c>
      <c r="N27" s="239" t="s">
        <v>69</v>
      </c>
      <c r="O27" s="9" t="s">
        <v>69</v>
      </c>
      <c r="P27" s="134" t="s">
        <v>70</v>
      </c>
      <c r="Q27" s="175" t="s">
        <v>108</v>
      </c>
      <c r="R27" s="239" t="s">
        <v>69</v>
      </c>
      <c r="S27" s="134" t="s">
        <v>69</v>
      </c>
      <c r="T27" s="207" t="s">
        <v>69</v>
      </c>
      <c r="U27" s="134" t="s">
        <v>69</v>
      </c>
      <c r="V27" s="134" t="s">
        <v>69</v>
      </c>
      <c r="W27" s="134" t="s">
        <v>69</v>
      </c>
      <c r="X27" s="330" t="s">
        <v>108</v>
      </c>
      <c r="Y27" s="345" t="s">
        <v>111</v>
      </c>
      <c r="Z27" s="134" t="s">
        <v>69</v>
      </c>
      <c r="AA27" s="141" t="s">
        <v>69</v>
      </c>
      <c r="AB27" s="333" t="s">
        <v>69</v>
      </c>
      <c r="AC27" s="220" t="s">
        <v>69</v>
      </c>
      <c r="AD27" s="220" t="s">
        <v>69</v>
      </c>
      <c r="AE27" s="329" t="s">
        <v>108</v>
      </c>
      <c r="AF27" s="169" t="s">
        <v>69</v>
      </c>
      <c r="AG27" s="134" t="s">
        <v>69</v>
      </c>
      <c r="AH27" s="344" t="s">
        <v>69</v>
      </c>
      <c r="AI27" s="239" t="s">
        <v>69</v>
      </c>
      <c r="AJ27" s="170" t="s">
        <v>69</v>
      </c>
    </row>
    <row r="28" spans="1:36" ht="18">
      <c r="A28" s="34">
        <v>27</v>
      </c>
      <c r="B28" s="261" t="s">
        <v>183</v>
      </c>
      <c r="C28" s="169">
        <v>4</v>
      </c>
      <c r="D28" s="169">
        <v>2</v>
      </c>
      <c r="E28" s="169">
        <f t="shared" si="0"/>
        <v>2</v>
      </c>
      <c r="F28" s="134" t="s">
        <v>69</v>
      </c>
      <c r="G28" s="338" t="s">
        <v>111</v>
      </c>
      <c r="H28" s="134" t="s">
        <v>69</v>
      </c>
      <c r="I28" s="134" t="s">
        <v>69</v>
      </c>
      <c r="J28" s="175" t="s">
        <v>108</v>
      </c>
      <c r="K28" s="134" t="s">
        <v>69</v>
      </c>
      <c r="L28" s="134" t="s">
        <v>69</v>
      </c>
      <c r="M28" s="205" t="s">
        <v>69</v>
      </c>
      <c r="N28" s="153" t="s">
        <v>72</v>
      </c>
      <c r="O28" s="9" t="s">
        <v>69</v>
      </c>
      <c r="P28" s="134" t="s">
        <v>70</v>
      </c>
      <c r="Q28" s="175" t="s">
        <v>108</v>
      </c>
      <c r="R28" s="341" t="s">
        <v>69</v>
      </c>
      <c r="S28" s="134" t="s">
        <v>69</v>
      </c>
      <c r="T28" s="207" t="s">
        <v>69</v>
      </c>
      <c r="U28" s="134" t="s">
        <v>69</v>
      </c>
      <c r="V28" s="134" t="s">
        <v>69</v>
      </c>
      <c r="W28" s="134" t="s">
        <v>69</v>
      </c>
      <c r="X28" s="330" t="s">
        <v>108</v>
      </c>
      <c r="Y28" s="355" t="s">
        <v>111</v>
      </c>
      <c r="Z28" s="199" t="s">
        <v>69</v>
      </c>
      <c r="AA28" s="141" t="s">
        <v>69</v>
      </c>
      <c r="AB28" s="333" t="s">
        <v>69</v>
      </c>
      <c r="AC28" s="220" t="s">
        <v>69</v>
      </c>
      <c r="AD28" s="120" t="s">
        <v>69</v>
      </c>
      <c r="AE28" s="329" t="s">
        <v>108</v>
      </c>
      <c r="AF28" s="153" t="s">
        <v>72</v>
      </c>
      <c r="AG28" s="153" t="s">
        <v>72</v>
      </c>
      <c r="AH28" s="153" t="s">
        <v>72</v>
      </c>
      <c r="AI28" s="215" t="s">
        <v>69</v>
      </c>
      <c r="AJ28" s="134" t="s">
        <v>69</v>
      </c>
    </row>
    <row r="29" spans="1:36" ht="18">
      <c r="A29" s="34">
        <v>28</v>
      </c>
      <c r="B29" s="261" t="s">
        <v>31</v>
      </c>
      <c r="C29" s="169">
        <v>2</v>
      </c>
      <c r="D29" s="169">
        <v>2</v>
      </c>
      <c r="E29" s="169">
        <f t="shared" si="0"/>
        <v>0</v>
      </c>
      <c r="F29" s="134" t="s">
        <v>69</v>
      </c>
      <c r="G29" s="338" t="s">
        <v>111</v>
      </c>
      <c r="H29" s="134" t="s">
        <v>69</v>
      </c>
      <c r="I29" s="134" t="s">
        <v>69</v>
      </c>
      <c r="J29" s="175" t="s">
        <v>108</v>
      </c>
      <c r="K29" s="134" t="s">
        <v>69</v>
      </c>
      <c r="L29" s="134" t="s">
        <v>69</v>
      </c>
      <c r="M29" s="134" t="s">
        <v>69</v>
      </c>
      <c r="N29" s="212" t="s">
        <v>69</v>
      </c>
      <c r="O29" s="63" t="s">
        <v>72</v>
      </c>
      <c r="P29" s="134" t="s">
        <v>70</v>
      </c>
      <c r="Q29" s="177" t="s">
        <v>108</v>
      </c>
      <c r="R29" s="239" t="s">
        <v>69</v>
      </c>
      <c r="S29" s="134" t="s">
        <v>69</v>
      </c>
      <c r="T29" s="339" t="s">
        <v>69</v>
      </c>
      <c r="U29" s="328" t="s">
        <v>69</v>
      </c>
      <c r="V29" s="328" t="s">
        <v>69</v>
      </c>
      <c r="W29" s="328" t="s">
        <v>69</v>
      </c>
      <c r="X29" s="330" t="s">
        <v>108</v>
      </c>
      <c r="Y29" s="338" t="s">
        <v>111</v>
      </c>
      <c r="Z29" s="338" t="s">
        <v>111</v>
      </c>
      <c r="AA29" s="171" t="s">
        <v>72</v>
      </c>
      <c r="AB29" s="168" t="s">
        <v>69</v>
      </c>
      <c r="AC29" s="168" t="s">
        <v>69</v>
      </c>
      <c r="AD29" s="168" t="s">
        <v>69</v>
      </c>
      <c r="AE29" s="329" t="s">
        <v>108</v>
      </c>
      <c r="AF29" s="351" t="s">
        <v>69</v>
      </c>
      <c r="AG29" s="134" t="s">
        <v>69</v>
      </c>
      <c r="AH29" s="352" t="s">
        <v>69</v>
      </c>
      <c r="AI29" s="239" t="s">
        <v>69</v>
      </c>
      <c r="AJ29" s="175" t="s">
        <v>69</v>
      </c>
    </row>
    <row r="30" spans="1:36" ht="18">
      <c r="A30" s="34">
        <v>29</v>
      </c>
      <c r="B30" s="261" t="s">
        <v>142</v>
      </c>
      <c r="C30" s="168">
        <v>3</v>
      </c>
      <c r="D30" s="169">
        <v>2</v>
      </c>
      <c r="E30" s="169">
        <f t="shared" si="0"/>
        <v>1</v>
      </c>
      <c r="F30" s="134" t="s">
        <v>69</v>
      </c>
      <c r="G30" s="338" t="s">
        <v>111</v>
      </c>
      <c r="H30" s="134" t="s">
        <v>69</v>
      </c>
      <c r="I30" s="134" t="s">
        <v>69</v>
      </c>
      <c r="J30" s="175" t="s">
        <v>108</v>
      </c>
      <c r="K30" s="134" t="s">
        <v>69</v>
      </c>
      <c r="L30" s="205" t="s">
        <v>69</v>
      </c>
      <c r="M30" s="205" t="s">
        <v>69</v>
      </c>
      <c r="N30" s="212" t="s">
        <v>69</v>
      </c>
      <c r="O30" s="9" t="s">
        <v>69</v>
      </c>
      <c r="P30" s="233" t="s">
        <v>72</v>
      </c>
      <c r="Q30" s="177" t="s">
        <v>108</v>
      </c>
      <c r="R30" s="239" t="s">
        <v>69</v>
      </c>
      <c r="S30" s="134" t="s">
        <v>69</v>
      </c>
      <c r="T30" s="239" t="s">
        <v>69</v>
      </c>
      <c r="U30" s="328" t="s">
        <v>69</v>
      </c>
      <c r="V30" s="328" t="s">
        <v>69</v>
      </c>
      <c r="W30" s="328" t="s">
        <v>69</v>
      </c>
      <c r="X30" s="330" t="s">
        <v>108</v>
      </c>
      <c r="Y30" s="338" t="s">
        <v>111</v>
      </c>
      <c r="Z30" s="338" t="s">
        <v>111</v>
      </c>
      <c r="AA30" s="171" t="s">
        <v>72</v>
      </c>
      <c r="AB30" s="131" t="s">
        <v>72</v>
      </c>
      <c r="AC30" s="168" t="s">
        <v>69</v>
      </c>
      <c r="AD30" s="168" t="s">
        <v>69</v>
      </c>
      <c r="AE30" s="329" t="s">
        <v>108</v>
      </c>
      <c r="AF30" s="351" t="s">
        <v>69</v>
      </c>
      <c r="AG30" s="134" t="s">
        <v>69</v>
      </c>
      <c r="AH30" s="171" t="s">
        <v>69</v>
      </c>
      <c r="AI30" s="169" t="s">
        <v>69</v>
      </c>
      <c r="AJ30" s="170" t="s">
        <v>69</v>
      </c>
    </row>
    <row r="31" spans="1:36" ht="18">
      <c r="A31" s="34">
        <v>30</v>
      </c>
      <c r="B31" s="261" t="s">
        <v>33</v>
      </c>
      <c r="C31" s="168">
        <v>0</v>
      </c>
      <c r="D31" s="169">
        <v>0</v>
      </c>
      <c r="E31" s="169">
        <f t="shared" si="0"/>
        <v>0</v>
      </c>
      <c r="F31" s="134" t="s">
        <v>69</v>
      </c>
      <c r="G31" s="338" t="s">
        <v>111</v>
      </c>
      <c r="H31" s="134" t="s">
        <v>69</v>
      </c>
      <c r="I31" s="134" t="s">
        <v>69</v>
      </c>
      <c r="J31" s="175" t="s">
        <v>108</v>
      </c>
      <c r="K31" s="205" t="s">
        <v>69</v>
      </c>
      <c r="L31" s="205" t="s">
        <v>69</v>
      </c>
      <c r="M31" s="205" t="s">
        <v>69</v>
      </c>
      <c r="N31" s="239" t="s">
        <v>69</v>
      </c>
      <c r="O31" s="9" t="s">
        <v>69</v>
      </c>
      <c r="P31" s="289" t="s">
        <v>69</v>
      </c>
      <c r="Q31" s="177" t="s">
        <v>108</v>
      </c>
      <c r="R31" s="239" t="s">
        <v>69</v>
      </c>
      <c r="S31" s="134" t="s">
        <v>69</v>
      </c>
      <c r="T31" s="339" t="s">
        <v>69</v>
      </c>
      <c r="U31" s="328" t="s">
        <v>69</v>
      </c>
      <c r="V31" s="328" t="s">
        <v>69</v>
      </c>
      <c r="W31" s="328" t="s">
        <v>69</v>
      </c>
      <c r="X31" s="330" t="s">
        <v>108</v>
      </c>
      <c r="Y31" s="338" t="s">
        <v>111</v>
      </c>
      <c r="Z31" s="339" t="s">
        <v>69</v>
      </c>
      <c r="AA31" s="339" t="s">
        <v>69</v>
      </c>
      <c r="AB31" s="328" t="s">
        <v>69</v>
      </c>
      <c r="AC31" s="328" t="s">
        <v>69</v>
      </c>
      <c r="AD31" s="168" t="s">
        <v>69</v>
      </c>
      <c r="AE31" s="329" t="s">
        <v>108</v>
      </c>
      <c r="AF31" s="351" t="s">
        <v>69</v>
      </c>
      <c r="AG31" s="199" t="s">
        <v>69</v>
      </c>
      <c r="AH31" s="353" t="s">
        <v>69</v>
      </c>
      <c r="AI31" s="239" t="s">
        <v>69</v>
      </c>
      <c r="AJ31" s="239" t="s">
        <v>69</v>
      </c>
    </row>
    <row r="32" spans="1:36" ht="18">
      <c r="A32" s="34">
        <v>31</v>
      </c>
      <c r="B32" s="364" t="s">
        <v>184</v>
      </c>
      <c r="C32" s="169">
        <v>0</v>
      </c>
      <c r="D32" s="169">
        <v>0</v>
      </c>
      <c r="E32" s="169">
        <f t="shared" si="0"/>
        <v>0</v>
      </c>
      <c r="F32" s="134" t="s">
        <v>69</v>
      </c>
      <c r="G32" s="338" t="s">
        <v>111</v>
      </c>
      <c r="H32" s="134" t="s">
        <v>69</v>
      </c>
      <c r="I32" s="134" t="s">
        <v>69</v>
      </c>
      <c r="J32" s="175" t="s">
        <v>108</v>
      </c>
      <c r="K32" s="134" t="s">
        <v>69</v>
      </c>
      <c r="L32" s="205" t="s">
        <v>69</v>
      </c>
      <c r="M32" s="205" t="s">
        <v>69</v>
      </c>
      <c r="N32" s="239" t="s">
        <v>69</v>
      </c>
      <c r="O32" s="9" t="s">
        <v>69</v>
      </c>
      <c r="P32" s="289" t="s">
        <v>69</v>
      </c>
      <c r="Q32" s="177" t="s">
        <v>108</v>
      </c>
      <c r="R32" s="239" t="s">
        <v>69</v>
      </c>
      <c r="S32" s="134" t="s">
        <v>69</v>
      </c>
      <c r="T32" s="339" t="s">
        <v>69</v>
      </c>
      <c r="U32" s="328" t="s">
        <v>69</v>
      </c>
      <c r="V32" s="328" t="s">
        <v>69</v>
      </c>
      <c r="W32" s="328" t="s">
        <v>69</v>
      </c>
      <c r="X32" s="327" t="s">
        <v>108</v>
      </c>
      <c r="Y32" s="356" t="s">
        <v>111</v>
      </c>
      <c r="Z32" s="356" t="s">
        <v>111</v>
      </c>
      <c r="AA32" s="328" t="s">
        <v>69</v>
      </c>
      <c r="AB32" s="328" t="s">
        <v>69</v>
      </c>
      <c r="AC32" s="328" t="s">
        <v>69</v>
      </c>
      <c r="AD32" s="328" t="s">
        <v>69</v>
      </c>
      <c r="AE32" s="329" t="s">
        <v>108</v>
      </c>
      <c r="AF32" s="351" t="s">
        <v>69</v>
      </c>
      <c r="AG32" s="134" t="s">
        <v>69</v>
      </c>
      <c r="AH32" s="171" t="s">
        <v>69</v>
      </c>
      <c r="AI32" s="169" t="s">
        <v>69</v>
      </c>
      <c r="AJ32" s="170" t="s">
        <v>69</v>
      </c>
    </row>
    <row r="33" spans="1:36" ht="18">
      <c r="A33" s="34">
        <v>32</v>
      </c>
      <c r="B33" s="363" t="s">
        <v>209</v>
      </c>
      <c r="C33" s="169"/>
      <c r="D33" s="169"/>
      <c r="E33" s="169">
        <f t="shared" si="0"/>
        <v>0</v>
      </c>
      <c r="F33" s="134" t="s">
        <v>69</v>
      </c>
      <c r="G33" s="338" t="s">
        <v>111</v>
      </c>
      <c r="H33" s="121" t="s">
        <v>72</v>
      </c>
      <c r="I33" s="134" t="s">
        <v>69</v>
      </c>
      <c r="J33" s="175" t="s">
        <v>108</v>
      </c>
      <c r="K33" s="134" t="s">
        <v>69</v>
      </c>
      <c r="L33" s="134" t="s">
        <v>69</v>
      </c>
      <c r="M33" s="134" t="s">
        <v>69</v>
      </c>
      <c r="N33" s="153" t="s">
        <v>72</v>
      </c>
      <c r="O33" s="153" t="s">
        <v>72</v>
      </c>
      <c r="P33" s="153" t="s">
        <v>72</v>
      </c>
      <c r="Q33" s="177" t="s">
        <v>108</v>
      </c>
      <c r="R33" s="153" t="s">
        <v>72</v>
      </c>
      <c r="S33" s="153" t="s">
        <v>72</v>
      </c>
      <c r="T33" s="153" t="s">
        <v>72</v>
      </c>
      <c r="U33" s="153" t="s">
        <v>72</v>
      </c>
      <c r="V33" s="153" t="s">
        <v>72</v>
      </c>
      <c r="W33" s="153" t="s">
        <v>72</v>
      </c>
      <c r="X33" s="327" t="s">
        <v>108</v>
      </c>
      <c r="Y33" s="345" t="s">
        <v>111</v>
      </c>
      <c r="Z33" s="153" t="s">
        <v>72</v>
      </c>
      <c r="AA33" s="153" t="s">
        <v>72</v>
      </c>
      <c r="AB33" s="153" t="s">
        <v>72</v>
      </c>
      <c r="AC33" s="153" t="s">
        <v>72</v>
      </c>
      <c r="AD33" s="153" t="s">
        <v>72</v>
      </c>
      <c r="AE33" s="329" t="s">
        <v>108</v>
      </c>
      <c r="AF33" s="153" t="s">
        <v>72</v>
      </c>
      <c r="AG33" s="232" t="s">
        <v>72</v>
      </c>
      <c r="AH33" s="153" t="s">
        <v>72</v>
      </c>
      <c r="AI33" s="153" t="s">
        <v>72</v>
      </c>
      <c r="AJ33" s="121" t="s">
        <v>72</v>
      </c>
    </row>
    <row r="34" spans="1:36" ht="18">
      <c r="A34" s="34">
        <v>33</v>
      </c>
      <c r="B34" s="261" t="s">
        <v>35</v>
      </c>
      <c r="C34" s="169">
        <v>3</v>
      </c>
      <c r="D34" s="169">
        <v>2.5</v>
      </c>
      <c r="E34" s="169">
        <f t="shared" si="0"/>
        <v>0.5</v>
      </c>
      <c r="F34" s="134" t="s">
        <v>69</v>
      </c>
      <c r="G34" s="338" t="s">
        <v>111</v>
      </c>
      <c r="H34" s="121" t="s">
        <v>72</v>
      </c>
      <c r="I34" s="121" t="s">
        <v>72</v>
      </c>
      <c r="J34" s="175" t="s">
        <v>108</v>
      </c>
      <c r="K34" s="134" t="s">
        <v>69</v>
      </c>
      <c r="L34" s="134" t="s">
        <v>69</v>
      </c>
      <c r="M34" s="134" t="s">
        <v>69</v>
      </c>
      <c r="N34" s="239" t="s">
        <v>69</v>
      </c>
      <c r="O34" s="9" t="s">
        <v>69</v>
      </c>
      <c r="P34" s="289" t="s">
        <v>69</v>
      </c>
      <c r="Q34" s="175" t="s">
        <v>108</v>
      </c>
      <c r="R34" s="341" t="s">
        <v>69</v>
      </c>
      <c r="S34" s="341" t="s">
        <v>69</v>
      </c>
      <c r="T34" s="341" t="s">
        <v>69</v>
      </c>
      <c r="U34" s="168" t="s">
        <v>69</v>
      </c>
      <c r="V34" s="168" t="s">
        <v>69</v>
      </c>
      <c r="W34" s="168" t="s">
        <v>69</v>
      </c>
      <c r="X34" s="327" t="s">
        <v>108</v>
      </c>
      <c r="Y34" s="345" t="s">
        <v>111</v>
      </c>
      <c r="Z34" s="168" t="s">
        <v>69</v>
      </c>
      <c r="AA34" s="168" t="s">
        <v>69</v>
      </c>
      <c r="AB34" s="153" t="s">
        <v>72</v>
      </c>
      <c r="AC34" s="168" t="s">
        <v>69</v>
      </c>
      <c r="AD34" s="168" t="s">
        <v>69</v>
      </c>
      <c r="AE34" s="329" t="s">
        <v>108</v>
      </c>
      <c r="AF34" s="351" t="s">
        <v>69</v>
      </c>
      <c r="AG34" s="134" t="s">
        <v>69</v>
      </c>
      <c r="AH34" s="171" t="s">
        <v>69</v>
      </c>
      <c r="AI34" s="169" t="s">
        <v>69</v>
      </c>
      <c r="AJ34" s="175" t="s">
        <v>69</v>
      </c>
    </row>
    <row r="35" spans="1:36" ht="18">
      <c r="A35" s="34">
        <v>34</v>
      </c>
      <c r="B35" s="261" t="s">
        <v>118</v>
      </c>
      <c r="C35" s="168">
        <v>1</v>
      </c>
      <c r="D35" s="169">
        <v>1</v>
      </c>
      <c r="E35" s="169">
        <f t="shared" si="0"/>
        <v>0</v>
      </c>
      <c r="F35" s="121" t="s">
        <v>72</v>
      </c>
      <c r="G35" s="338" t="s">
        <v>111</v>
      </c>
      <c r="H35" s="288" t="s">
        <v>69</v>
      </c>
      <c r="I35" s="288" t="s">
        <v>69</v>
      </c>
      <c r="J35" s="175" t="s">
        <v>108</v>
      </c>
      <c r="K35" s="134" t="s">
        <v>69</v>
      </c>
      <c r="L35" s="134" t="s">
        <v>69</v>
      </c>
      <c r="M35" s="134" t="s">
        <v>69</v>
      </c>
      <c r="N35" s="239" t="s">
        <v>69</v>
      </c>
      <c r="O35" s="9" t="s">
        <v>69</v>
      </c>
      <c r="P35" s="289" t="s">
        <v>69</v>
      </c>
      <c r="Q35" s="177" t="s">
        <v>108</v>
      </c>
      <c r="R35" s="672" t="s">
        <v>69</v>
      </c>
      <c r="S35" s="672" t="s">
        <v>69</v>
      </c>
      <c r="T35" s="672" t="s">
        <v>69</v>
      </c>
      <c r="U35" s="168" t="s">
        <v>69</v>
      </c>
      <c r="V35" s="168" t="s">
        <v>69</v>
      </c>
      <c r="W35" s="168" t="s">
        <v>69</v>
      </c>
      <c r="X35" s="327" t="s">
        <v>108</v>
      </c>
      <c r="Y35" s="345" t="s">
        <v>111</v>
      </c>
      <c r="Z35" s="168" t="s">
        <v>69</v>
      </c>
      <c r="AA35" s="168" t="s">
        <v>69</v>
      </c>
      <c r="AB35" s="168" t="s">
        <v>69</v>
      </c>
      <c r="AC35" s="168" t="s">
        <v>69</v>
      </c>
      <c r="AD35" s="168" t="s">
        <v>69</v>
      </c>
      <c r="AE35" s="329" t="s">
        <v>108</v>
      </c>
      <c r="AF35" s="351" t="s">
        <v>69</v>
      </c>
      <c r="AG35" s="134" t="s">
        <v>69</v>
      </c>
      <c r="AH35" s="171" t="s">
        <v>69</v>
      </c>
      <c r="AI35" s="169" t="s">
        <v>69</v>
      </c>
      <c r="AJ35" s="134" t="s">
        <v>69</v>
      </c>
    </row>
    <row r="36" spans="1:36" ht="18">
      <c r="A36" s="34">
        <v>35</v>
      </c>
      <c r="B36" s="261" t="s">
        <v>36</v>
      </c>
      <c r="C36" s="168">
        <v>4</v>
      </c>
      <c r="D36" s="169">
        <v>4</v>
      </c>
      <c r="E36" s="169">
        <f t="shared" si="0"/>
        <v>0</v>
      </c>
      <c r="F36" s="134" t="s">
        <v>69</v>
      </c>
      <c r="G36" s="338" t="s">
        <v>111</v>
      </c>
      <c r="H36" s="121" t="s">
        <v>72</v>
      </c>
      <c r="I36" s="134" t="s">
        <v>69</v>
      </c>
      <c r="J36" s="175" t="s">
        <v>108</v>
      </c>
      <c r="K36" s="672" t="s">
        <v>69</v>
      </c>
      <c r="L36" s="672" t="s">
        <v>69</v>
      </c>
      <c r="M36" s="672" t="s">
        <v>69</v>
      </c>
      <c r="N36" s="674" t="s">
        <v>69</v>
      </c>
      <c r="O36" s="63" t="s">
        <v>72</v>
      </c>
      <c r="P36" s="121" t="s">
        <v>72</v>
      </c>
      <c r="Q36" s="177" t="s">
        <v>108</v>
      </c>
      <c r="R36" s="672" t="s">
        <v>69</v>
      </c>
      <c r="S36" s="134" t="s">
        <v>69</v>
      </c>
      <c r="T36" s="207" t="s">
        <v>69</v>
      </c>
      <c r="U36" s="207" t="s">
        <v>69</v>
      </c>
      <c r="V36" s="207" t="s">
        <v>69</v>
      </c>
      <c r="W36" s="207" t="s">
        <v>72</v>
      </c>
      <c r="X36" s="327" t="s">
        <v>108</v>
      </c>
      <c r="Y36" s="345" t="s">
        <v>111</v>
      </c>
      <c r="Z36" s="168" t="s">
        <v>69</v>
      </c>
      <c r="AA36" s="171" t="s">
        <v>69</v>
      </c>
      <c r="AB36" s="168" t="s">
        <v>69</v>
      </c>
      <c r="AC36" s="168" t="s">
        <v>69</v>
      </c>
      <c r="AD36" s="168" t="s">
        <v>69</v>
      </c>
      <c r="AE36" s="329" t="s">
        <v>108</v>
      </c>
      <c r="AF36" s="351" t="s">
        <v>69</v>
      </c>
      <c r="AG36" s="134" t="s">
        <v>69</v>
      </c>
      <c r="AH36" s="350" t="s">
        <v>69</v>
      </c>
      <c r="AI36" s="245" t="s">
        <v>69</v>
      </c>
      <c r="AJ36" s="134" t="s">
        <v>69</v>
      </c>
    </row>
    <row r="37" spans="1:36" ht="18">
      <c r="A37" s="34">
        <v>36</v>
      </c>
      <c r="B37" s="261" t="s">
        <v>143</v>
      </c>
      <c r="C37" s="168">
        <v>2</v>
      </c>
      <c r="D37" s="169">
        <v>2</v>
      </c>
      <c r="E37" s="169">
        <f t="shared" si="0"/>
        <v>0</v>
      </c>
      <c r="F37" s="134" t="s">
        <v>69</v>
      </c>
      <c r="G37" s="338" t="s">
        <v>69</v>
      </c>
      <c r="H37" s="134" t="s">
        <v>69</v>
      </c>
      <c r="I37" s="121" t="s">
        <v>72</v>
      </c>
      <c r="J37" s="175" t="s">
        <v>108</v>
      </c>
      <c r="K37" s="134" t="s">
        <v>69</v>
      </c>
      <c r="L37" s="205" t="s">
        <v>69</v>
      </c>
      <c r="M37" s="205" t="s">
        <v>69</v>
      </c>
      <c r="N37" s="239" t="s">
        <v>69</v>
      </c>
      <c r="O37" s="9" t="s">
        <v>69</v>
      </c>
      <c r="P37" s="121" t="s">
        <v>72</v>
      </c>
      <c r="Q37" s="175" t="s">
        <v>108</v>
      </c>
      <c r="R37" s="340" t="s">
        <v>69</v>
      </c>
      <c r="S37" s="340" t="s">
        <v>69</v>
      </c>
      <c r="T37" s="207" t="s">
        <v>69</v>
      </c>
      <c r="U37" s="134" t="s">
        <v>69</v>
      </c>
      <c r="V37" s="134" t="s">
        <v>69</v>
      </c>
      <c r="W37" s="134" t="s">
        <v>69</v>
      </c>
      <c r="X37" s="327" t="s">
        <v>108</v>
      </c>
      <c r="Y37" s="345" t="s">
        <v>111</v>
      </c>
      <c r="Z37" s="168" t="s">
        <v>69</v>
      </c>
      <c r="AA37" s="171" t="s">
        <v>69</v>
      </c>
      <c r="AB37" s="168" t="s">
        <v>69</v>
      </c>
      <c r="AC37" s="168" t="s">
        <v>69</v>
      </c>
      <c r="AD37" s="168" t="s">
        <v>69</v>
      </c>
      <c r="AE37" s="329" t="s">
        <v>108</v>
      </c>
      <c r="AF37" s="351" t="s">
        <v>69</v>
      </c>
      <c r="AG37" s="134" t="s">
        <v>69</v>
      </c>
      <c r="AH37" s="350" t="s">
        <v>69</v>
      </c>
      <c r="AI37" s="245" t="s">
        <v>69</v>
      </c>
      <c r="AJ37" s="134" t="s">
        <v>69</v>
      </c>
    </row>
    <row r="38" spans="1:36" ht="18">
      <c r="A38" s="34">
        <v>37</v>
      </c>
      <c r="B38" s="261" t="s">
        <v>210</v>
      </c>
      <c r="C38" s="169">
        <v>9</v>
      </c>
      <c r="D38" s="169">
        <v>0</v>
      </c>
      <c r="E38" s="169">
        <f t="shared" si="0"/>
        <v>9</v>
      </c>
      <c r="F38" s="121" t="s">
        <v>72</v>
      </c>
      <c r="G38" s="121" t="s">
        <v>72</v>
      </c>
      <c r="H38" s="121" t="s">
        <v>72</v>
      </c>
      <c r="I38" s="121" t="s">
        <v>72</v>
      </c>
      <c r="J38" s="175" t="s">
        <v>108</v>
      </c>
      <c r="K38" s="121" t="s">
        <v>72</v>
      </c>
      <c r="L38" s="134" t="s">
        <v>69</v>
      </c>
      <c r="M38" s="134" t="s">
        <v>69</v>
      </c>
      <c r="N38" s="134" t="s">
        <v>69</v>
      </c>
      <c r="O38" s="121" t="s">
        <v>72</v>
      </c>
      <c r="P38" s="134" t="s">
        <v>69</v>
      </c>
      <c r="Q38" s="175" t="s">
        <v>108</v>
      </c>
      <c r="R38" s="212" t="s">
        <v>69</v>
      </c>
      <c r="S38" s="9" t="s">
        <v>69</v>
      </c>
      <c r="T38" s="230" t="s">
        <v>69</v>
      </c>
      <c r="U38" s="230" t="s">
        <v>69</v>
      </c>
      <c r="V38" s="230" t="s">
        <v>69</v>
      </c>
      <c r="W38" s="134" t="s">
        <v>69</v>
      </c>
      <c r="X38" s="327" t="s">
        <v>108</v>
      </c>
      <c r="Y38" s="345" t="s">
        <v>111</v>
      </c>
      <c r="Z38" s="345" t="s">
        <v>111</v>
      </c>
      <c r="AA38" s="153" t="s">
        <v>72</v>
      </c>
      <c r="AB38" s="153" t="s">
        <v>72</v>
      </c>
      <c r="AC38" s="168" t="s">
        <v>69</v>
      </c>
      <c r="AD38" s="168" t="s">
        <v>69</v>
      </c>
      <c r="AE38" s="329" t="s">
        <v>108</v>
      </c>
      <c r="AF38" s="351" t="s">
        <v>69</v>
      </c>
      <c r="AG38" s="199" t="s">
        <v>69</v>
      </c>
      <c r="AH38" s="350" t="s">
        <v>69</v>
      </c>
      <c r="AI38" s="245" t="s">
        <v>69</v>
      </c>
      <c r="AJ38" s="134" t="s">
        <v>69</v>
      </c>
    </row>
    <row r="39" spans="1:36" ht="18">
      <c r="A39" s="34">
        <v>38</v>
      </c>
      <c r="B39" s="261" t="s">
        <v>38</v>
      </c>
      <c r="C39" s="169">
        <v>3</v>
      </c>
      <c r="D39" s="169">
        <v>3</v>
      </c>
      <c r="E39" s="169">
        <f t="shared" si="0"/>
        <v>0</v>
      </c>
      <c r="F39" s="134" t="s">
        <v>69</v>
      </c>
      <c r="G39" s="338" t="s">
        <v>111</v>
      </c>
      <c r="H39" s="134" t="s">
        <v>69</v>
      </c>
      <c r="I39" s="134" t="s">
        <v>69</v>
      </c>
      <c r="J39" s="175" t="s">
        <v>108</v>
      </c>
      <c r="K39" s="134" t="s">
        <v>69</v>
      </c>
      <c r="L39" s="205" t="s">
        <v>69</v>
      </c>
      <c r="M39" s="205" t="s">
        <v>69</v>
      </c>
      <c r="N39" s="239" t="s">
        <v>69</v>
      </c>
      <c r="O39" s="63" t="s">
        <v>72</v>
      </c>
      <c r="P39" s="134" t="s">
        <v>69</v>
      </c>
      <c r="Q39" s="177" t="s">
        <v>108</v>
      </c>
      <c r="R39" s="134" t="s">
        <v>69</v>
      </c>
      <c r="S39" s="344" t="s">
        <v>69</v>
      </c>
      <c r="T39" s="134" t="s">
        <v>69</v>
      </c>
      <c r="U39" s="168" t="s">
        <v>69</v>
      </c>
      <c r="V39" s="168" t="s">
        <v>69</v>
      </c>
      <c r="W39" s="168" t="s">
        <v>69</v>
      </c>
      <c r="X39" s="327" t="s">
        <v>108</v>
      </c>
      <c r="Y39" s="345" t="s">
        <v>111</v>
      </c>
      <c r="Z39" s="345" t="s">
        <v>111</v>
      </c>
      <c r="AA39" s="168" t="s">
        <v>69</v>
      </c>
      <c r="AB39" s="168" t="s">
        <v>69</v>
      </c>
      <c r="AC39" s="168" t="s">
        <v>69</v>
      </c>
      <c r="AD39" s="168" t="s">
        <v>69</v>
      </c>
      <c r="AE39" s="329" t="s">
        <v>108</v>
      </c>
      <c r="AF39" s="351" t="s">
        <v>69</v>
      </c>
      <c r="AG39" s="134" t="s">
        <v>69</v>
      </c>
      <c r="AH39" s="153" t="s">
        <v>72</v>
      </c>
      <c r="AI39" s="153" t="s">
        <v>72</v>
      </c>
      <c r="AJ39" s="134" t="s">
        <v>69</v>
      </c>
    </row>
    <row r="40" spans="1:36" ht="18">
      <c r="A40" s="34">
        <v>39</v>
      </c>
      <c r="B40" s="261" t="s">
        <v>39</v>
      </c>
      <c r="C40" s="169">
        <v>3</v>
      </c>
      <c r="D40" s="169">
        <v>3</v>
      </c>
      <c r="E40" s="169">
        <f t="shared" si="0"/>
        <v>0</v>
      </c>
      <c r="F40" s="134" t="s">
        <v>69</v>
      </c>
      <c r="G40" s="338" t="s">
        <v>111</v>
      </c>
      <c r="H40" s="134" t="s">
        <v>69</v>
      </c>
      <c r="I40" s="134" t="s">
        <v>69</v>
      </c>
      <c r="J40" s="175" t="s">
        <v>108</v>
      </c>
      <c r="K40" s="121" t="s">
        <v>72</v>
      </c>
      <c r="L40" s="205" t="s">
        <v>69</v>
      </c>
      <c r="M40" s="205" t="s">
        <v>69</v>
      </c>
      <c r="N40" s="239" t="s">
        <v>69</v>
      </c>
      <c r="O40" s="9" t="s">
        <v>69</v>
      </c>
      <c r="P40" s="134" t="s">
        <v>69</v>
      </c>
      <c r="Q40" s="177" t="s">
        <v>108</v>
      </c>
      <c r="R40" s="252" t="s">
        <v>69</v>
      </c>
      <c r="S40" s="252" t="s">
        <v>69</v>
      </c>
      <c r="T40" s="134" t="s">
        <v>69</v>
      </c>
      <c r="U40" s="207" t="s">
        <v>69</v>
      </c>
      <c r="V40" s="672" t="s">
        <v>69</v>
      </c>
      <c r="W40" s="672" t="s">
        <v>69</v>
      </c>
      <c r="X40" s="327" t="s">
        <v>108</v>
      </c>
      <c r="Y40" s="345" t="s">
        <v>111</v>
      </c>
      <c r="Z40" s="9" t="s">
        <v>72</v>
      </c>
      <c r="AA40" s="171" t="s">
        <v>72</v>
      </c>
      <c r="AB40" s="168" t="s">
        <v>69</v>
      </c>
      <c r="AC40" s="168" t="s">
        <v>69</v>
      </c>
      <c r="AD40" s="168" t="s">
        <v>69</v>
      </c>
      <c r="AE40" s="329" t="s">
        <v>108</v>
      </c>
      <c r="AF40" s="351" t="s">
        <v>69</v>
      </c>
      <c r="AG40" s="200" t="s">
        <v>69</v>
      </c>
      <c r="AH40" s="171" t="s">
        <v>69</v>
      </c>
      <c r="AI40" s="169" t="s">
        <v>69</v>
      </c>
      <c r="AJ40" s="134" t="s">
        <v>69</v>
      </c>
    </row>
    <row r="41" spans="1:36" ht="18">
      <c r="A41" s="34">
        <v>40</v>
      </c>
      <c r="B41" s="261" t="s">
        <v>40</v>
      </c>
      <c r="C41" s="169">
        <v>7</v>
      </c>
      <c r="D41" s="169">
        <v>7</v>
      </c>
      <c r="E41" s="169">
        <f t="shared" si="0"/>
        <v>0</v>
      </c>
      <c r="F41" s="121" t="s">
        <v>72</v>
      </c>
      <c r="G41" s="338" t="s">
        <v>111</v>
      </c>
      <c r="H41" s="134" t="s">
        <v>70</v>
      </c>
      <c r="I41" s="134" t="s">
        <v>69</v>
      </c>
      <c r="J41" s="175" t="s">
        <v>108</v>
      </c>
      <c r="K41" s="134" t="s">
        <v>69</v>
      </c>
      <c r="L41" s="134" t="s">
        <v>72</v>
      </c>
      <c r="M41" s="134" t="s">
        <v>69</v>
      </c>
      <c r="N41" s="239" t="s">
        <v>69</v>
      </c>
      <c r="O41" s="9" t="s">
        <v>69</v>
      </c>
      <c r="P41" s="134" t="s">
        <v>69</v>
      </c>
      <c r="Q41" s="177" t="s">
        <v>108</v>
      </c>
      <c r="R41" s="239" t="s">
        <v>69</v>
      </c>
      <c r="S41" s="9" t="s">
        <v>70</v>
      </c>
      <c r="T41" s="107" t="s">
        <v>69</v>
      </c>
      <c r="U41" s="107" t="s">
        <v>69</v>
      </c>
      <c r="V41" s="134" t="s">
        <v>69</v>
      </c>
      <c r="W41" s="134" t="s">
        <v>69</v>
      </c>
      <c r="X41" s="327" t="s">
        <v>108</v>
      </c>
      <c r="Y41" s="345" t="s">
        <v>111</v>
      </c>
      <c r="Z41" s="9" t="s">
        <v>72</v>
      </c>
      <c r="AA41" s="121" t="s">
        <v>72</v>
      </c>
      <c r="AB41" s="121" t="s">
        <v>72</v>
      </c>
      <c r="AC41" s="121" t="s">
        <v>72</v>
      </c>
      <c r="AD41" s="121" t="s">
        <v>72</v>
      </c>
      <c r="AE41" s="329" t="s">
        <v>108</v>
      </c>
      <c r="AF41" s="351" t="s">
        <v>69</v>
      </c>
      <c r="AG41" s="199" t="s">
        <v>69</v>
      </c>
      <c r="AH41" s="350" t="s">
        <v>69</v>
      </c>
      <c r="AI41" s="239" t="s">
        <v>69</v>
      </c>
      <c r="AJ41" s="134" t="s">
        <v>69</v>
      </c>
    </row>
    <row r="42" spans="1:36" ht="18">
      <c r="A42" s="34">
        <v>41</v>
      </c>
      <c r="B42" s="261" t="s">
        <v>41</v>
      </c>
      <c r="C42" s="169">
        <v>4</v>
      </c>
      <c r="D42" s="169">
        <v>4</v>
      </c>
      <c r="E42" s="169">
        <f t="shared" si="0"/>
        <v>0</v>
      </c>
      <c r="F42" s="121" t="s">
        <v>72</v>
      </c>
      <c r="G42" s="338" t="s">
        <v>111</v>
      </c>
      <c r="H42" s="134" t="s">
        <v>69</v>
      </c>
      <c r="I42" s="134" t="s">
        <v>69</v>
      </c>
      <c r="J42" s="175" t="s">
        <v>108</v>
      </c>
      <c r="K42" s="134" t="s">
        <v>69</v>
      </c>
      <c r="L42" s="205" t="s">
        <v>69</v>
      </c>
      <c r="M42" s="205" t="s">
        <v>69</v>
      </c>
      <c r="N42" s="239" t="s">
        <v>69</v>
      </c>
      <c r="O42" s="9" t="s">
        <v>69</v>
      </c>
      <c r="P42" s="121" t="s">
        <v>72</v>
      </c>
      <c r="Q42" s="175" t="s">
        <v>108</v>
      </c>
      <c r="R42" s="239" t="s">
        <v>69</v>
      </c>
      <c r="S42" s="239" t="s">
        <v>69</v>
      </c>
      <c r="T42" s="239" t="s">
        <v>69</v>
      </c>
      <c r="U42" s="200" t="s">
        <v>69</v>
      </c>
      <c r="V42" s="200" t="s">
        <v>69</v>
      </c>
      <c r="W42" s="200" t="s">
        <v>72</v>
      </c>
      <c r="X42" s="327" t="s">
        <v>108</v>
      </c>
      <c r="Y42" s="345" t="s">
        <v>111</v>
      </c>
      <c r="Z42" s="168" t="s">
        <v>69</v>
      </c>
      <c r="AA42" s="168" t="s">
        <v>69</v>
      </c>
      <c r="AB42" s="168" t="s">
        <v>69</v>
      </c>
      <c r="AC42" s="168" t="s">
        <v>69</v>
      </c>
      <c r="AD42" s="168" t="s">
        <v>69</v>
      </c>
      <c r="AE42" s="329" t="s">
        <v>108</v>
      </c>
      <c r="AF42" s="351" t="s">
        <v>69</v>
      </c>
      <c r="AG42" s="121" t="s">
        <v>72</v>
      </c>
      <c r="AH42" s="207" t="s">
        <v>69</v>
      </c>
      <c r="AI42" s="239" t="s">
        <v>69</v>
      </c>
      <c r="AJ42" s="134" t="s">
        <v>69</v>
      </c>
    </row>
    <row r="43" spans="1:36" ht="18">
      <c r="A43" s="34">
        <v>42</v>
      </c>
      <c r="B43" s="261" t="s">
        <v>42</v>
      </c>
      <c r="C43" s="169">
        <v>2</v>
      </c>
      <c r="D43" s="169">
        <v>2</v>
      </c>
      <c r="E43" s="169">
        <f t="shared" si="0"/>
        <v>0</v>
      </c>
      <c r="F43" s="134" t="s">
        <v>69</v>
      </c>
      <c r="G43" s="338" t="s">
        <v>111</v>
      </c>
      <c r="H43" s="134" t="s">
        <v>69</v>
      </c>
      <c r="I43" s="134" t="s">
        <v>69</v>
      </c>
      <c r="J43" s="175" t="s">
        <v>108</v>
      </c>
      <c r="K43" s="121" t="s">
        <v>72</v>
      </c>
      <c r="L43" s="134" t="s">
        <v>69</v>
      </c>
      <c r="M43" s="134" t="s">
        <v>69</v>
      </c>
      <c r="N43" s="239" t="s">
        <v>69</v>
      </c>
      <c r="O43" s="9" t="s">
        <v>69</v>
      </c>
      <c r="P43" s="134" t="s">
        <v>69</v>
      </c>
      <c r="Q43" s="175" t="s">
        <v>108</v>
      </c>
      <c r="R43" s="153"/>
      <c r="S43" s="9" t="s">
        <v>69</v>
      </c>
      <c r="T43" s="340" t="s">
        <v>69</v>
      </c>
      <c r="U43" s="200" t="s">
        <v>69</v>
      </c>
      <c r="V43" s="200" t="s">
        <v>69</v>
      </c>
      <c r="W43" s="200" t="s">
        <v>69</v>
      </c>
      <c r="X43" s="327" t="s">
        <v>108</v>
      </c>
      <c r="Y43" s="345" t="s">
        <v>111</v>
      </c>
      <c r="Z43" s="207" t="s">
        <v>69</v>
      </c>
      <c r="AA43" s="207" t="s">
        <v>69</v>
      </c>
      <c r="AB43" s="207" t="s">
        <v>69</v>
      </c>
      <c r="AC43" s="207" t="s">
        <v>69</v>
      </c>
      <c r="AD43" s="168" t="s">
        <v>69</v>
      </c>
      <c r="AE43" s="329" t="s">
        <v>108</v>
      </c>
      <c r="AF43" s="351" t="s">
        <v>69</v>
      </c>
      <c r="AG43" s="207" t="s">
        <v>69</v>
      </c>
      <c r="AH43" s="207" t="s">
        <v>69</v>
      </c>
      <c r="AI43" s="207" t="s">
        <v>69</v>
      </c>
      <c r="AJ43" s="134" t="s">
        <v>69</v>
      </c>
    </row>
    <row r="44" spans="1:36" ht="18">
      <c r="A44" s="34">
        <v>43</v>
      </c>
      <c r="B44" s="261" t="s">
        <v>161</v>
      </c>
      <c r="C44" s="168">
        <v>2</v>
      </c>
      <c r="D44" s="169">
        <v>2</v>
      </c>
      <c r="E44" s="169">
        <f t="shared" si="0"/>
        <v>0</v>
      </c>
      <c r="F44" s="134" t="s">
        <v>69</v>
      </c>
      <c r="G44" s="338" t="s">
        <v>111</v>
      </c>
      <c r="H44" s="134" t="s">
        <v>69</v>
      </c>
      <c r="I44" s="134" t="s">
        <v>69</v>
      </c>
      <c r="J44" s="175" t="s">
        <v>108</v>
      </c>
      <c r="K44" s="134" t="s">
        <v>69</v>
      </c>
      <c r="L44" s="672" t="s">
        <v>69</v>
      </c>
      <c r="M44" s="672" t="s">
        <v>69</v>
      </c>
      <c r="N44" s="239" t="s">
        <v>69</v>
      </c>
      <c r="O44" s="9" t="s">
        <v>69</v>
      </c>
      <c r="P44" s="134" t="s">
        <v>69</v>
      </c>
      <c r="Q44" s="175" t="s">
        <v>108</v>
      </c>
      <c r="R44" s="239" t="s">
        <v>69</v>
      </c>
      <c r="S44" s="343" t="s">
        <v>72</v>
      </c>
      <c r="T44" s="134" t="s">
        <v>69</v>
      </c>
      <c r="U44" s="200" t="s">
        <v>69</v>
      </c>
      <c r="V44" s="200" t="s">
        <v>69</v>
      </c>
      <c r="W44" s="672" t="s">
        <v>69</v>
      </c>
      <c r="X44" s="327" t="s">
        <v>108</v>
      </c>
      <c r="Y44" s="345" t="s">
        <v>111</v>
      </c>
      <c r="Z44" s="134" t="s">
        <v>69</v>
      </c>
      <c r="AA44" s="171" t="s">
        <v>69</v>
      </c>
      <c r="AB44" s="168" t="s">
        <v>69</v>
      </c>
      <c r="AC44" s="168" t="s">
        <v>69</v>
      </c>
      <c r="AD44" s="168" t="s">
        <v>69</v>
      </c>
      <c r="AE44" s="329" t="s">
        <v>108</v>
      </c>
      <c r="AF44" s="153" t="s">
        <v>72</v>
      </c>
      <c r="AG44" s="134" t="s">
        <v>69</v>
      </c>
      <c r="AH44" s="207" t="s">
        <v>69</v>
      </c>
      <c r="AI44" s="169" t="s">
        <v>69</v>
      </c>
      <c r="AJ44" s="170" t="s">
        <v>69</v>
      </c>
    </row>
    <row r="45" spans="1:36" ht="18">
      <c r="A45" s="34">
        <v>44</v>
      </c>
      <c r="B45" s="261" t="s">
        <v>47</v>
      </c>
      <c r="C45" s="169">
        <v>5</v>
      </c>
      <c r="D45" s="169">
        <v>5</v>
      </c>
      <c r="E45" s="169">
        <f t="shared" si="0"/>
        <v>0</v>
      </c>
      <c r="F45" s="121"/>
      <c r="G45" s="338" t="s">
        <v>111</v>
      </c>
      <c r="H45" s="134" t="s">
        <v>69</v>
      </c>
      <c r="I45" s="134" t="s">
        <v>69</v>
      </c>
      <c r="J45" s="175" t="s">
        <v>108</v>
      </c>
      <c r="K45" s="121" t="s">
        <v>72</v>
      </c>
      <c r="L45" s="121" t="s">
        <v>72</v>
      </c>
      <c r="M45" s="134" t="s">
        <v>69</v>
      </c>
      <c r="N45" s="239" t="s">
        <v>69</v>
      </c>
      <c r="O45" s="9" t="s">
        <v>69</v>
      </c>
      <c r="P45" s="207" t="s">
        <v>69</v>
      </c>
      <c r="Q45" s="175" t="s">
        <v>108</v>
      </c>
      <c r="R45" s="153" t="s">
        <v>72</v>
      </c>
      <c r="S45" s="134" t="s">
        <v>69</v>
      </c>
      <c r="T45" s="134" t="s">
        <v>69</v>
      </c>
      <c r="U45" s="168" t="s">
        <v>69</v>
      </c>
      <c r="V45" s="200" t="s">
        <v>69</v>
      </c>
      <c r="W45" s="121" t="s">
        <v>72</v>
      </c>
      <c r="X45" s="327" t="s">
        <v>108</v>
      </c>
      <c r="Y45" s="345" t="s">
        <v>111</v>
      </c>
      <c r="Z45" s="168" t="s">
        <v>69</v>
      </c>
      <c r="AA45" s="168" t="s">
        <v>69</v>
      </c>
      <c r="AB45" s="168" t="s">
        <v>69</v>
      </c>
      <c r="AC45" s="168" t="s">
        <v>69</v>
      </c>
      <c r="AD45" s="168" t="s">
        <v>69</v>
      </c>
      <c r="AE45" s="329" t="s">
        <v>108</v>
      </c>
      <c r="AF45" s="239" t="s">
        <v>69</v>
      </c>
      <c r="AG45" s="134" t="s">
        <v>69</v>
      </c>
      <c r="AH45" s="207" t="s">
        <v>69</v>
      </c>
      <c r="AI45" s="239" t="s">
        <v>69</v>
      </c>
      <c r="AJ45" s="175" t="s">
        <v>69</v>
      </c>
    </row>
    <row r="46" spans="1:36" ht="18">
      <c r="A46" s="34">
        <v>45</v>
      </c>
      <c r="B46" s="261" t="s">
        <v>48</v>
      </c>
      <c r="C46" s="169">
        <v>5</v>
      </c>
      <c r="D46" s="169">
        <v>5</v>
      </c>
      <c r="E46" s="169">
        <f t="shared" si="0"/>
        <v>0</v>
      </c>
      <c r="F46" s="121" t="s">
        <v>72</v>
      </c>
      <c r="G46" s="338" t="s">
        <v>111</v>
      </c>
      <c r="H46" s="134" t="s">
        <v>69</v>
      </c>
      <c r="I46" s="134" t="s">
        <v>69</v>
      </c>
      <c r="J46" s="175" t="s">
        <v>108</v>
      </c>
      <c r="K46" s="134" t="s">
        <v>69</v>
      </c>
      <c r="L46" s="134" t="s">
        <v>69</v>
      </c>
      <c r="M46" s="134" t="s">
        <v>69</v>
      </c>
      <c r="N46" s="239" t="s">
        <v>69</v>
      </c>
      <c r="O46" s="9" t="s">
        <v>69</v>
      </c>
      <c r="P46" s="134" t="s">
        <v>69</v>
      </c>
      <c r="Q46" s="175" t="s">
        <v>108</v>
      </c>
      <c r="R46" s="239" t="s">
        <v>69</v>
      </c>
      <c r="S46" s="134" t="s">
        <v>69</v>
      </c>
      <c r="T46" s="134" t="s">
        <v>69</v>
      </c>
      <c r="U46" s="134" t="s">
        <v>69</v>
      </c>
      <c r="V46" s="134" t="s">
        <v>69</v>
      </c>
      <c r="W46" s="134" t="s">
        <v>69</v>
      </c>
      <c r="X46" s="327" t="s">
        <v>108</v>
      </c>
      <c r="Y46" s="345" t="s">
        <v>111</v>
      </c>
      <c r="Z46" s="9" t="s">
        <v>111</v>
      </c>
      <c r="AA46" s="134" t="s">
        <v>69</v>
      </c>
      <c r="AB46" s="134" t="s">
        <v>69</v>
      </c>
      <c r="AC46" s="134" t="s">
        <v>69</v>
      </c>
      <c r="AD46" s="134" t="s">
        <v>69</v>
      </c>
      <c r="AE46" s="329" t="s">
        <v>108</v>
      </c>
      <c r="AF46" s="153" t="s">
        <v>72</v>
      </c>
      <c r="AG46" s="134" t="s">
        <v>69</v>
      </c>
      <c r="AH46" s="144" t="s">
        <v>72</v>
      </c>
      <c r="AI46" s="153" t="s">
        <v>72</v>
      </c>
      <c r="AJ46" s="131" t="s">
        <v>72</v>
      </c>
    </row>
    <row r="47" spans="1:36" ht="18">
      <c r="A47" s="34">
        <v>46</v>
      </c>
      <c r="B47" s="261" t="s">
        <v>49</v>
      </c>
      <c r="C47" s="169">
        <v>1</v>
      </c>
      <c r="D47" s="169">
        <v>1</v>
      </c>
      <c r="E47" s="169">
        <f t="shared" si="0"/>
        <v>0</v>
      </c>
      <c r="F47" s="134" t="s">
        <v>69</v>
      </c>
      <c r="G47" s="338" t="s">
        <v>111</v>
      </c>
      <c r="H47" s="134" t="s">
        <v>69</v>
      </c>
      <c r="I47" s="134" t="s">
        <v>69</v>
      </c>
      <c r="J47" s="175" t="s">
        <v>108</v>
      </c>
      <c r="K47" s="134" t="s">
        <v>69</v>
      </c>
      <c r="L47" s="134" t="s">
        <v>69</v>
      </c>
      <c r="M47" s="134" t="s">
        <v>69</v>
      </c>
      <c r="N47" s="239" t="s">
        <v>69</v>
      </c>
      <c r="O47" s="9" t="s">
        <v>69</v>
      </c>
      <c r="P47" s="134" t="s">
        <v>69</v>
      </c>
      <c r="Q47" s="175" t="s">
        <v>108</v>
      </c>
      <c r="R47" s="239" t="s">
        <v>69</v>
      </c>
      <c r="S47" s="134" t="s">
        <v>69</v>
      </c>
      <c r="T47" s="207" t="s">
        <v>69</v>
      </c>
      <c r="U47" s="134" t="s">
        <v>69</v>
      </c>
      <c r="V47" s="207" t="s">
        <v>69</v>
      </c>
      <c r="W47" s="672" t="s">
        <v>69</v>
      </c>
      <c r="X47" s="327" t="s">
        <v>108</v>
      </c>
      <c r="Y47" s="345" t="s">
        <v>111</v>
      </c>
      <c r="Z47" s="121" t="s">
        <v>72</v>
      </c>
      <c r="AA47" s="207" t="s">
        <v>69</v>
      </c>
      <c r="AB47" s="134" t="s">
        <v>69</v>
      </c>
      <c r="AC47" s="134" t="s">
        <v>69</v>
      </c>
      <c r="AD47" s="134" t="s">
        <v>69</v>
      </c>
      <c r="AE47" s="329" t="s">
        <v>108</v>
      </c>
      <c r="AF47" s="239" t="s">
        <v>69</v>
      </c>
      <c r="AG47" s="134" t="s">
        <v>69</v>
      </c>
      <c r="AH47" s="207" t="s">
        <v>69</v>
      </c>
      <c r="AI47" s="169" t="s">
        <v>69</v>
      </c>
      <c r="AJ47" s="170" t="s">
        <v>69</v>
      </c>
    </row>
    <row r="48" spans="1:36" ht="18">
      <c r="A48" s="34">
        <v>47</v>
      </c>
      <c r="B48" s="261" t="s">
        <v>203</v>
      </c>
      <c r="C48" s="169">
        <v>2</v>
      </c>
      <c r="D48" s="169">
        <v>2</v>
      </c>
      <c r="E48" s="169">
        <f t="shared" si="0"/>
        <v>0</v>
      </c>
      <c r="F48" s="197" t="s">
        <v>72</v>
      </c>
      <c r="G48" s="338" t="s">
        <v>111</v>
      </c>
      <c r="H48" s="205" t="s">
        <v>69</v>
      </c>
      <c r="I48" s="205" t="s">
        <v>69</v>
      </c>
      <c r="J48" s="175" t="s">
        <v>108</v>
      </c>
      <c r="K48" s="134" t="s">
        <v>69</v>
      </c>
      <c r="L48" s="134" t="s">
        <v>69</v>
      </c>
      <c r="M48" s="134" t="s">
        <v>69</v>
      </c>
      <c r="N48" s="239" t="s">
        <v>69</v>
      </c>
      <c r="O48" s="9" t="s">
        <v>69</v>
      </c>
      <c r="P48" s="134" t="s">
        <v>69</v>
      </c>
      <c r="Q48" s="175" t="s">
        <v>108</v>
      </c>
      <c r="R48" s="239" t="s">
        <v>69</v>
      </c>
      <c r="S48" s="134" t="s">
        <v>69</v>
      </c>
      <c r="T48" s="207" t="s">
        <v>69</v>
      </c>
      <c r="U48" s="134" t="s">
        <v>69</v>
      </c>
      <c r="V48" s="134" t="s">
        <v>69</v>
      </c>
      <c r="W48" s="134" t="s">
        <v>69</v>
      </c>
      <c r="X48" s="327" t="s">
        <v>108</v>
      </c>
      <c r="Y48" s="345" t="s">
        <v>111</v>
      </c>
      <c r="Z48" s="345" t="s">
        <v>72</v>
      </c>
      <c r="AA48" s="345" t="s">
        <v>111</v>
      </c>
      <c r="AB48" s="672" t="s">
        <v>69</v>
      </c>
      <c r="AC48" s="672" t="s">
        <v>69</v>
      </c>
      <c r="AD48" s="672" t="s">
        <v>69</v>
      </c>
      <c r="AE48" s="329" t="s">
        <v>108</v>
      </c>
      <c r="AF48" s="674" t="s">
        <v>70</v>
      </c>
      <c r="AG48" s="134" t="s">
        <v>69</v>
      </c>
      <c r="AH48" s="207" t="s">
        <v>69</v>
      </c>
      <c r="AI48" s="239" t="s">
        <v>69</v>
      </c>
      <c r="AJ48" s="175" t="s">
        <v>69</v>
      </c>
    </row>
    <row r="49" spans="1:36" ht="18">
      <c r="A49" s="34">
        <v>48</v>
      </c>
      <c r="B49" s="261" t="s">
        <v>185</v>
      </c>
      <c r="C49" s="169">
        <v>1</v>
      </c>
      <c r="D49" s="169">
        <v>1</v>
      </c>
      <c r="E49" s="169">
        <f t="shared" si="0"/>
        <v>0</v>
      </c>
      <c r="F49" s="205" t="s">
        <v>69</v>
      </c>
      <c r="G49" s="338" t="s">
        <v>111</v>
      </c>
      <c r="H49" s="197" t="s">
        <v>72</v>
      </c>
      <c r="I49" s="205" t="s">
        <v>69</v>
      </c>
      <c r="J49" s="175" t="s">
        <v>108</v>
      </c>
      <c r="K49" s="134" t="s">
        <v>69</v>
      </c>
      <c r="L49" s="134" t="s">
        <v>69</v>
      </c>
      <c r="M49" s="134" t="s">
        <v>69</v>
      </c>
      <c r="N49" s="239" t="s">
        <v>69</v>
      </c>
      <c r="O49" s="9" t="s">
        <v>69</v>
      </c>
      <c r="P49" s="134" t="s">
        <v>69</v>
      </c>
      <c r="Q49" s="175" t="s">
        <v>108</v>
      </c>
      <c r="R49" s="674" t="s">
        <v>69</v>
      </c>
      <c r="S49" s="134" t="s">
        <v>69</v>
      </c>
      <c r="T49" s="252" t="s">
        <v>69</v>
      </c>
      <c r="U49" s="252" t="s">
        <v>69</v>
      </c>
      <c r="V49" s="252" t="s">
        <v>69</v>
      </c>
      <c r="W49" s="252" t="s">
        <v>69</v>
      </c>
      <c r="X49" s="327" t="s">
        <v>108</v>
      </c>
      <c r="Y49" s="345" t="s">
        <v>111</v>
      </c>
      <c r="Z49" s="672" t="s">
        <v>69</v>
      </c>
      <c r="AA49" s="672" t="s">
        <v>69</v>
      </c>
      <c r="AB49" s="672" t="s">
        <v>69</v>
      </c>
      <c r="AC49" s="672" t="s">
        <v>69</v>
      </c>
      <c r="AD49" s="672" t="s">
        <v>69</v>
      </c>
      <c r="AE49" s="329" t="s">
        <v>108</v>
      </c>
      <c r="AF49" s="239" t="s">
        <v>69</v>
      </c>
      <c r="AG49" s="134" t="s">
        <v>69</v>
      </c>
      <c r="AH49" s="339" t="s">
        <v>69</v>
      </c>
      <c r="AI49" s="169" t="s">
        <v>69</v>
      </c>
      <c r="AJ49" s="134" t="s">
        <v>69</v>
      </c>
    </row>
    <row r="50" spans="1:36" ht="18">
      <c r="A50" s="34">
        <v>49</v>
      </c>
      <c r="B50" s="261" t="s">
        <v>50</v>
      </c>
      <c r="C50" s="169">
        <v>3</v>
      </c>
      <c r="D50" s="169">
        <v>3</v>
      </c>
      <c r="E50" s="169">
        <f t="shared" si="0"/>
        <v>0</v>
      </c>
      <c r="F50" s="205" t="s">
        <v>69</v>
      </c>
      <c r="G50" s="338" t="s">
        <v>111</v>
      </c>
      <c r="H50" s="205" t="s">
        <v>69</v>
      </c>
      <c r="I50" s="205" t="s">
        <v>69</v>
      </c>
      <c r="J50" s="175" t="s">
        <v>108</v>
      </c>
      <c r="K50" s="205" t="s">
        <v>69</v>
      </c>
      <c r="L50" s="134" t="s">
        <v>69</v>
      </c>
      <c r="M50" s="134" t="s">
        <v>69</v>
      </c>
      <c r="N50" s="226" t="s">
        <v>69</v>
      </c>
      <c r="O50" s="9" t="s">
        <v>69</v>
      </c>
      <c r="P50" s="207" t="s">
        <v>69</v>
      </c>
      <c r="Q50" s="175" t="s">
        <v>108</v>
      </c>
      <c r="R50" s="239" t="s">
        <v>69</v>
      </c>
      <c r="S50" s="134" t="s">
        <v>69</v>
      </c>
      <c r="T50" s="207" t="s">
        <v>69</v>
      </c>
      <c r="U50" s="134" t="s">
        <v>69</v>
      </c>
      <c r="V50" s="134" t="s">
        <v>69</v>
      </c>
      <c r="W50" s="134" t="s">
        <v>69</v>
      </c>
      <c r="X50" s="327" t="s">
        <v>108</v>
      </c>
      <c r="Y50" s="345" t="s">
        <v>111</v>
      </c>
      <c r="Z50" s="9" t="s">
        <v>111</v>
      </c>
      <c r="AA50" s="207" t="s">
        <v>72</v>
      </c>
      <c r="AB50" s="134" t="s">
        <v>69</v>
      </c>
      <c r="AC50" s="134" t="s">
        <v>69</v>
      </c>
      <c r="AD50" s="121" t="s">
        <v>72</v>
      </c>
      <c r="AE50" s="329" t="s">
        <v>108</v>
      </c>
      <c r="AF50" s="153" t="s">
        <v>72</v>
      </c>
      <c r="AG50" s="134" t="s">
        <v>69</v>
      </c>
      <c r="AH50" s="339" t="s">
        <v>69</v>
      </c>
      <c r="AI50" s="239" t="s">
        <v>69</v>
      </c>
      <c r="AJ50" s="170" t="s">
        <v>69</v>
      </c>
    </row>
    <row r="51" spans="1:36" ht="18">
      <c r="A51" s="34">
        <v>50</v>
      </c>
      <c r="B51" s="262" t="s">
        <v>186</v>
      </c>
      <c r="C51" s="195">
        <v>0</v>
      </c>
      <c r="D51" s="169">
        <v>0</v>
      </c>
      <c r="E51" s="169">
        <f t="shared" si="0"/>
        <v>0</v>
      </c>
      <c r="F51" s="205" t="s">
        <v>69</v>
      </c>
      <c r="G51" s="338" t="s">
        <v>111</v>
      </c>
      <c r="H51" s="205" t="s">
        <v>69</v>
      </c>
      <c r="I51" s="205" t="s">
        <v>69</v>
      </c>
      <c r="J51" s="175" t="s">
        <v>108</v>
      </c>
      <c r="K51" s="205" t="s">
        <v>69</v>
      </c>
      <c r="L51" s="134" t="s">
        <v>69</v>
      </c>
      <c r="M51" s="134" t="s">
        <v>69</v>
      </c>
      <c r="N51" s="226" t="s">
        <v>69</v>
      </c>
      <c r="O51" s="9" t="s">
        <v>69</v>
      </c>
      <c r="P51" s="134" t="s">
        <v>69</v>
      </c>
      <c r="Q51" s="175" t="s">
        <v>108</v>
      </c>
      <c r="R51" s="239" t="s">
        <v>69</v>
      </c>
      <c r="S51" s="134" t="s">
        <v>69</v>
      </c>
      <c r="T51" s="207" t="s">
        <v>69</v>
      </c>
      <c r="U51" s="134" t="s">
        <v>69</v>
      </c>
      <c r="V51" s="134" t="s">
        <v>69</v>
      </c>
      <c r="W51" s="134" t="s">
        <v>69</v>
      </c>
      <c r="X51" s="327" t="s">
        <v>108</v>
      </c>
      <c r="Y51" s="345" t="s">
        <v>111</v>
      </c>
      <c r="Z51" s="134" t="s">
        <v>69</v>
      </c>
      <c r="AA51" s="171" t="s">
        <v>69</v>
      </c>
      <c r="AB51" s="168" t="s">
        <v>69</v>
      </c>
      <c r="AC51" s="168" t="s">
        <v>69</v>
      </c>
      <c r="AD51" s="134" t="s">
        <v>69</v>
      </c>
      <c r="AE51" s="329" t="s">
        <v>108</v>
      </c>
      <c r="AF51" s="239" t="s">
        <v>69</v>
      </c>
      <c r="AG51" s="134" t="s">
        <v>69</v>
      </c>
      <c r="AH51" s="207" t="s">
        <v>69</v>
      </c>
      <c r="AI51" s="169" t="s">
        <v>69</v>
      </c>
      <c r="AJ51" s="134" t="s">
        <v>69</v>
      </c>
    </row>
    <row r="52" spans="1:36" ht="18">
      <c r="A52" s="34">
        <v>51</v>
      </c>
      <c r="B52" s="261" t="s">
        <v>187</v>
      </c>
      <c r="C52" s="195">
        <v>2</v>
      </c>
      <c r="D52" s="169">
        <v>1</v>
      </c>
      <c r="E52" s="169">
        <f t="shared" si="0"/>
        <v>1</v>
      </c>
      <c r="F52" s="205" t="s">
        <v>69</v>
      </c>
      <c r="G52" s="338" t="s">
        <v>111</v>
      </c>
      <c r="H52" s="205" t="s">
        <v>69</v>
      </c>
      <c r="I52" s="205" t="s">
        <v>69</v>
      </c>
      <c r="J52" s="175" t="s">
        <v>108</v>
      </c>
      <c r="K52" s="205" t="s">
        <v>69</v>
      </c>
      <c r="L52" s="205" t="s">
        <v>69</v>
      </c>
      <c r="M52" s="205" t="s">
        <v>69</v>
      </c>
      <c r="N52" s="213" t="s">
        <v>72</v>
      </c>
      <c r="O52" s="9" t="s">
        <v>69</v>
      </c>
      <c r="P52" s="239" t="s">
        <v>69</v>
      </c>
      <c r="Q52" s="175" t="s">
        <v>108</v>
      </c>
      <c r="R52" s="239" t="s">
        <v>69</v>
      </c>
      <c r="S52" s="134" t="s">
        <v>69</v>
      </c>
      <c r="T52" s="252" t="s">
        <v>69</v>
      </c>
      <c r="U52" s="134" t="s">
        <v>69</v>
      </c>
      <c r="V52" s="134" t="s">
        <v>69</v>
      </c>
      <c r="W52" s="134" t="s">
        <v>69</v>
      </c>
      <c r="X52" s="327" t="s">
        <v>108</v>
      </c>
      <c r="Y52" s="345" t="s">
        <v>111</v>
      </c>
      <c r="Z52" s="328" t="s">
        <v>69</v>
      </c>
      <c r="AA52" s="339" t="s">
        <v>69</v>
      </c>
      <c r="AB52" s="328" t="s">
        <v>69</v>
      </c>
      <c r="AC52" s="328" t="s">
        <v>69</v>
      </c>
      <c r="AD52" s="134" t="s">
        <v>69</v>
      </c>
      <c r="AE52" s="329" t="s">
        <v>108</v>
      </c>
      <c r="AF52" s="239" t="s">
        <v>69</v>
      </c>
      <c r="AG52" s="134" t="s">
        <v>69</v>
      </c>
      <c r="AH52" s="153" t="s">
        <v>72</v>
      </c>
      <c r="AI52" s="239" t="s">
        <v>69</v>
      </c>
      <c r="AJ52" s="134" t="s">
        <v>69</v>
      </c>
    </row>
    <row r="53" spans="1:36" ht="18">
      <c r="A53" s="34">
        <v>52</v>
      </c>
      <c r="B53" s="261" t="s">
        <v>52</v>
      </c>
      <c r="C53" s="169">
        <v>1.5</v>
      </c>
      <c r="D53" s="169">
        <v>1.5</v>
      </c>
      <c r="E53" s="169">
        <f t="shared" si="0"/>
        <v>0</v>
      </c>
      <c r="F53" s="205" t="s">
        <v>69</v>
      </c>
      <c r="G53" s="338" t="s">
        <v>111</v>
      </c>
      <c r="H53" s="197" t="s">
        <v>72</v>
      </c>
      <c r="I53" s="205" t="s">
        <v>69</v>
      </c>
      <c r="J53" s="175" t="s">
        <v>108</v>
      </c>
      <c r="K53" s="205" t="s">
        <v>69</v>
      </c>
      <c r="L53" s="205" t="s">
        <v>69</v>
      </c>
      <c r="M53" s="205" t="s">
        <v>69</v>
      </c>
      <c r="N53" s="226" t="s">
        <v>69</v>
      </c>
      <c r="O53" s="9" t="s">
        <v>69</v>
      </c>
      <c r="P53" s="239" t="s">
        <v>69</v>
      </c>
      <c r="Q53" s="175" t="s">
        <v>108</v>
      </c>
      <c r="R53" s="226" t="s">
        <v>69</v>
      </c>
      <c r="S53" s="9" t="s">
        <v>69</v>
      </c>
      <c r="T53" s="207" t="s">
        <v>69</v>
      </c>
      <c r="U53" s="134" t="s">
        <v>69</v>
      </c>
      <c r="V53" s="134" t="s">
        <v>69</v>
      </c>
      <c r="W53" s="134" t="s">
        <v>69</v>
      </c>
      <c r="X53" s="327" t="s">
        <v>108</v>
      </c>
      <c r="Y53" s="345" t="s">
        <v>111</v>
      </c>
      <c r="Z53" s="345" t="s">
        <v>111</v>
      </c>
      <c r="AA53" s="207" t="s">
        <v>69</v>
      </c>
      <c r="AB53" s="134" t="s">
        <v>69</v>
      </c>
      <c r="AC53" s="134" t="s">
        <v>69</v>
      </c>
      <c r="AD53" s="134" t="s">
        <v>69</v>
      </c>
      <c r="AE53" s="329" t="s">
        <v>108</v>
      </c>
      <c r="AF53" s="239" t="s">
        <v>69</v>
      </c>
      <c r="AG53" s="239" t="s">
        <v>69</v>
      </c>
      <c r="AH53" s="207" t="s">
        <v>69</v>
      </c>
      <c r="AI53" s="239" t="s">
        <v>69</v>
      </c>
      <c r="AJ53" s="239" t="s">
        <v>207</v>
      </c>
    </row>
    <row r="54" spans="1:36" ht="18">
      <c r="A54" s="34">
        <v>53</v>
      </c>
      <c r="B54" s="261" t="s">
        <v>53</v>
      </c>
      <c r="C54" s="169">
        <v>3</v>
      </c>
      <c r="D54" s="169">
        <v>3</v>
      </c>
      <c r="E54" s="169">
        <f t="shared" si="0"/>
        <v>0</v>
      </c>
      <c r="F54" s="205" t="s">
        <v>69</v>
      </c>
      <c r="G54" s="338" t="s">
        <v>111</v>
      </c>
      <c r="H54" s="197" t="s">
        <v>72</v>
      </c>
      <c r="I54" s="205" t="s">
        <v>69</v>
      </c>
      <c r="J54" s="175" t="s">
        <v>108</v>
      </c>
      <c r="K54" s="205" t="s">
        <v>69</v>
      </c>
      <c r="L54" s="205" t="s">
        <v>69</v>
      </c>
      <c r="M54" s="134" t="s">
        <v>69</v>
      </c>
      <c r="N54" s="239" t="s">
        <v>69</v>
      </c>
      <c r="O54" s="9" t="s">
        <v>69</v>
      </c>
      <c r="P54" s="239" t="s">
        <v>69</v>
      </c>
      <c r="Q54" s="175" t="s">
        <v>108</v>
      </c>
      <c r="R54" s="239" t="s">
        <v>69</v>
      </c>
      <c r="S54" s="134" t="s">
        <v>69</v>
      </c>
      <c r="T54" s="134" t="s">
        <v>69</v>
      </c>
      <c r="U54" s="134" t="s">
        <v>69</v>
      </c>
      <c r="V54" s="134" t="s">
        <v>69</v>
      </c>
      <c r="W54" s="121" t="s">
        <v>72</v>
      </c>
      <c r="X54" s="327" t="s">
        <v>108</v>
      </c>
      <c r="Y54" s="345" t="s">
        <v>111</v>
      </c>
      <c r="Z54" s="121" t="s">
        <v>72</v>
      </c>
      <c r="AA54" s="171" t="s">
        <v>69</v>
      </c>
      <c r="AB54" s="168" t="s">
        <v>69</v>
      </c>
      <c r="AC54" s="168" t="s">
        <v>69</v>
      </c>
      <c r="AD54" s="134" t="s">
        <v>69</v>
      </c>
      <c r="AE54" s="329" t="s">
        <v>108</v>
      </c>
      <c r="AF54" s="239" t="s">
        <v>69</v>
      </c>
      <c r="AG54" s="134" t="s">
        <v>69</v>
      </c>
      <c r="AH54" s="207" t="s">
        <v>69</v>
      </c>
      <c r="AI54" s="169" t="s">
        <v>69</v>
      </c>
      <c r="AJ54" s="134" t="s">
        <v>69</v>
      </c>
    </row>
    <row r="55" spans="1:36" ht="18">
      <c r="A55" s="34">
        <v>54</v>
      </c>
      <c r="B55" s="261" t="s">
        <v>211</v>
      </c>
      <c r="C55" s="169">
        <v>2</v>
      </c>
      <c r="D55" s="169">
        <v>1</v>
      </c>
      <c r="E55" s="169">
        <f t="shared" si="0"/>
        <v>1</v>
      </c>
      <c r="F55" s="205"/>
      <c r="G55" s="338"/>
      <c r="H55" s="205" t="s">
        <v>69</v>
      </c>
      <c r="I55" s="205" t="s">
        <v>69</v>
      </c>
      <c r="J55" s="175" t="s">
        <v>108</v>
      </c>
      <c r="K55" s="205" t="s">
        <v>69</v>
      </c>
      <c r="L55" s="205" t="s">
        <v>69</v>
      </c>
      <c r="M55" s="205" t="s">
        <v>69</v>
      </c>
      <c r="N55" s="205" t="s">
        <v>69</v>
      </c>
      <c r="O55" s="205" t="s">
        <v>69</v>
      </c>
      <c r="P55" s="205" t="s">
        <v>69</v>
      </c>
      <c r="Q55" s="175" t="s">
        <v>108</v>
      </c>
      <c r="R55" s="205" t="s">
        <v>69</v>
      </c>
      <c r="S55" s="205" t="s">
        <v>69</v>
      </c>
      <c r="T55" s="205" t="s">
        <v>69</v>
      </c>
      <c r="U55" s="205" t="s">
        <v>69</v>
      </c>
      <c r="V55" s="134" t="s">
        <v>69</v>
      </c>
      <c r="W55" s="134" t="s">
        <v>69</v>
      </c>
      <c r="X55" s="327" t="s">
        <v>108</v>
      </c>
      <c r="Y55" s="345" t="s">
        <v>111</v>
      </c>
      <c r="Z55" s="338" t="s">
        <v>111</v>
      </c>
      <c r="AA55" s="207" t="s">
        <v>69</v>
      </c>
      <c r="AB55" s="134" t="s">
        <v>69</v>
      </c>
      <c r="AC55" s="134" t="s">
        <v>69</v>
      </c>
      <c r="AD55" s="134" t="s">
        <v>69</v>
      </c>
      <c r="AE55" s="329" t="s">
        <v>108</v>
      </c>
      <c r="AF55" s="239" t="s">
        <v>69</v>
      </c>
      <c r="AG55" s="199" t="s">
        <v>69</v>
      </c>
      <c r="AH55" s="207" t="s">
        <v>69</v>
      </c>
      <c r="AI55" s="169" t="s">
        <v>69</v>
      </c>
      <c r="AJ55" s="168" t="s">
        <v>69</v>
      </c>
    </row>
    <row r="56" spans="1:36" ht="18">
      <c r="A56" s="34">
        <v>55</v>
      </c>
      <c r="B56" s="261" t="s">
        <v>204</v>
      </c>
      <c r="C56" s="169">
        <v>3</v>
      </c>
      <c r="D56" s="169">
        <v>1</v>
      </c>
      <c r="E56" s="169">
        <f t="shared" si="0"/>
        <v>2</v>
      </c>
      <c r="F56" s="121" t="s">
        <v>72</v>
      </c>
      <c r="G56" s="338" t="s">
        <v>111</v>
      </c>
      <c r="H56" s="205" t="s">
        <v>69</v>
      </c>
      <c r="I56" s="205" t="s">
        <v>69</v>
      </c>
      <c r="J56" s="175" t="s">
        <v>108</v>
      </c>
      <c r="K56" s="205" t="s">
        <v>69</v>
      </c>
      <c r="L56" s="205" t="s">
        <v>69</v>
      </c>
      <c r="M56" s="134" t="s">
        <v>69</v>
      </c>
      <c r="N56" s="239" t="s">
        <v>69</v>
      </c>
      <c r="O56" s="9" t="s">
        <v>69</v>
      </c>
      <c r="P56" s="239" t="s">
        <v>69</v>
      </c>
      <c r="Q56" s="175" t="s">
        <v>108</v>
      </c>
      <c r="R56" s="239" t="s">
        <v>69</v>
      </c>
      <c r="S56" s="9" t="s">
        <v>69</v>
      </c>
      <c r="T56" s="252" t="s">
        <v>69</v>
      </c>
      <c r="U56" s="134" t="s">
        <v>69</v>
      </c>
      <c r="V56" s="134" t="s">
        <v>69</v>
      </c>
      <c r="W56" s="121" t="s">
        <v>72</v>
      </c>
      <c r="X56" s="327" t="s">
        <v>108</v>
      </c>
      <c r="Y56" s="345" t="s">
        <v>111</v>
      </c>
      <c r="Z56" s="345" t="s">
        <v>111</v>
      </c>
      <c r="AA56" s="121" t="s">
        <v>72</v>
      </c>
      <c r="AB56" s="134" t="s">
        <v>69</v>
      </c>
      <c r="AC56" s="134" t="s">
        <v>69</v>
      </c>
      <c r="AD56" s="328" t="s">
        <v>69</v>
      </c>
      <c r="AE56" s="329" t="s">
        <v>108</v>
      </c>
      <c r="AF56" s="239" t="s">
        <v>69</v>
      </c>
      <c r="AG56" s="134" t="s">
        <v>69</v>
      </c>
      <c r="AH56" s="207" t="s">
        <v>69</v>
      </c>
      <c r="AI56" s="169" t="s">
        <v>69</v>
      </c>
      <c r="AJ56" s="168" t="s">
        <v>69</v>
      </c>
    </row>
    <row r="57" spans="1:36" ht="18">
      <c r="A57" s="34">
        <v>56</v>
      </c>
      <c r="B57" s="261" t="s">
        <v>55</v>
      </c>
      <c r="C57" s="169">
        <v>0</v>
      </c>
      <c r="D57" s="169">
        <v>0</v>
      </c>
      <c r="E57" s="169">
        <f t="shared" si="0"/>
        <v>0</v>
      </c>
      <c r="F57" s="134" t="s">
        <v>69</v>
      </c>
      <c r="G57" s="338" t="s">
        <v>111</v>
      </c>
      <c r="H57" s="134" t="s">
        <v>70</v>
      </c>
      <c r="I57" s="134" t="s">
        <v>69</v>
      </c>
      <c r="J57" s="175" t="s">
        <v>108</v>
      </c>
      <c r="K57" s="672" t="s">
        <v>69</v>
      </c>
      <c r="L57" s="672" t="s">
        <v>69</v>
      </c>
      <c r="M57" s="672" t="s">
        <v>69</v>
      </c>
      <c r="N57" s="239" t="s">
        <v>69</v>
      </c>
      <c r="O57" s="9" t="s">
        <v>69</v>
      </c>
      <c r="P57" s="239" t="s">
        <v>69</v>
      </c>
      <c r="Q57" s="175" t="s">
        <v>108</v>
      </c>
      <c r="R57" s="239" t="s">
        <v>69</v>
      </c>
      <c r="S57" s="674" t="s">
        <v>69</v>
      </c>
      <c r="T57" s="674" t="s">
        <v>69</v>
      </c>
      <c r="U57" s="168" t="s">
        <v>69</v>
      </c>
      <c r="V57" s="168" t="s">
        <v>69</v>
      </c>
      <c r="W57" s="168" t="s">
        <v>69</v>
      </c>
      <c r="X57" s="327" t="s">
        <v>108</v>
      </c>
      <c r="Y57" s="345" t="s">
        <v>111</v>
      </c>
      <c r="Z57" s="168" t="s">
        <v>69</v>
      </c>
      <c r="AA57" s="168" t="s">
        <v>69</v>
      </c>
      <c r="AB57" s="168" t="s">
        <v>69</v>
      </c>
      <c r="AC57" s="168" t="s">
        <v>69</v>
      </c>
      <c r="AD57" s="328" t="s">
        <v>69</v>
      </c>
      <c r="AE57" s="329" t="s">
        <v>108</v>
      </c>
      <c r="AF57" s="239" t="s">
        <v>69</v>
      </c>
      <c r="AG57" s="200" t="s">
        <v>69</v>
      </c>
      <c r="AH57" s="354" t="s">
        <v>69</v>
      </c>
      <c r="AI57" s="169" t="s">
        <v>69</v>
      </c>
      <c r="AJ57" s="170" t="s">
        <v>69</v>
      </c>
    </row>
    <row r="58" spans="1:36" ht="18">
      <c r="A58" s="34">
        <v>57</v>
      </c>
      <c r="B58" s="261" t="s">
        <v>57</v>
      </c>
      <c r="C58" s="169">
        <v>4</v>
      </c>
      <c r="D58" s="169">
        <v>4</v>
      </c>
      <c r="E58" s="169">
        <f t="shared" si="0"/>
        <v>0</v>
      </c>
      <c r="F58" s="134" t="s">
        <v>69</v>
      </c>
      <c r="G58" s="338" t="s">
        <v>111</v>
      </c>
      <c r="H58" s="134" t="s">
        <v>69</v>
      </c>
      <c r="I58" s="121" t="s">
        <v>72</v>
      </c>
      <c r="J58" s="175" t="s">
        <v>108</v>
      </c>
      <c r="K58" s="134" t="s">
        <v>69</v>
      </c>
      <c r="L58" s="134" t="s">
        <v>69</v>
      </c>
      <c r="M58" s="134" t="s">
        <v>69</v>
      </c>
      <c r="N58" s="239" t="s">
        <v>69</v>
      </c>
      <c r="O58" s="9" t="s">
        <v>69</v>
      </c>
      <c r="P58" s="239" t="s">
        <v>69</v>
      </c>
      <c r="Q58" s="175" t="s">
        <v>108</v>
      </c>
      <c r="R58" s="239" t="s">
        <v>69</v>
      </c>
      <c r="S58" s="674" t="s">
        <v>69</v>
      </c>
      <c r="T58" s="674" t="s">
        <v>69</v>
      </c>
      <c r="U58" s="674" t="s">
        <v>69</v>
      </c>
      <c r="V58" s="121" t="s">
        <v>72</v>
      </c>
      <c r="W58" s="121" t="s">
        <v>72</v>
      </c>
      <c r="X58" s="327" t="s">
        <v>108</v>
      </c>
      <c r="Y58" s="345" t="s">
        <v>111</v>
      </c>
      <c r="Z58" s="9" t="s">
        <v>111</v>
      </c>
      <c r="AA58" s="144" t="s">
        <v>72</v>
      </c>
      <c r="AB58" s="168" t="s">
        <v>69</v>
      </c>
      <c r="AC58" s="168" t="s">
        <v>69</v>
      </c>
      <c r="AD58" s="328" t="s">
        <v>69</v>
      </c>
      <c r="AE58" s="329" t="s">
        <v>108</v>
      </c>
      <c r="AF58" s="239" t="s">
        <v>69</v>
      </c>
      <c r="AG58" s="134" t="s">
        <v>69</v>
      </c>
      <c r="AH58" s="354" t="s">
        <v>69</v>
      </c>
      <c r="AI58" s="358" t="s">
        <v>69</v>
      </c>
      <c r="AJ58" s="240" t="s">
        <v>69</v>
      </c>
    </row>
    <row r="59" spans="1:36" ht="18">
      <c r="A59" s="34">
        <v>58</v>
      </c>
      <c r="B59" s="261" t="s">
        <v>80</v>
      </c>
      <c r="C59" s="168">
        <v>2</v>
      </c>
      <c r="D59" s="169">
        <v>2</v>
      </c>
      <c r="E59" s="169">
        <f t="shared" si="0"/>
        <v>0</v>
      </c>
      <c r="F59" s="121" t="s">
        <v>72</v>
      </c>
      <c r="G59" s="338" t="s">
        <v>111</v>
      </c>
      <c r="H59" s="134" t="s">
        <v>69</v>
      </c>
      <c r="I59" s="672" t="s">
        <v>69</v>
      </c>
      <c r="J59" s="175" t="s">
        <v>108</v>
      </c>
      <c r="K59" s="672" t="s">
        <v>69</v>
      </c>
      <c r="L59" s="672" t="s">
        <v>69</v>
      </c>
      <c r="M59" s="672" t="s">
        <v>69</v>
      </c>
      <c r="N59" s="239" t="s">
        <v>69</v>
      </c>
      <c r="O59" s="63" t="s">
        <v>72</v>
      </c>
      <c r="P59" s="239" t="s">
        <v>69</v>
      </c>
      <c r="Q59" s="175" t="s">
        <v>108</v>
      </c>
      <c r="R59" s="674" t="s">
        <v>69</v>
      </c>
      <c r="S59" s="674" t="s">
        <v>69</v>
      </c>
      <c r="T59" s="674" t="s">
        <v>69</v>
      </c>
      <c r="U59" s="207" t="s">
        <v>69</v>
      </c>
      <c r="V59" s="207" t="s">
        <v>69</v>
      </c>
      <c r="W59" s="134" t="s">
        <v>69</v>
      </c>
      <c r="X59" s="327" t="s">
        <v>108</v>
      </c>
      <c r="Y59" s="345" t="s">
        <v>111</v>
      </c>
      <c r="Z59" s="345" t="s">
        <v>111</v>
      </c>
      <c r="AA59" s="168" t="s">
        <v>69</v>
      </c>
      <c r="AB59" s="168" t="s">
        <v>69</v>
      </c>
      <c r="AC59" s="168" t="s">
        <v>69</v>
      </c>
      <c r="AD59" s="328" t="s">
        <v>69</v>
      </c>
      <c r="AE59" s="329" t="s">
        <v>108</v>
      </c>
      <c r="AF59" s="239" t="s">
        <v>69</v>
      </c>
      <c r="AG59" s="134" t="s">
        <v>69</v>
      </c>
      <c r="AH59" s="354" t="s">
        <v>69</v>
      </c>
      <c r="AI59" s="169" t="s">
        <v>69</v>
      </c>
      <c r="AJ59" s="168" t="s">
        <v>69</v>
      </c>
    </row>
    <row r="60" spans="1:36" ht="18">
      <c r="A60" s="34">
        <v>59</v>
      </c>
      <c r="B60" s="261" t="s">
        <v>58</v>
      </c>
      <c r="C60" s="169">
        <v>3</v>
      </c>
      <c r="D60" s="169">
        <v>3</v>
      </c>
      <c r="E60" s="169">
        <f t="shared" si="0"/>
        <v>0</v>
      </c>
      <c r="F60" s="226" t="s">
        <v>69</v>
      </c>
      <c r="G60" s="338" t="s">
        <v>111</v>
      </c>
      <c r="H60" s="672" t="s">
        <v>69</v>
      </c>
      <c r="I60" s="672" t="s">
        <v>69</v>
      </c>
      <c r="J60" s="175" t="s">
        <v>108</v>
      </c>
      <c r="K60" s="672" t="s">
        <v>69</v>
      </c>
      <c r="L60" s="121" t="s">
        <v>72</v>
      </c>
      <c r="M60" s="672" t="s">
        <v>69</v>
      </c>
      <c r="N60" s="674" t="s">
        <v>69</v>
      </c>
      <c r="O60" s="9" t="s">
        <v>69</v>
      </c>
      <c r="P60" s="239" t="s">
        <v>69</v>
      </c>
      <c r="Q60" s="175" t="s">
        <v>108</v>
      </c>
      <c r="R60" s="207" t="s">
        <v>69</v>
      </c>
      <c r="S60" s="107" t="s">
        <v>69</v>
      </c>
      <c r="T60" s="131" t="s">
        <v>72</v>
      </c>
      <c r="U60" s="134" t="s">
        <v>69</v>
      </c>
      <c r="V60" s="134" t="s">
        <v>69</v>
      </c>
      <c r="W60" s="134" t="s">
        <v>69</v>
      </c>
      <c r="X60" s="327" t="s">
        <v>108</v>
      </c>
      <c r="Y60" s="345" t="s">
        <v>111</v>
      </c>
      <c r="Z60" s="345" t="s">
        <v>111</v>
      </c>
      <c r="AA60" s="345" t="s">
        <v>111</v>
      </c>
      <c r="AB60" s="369" t="s">
        <v>72</v>
      </c>
      <c r="AC60" s="283" t="s">
        <v>69</v>
      </c>
      <c r="AD60" s="328" t="s">
        <v>69</v>
      </c>
      <c r="AE60" s="329" t="s">
        <v>108</v>
      </c>
      <c r="AF60" s="239" t="s">
        <v>69</v>
      </c>
      <c r="AG60" s="134" t="s">
        <v>69</v>
      </c>
      <c r="AH60" s="350" t="s">
        <v>69</v>
      </c>
      <c r="AI60" s="239" t="s">
        <v>69</v>
      </c>
      <c r="AJ60" s="239" t="s">
        <v>69</v>
      </c>
    </row>
    <row r="61" spans="1:36" ht="18">
      <c r="A61" s="34">
        <v>60</v>
      </c>
      <c r="B61" s="261" t="s">
        <v>189</v>
      </c>
      <c r="C61" s="169">
        <v>5</v>
      </c>
      <c r="D61" s="169">
        <v>1</v>
      </c>
      <c r="E61" s="169">
        <f t="shared" si="0"/>
        <v>4</v>
      </c>
      <c r="F61" s="213" t="s">
        <v>72</v>
      </c>
      <c r="G61" s="338" t="s">
        <v>111</v>
      </c>
      <c r="H61" s="121" t="s">
        <v>72</v>
      </c>
      <c r="I61" s="121" t="s">
        <v>72</v>
      </c>
      <c r="J61" s="175" t="s">
        <v>108</v>
      </c>
      <c r="K61" s="226" t="s">
        <v>69</v>
      </c>
      <c r="L61" s="226" t="s">
        <v>69</v>
      </c>
      <c r="M61" s="226" t="s">
        <v>69</v>
      </c>
      <c r="N61" s="226" t="s">
        <v>69</v>
      </c>
      <c r="O61" s="9" t="s">
        <v>69</v>
      </c>
      <c r="P61" s="207" t="s">
        <v>69</v>
      </c>
      <c r="Q61" s="175" t="s">
        <v>108</v>
      </c>
      <c r="R61" s="207" t="s">
        <v>69</v>
      </c>
      <c r="S61" s="207" t="s">
        <v>69</v>
      </c>
      <c r="T61" s="134" t="s">
        <v>69</v>
      </c>
      <c r="U61" s="134" t="s">
        <v>69</v>
      </c>
      <c r="V61" s="134" t="s">
        <v>69</v>
      </c>
      <c r="W61" s="134" t="s">
        <v>72</v>
      </c>
      <c r="X61" s="327" t="s">
        <v>108</v>
      </c>
      <c r="Y61" s="345" t="s">
        <v>111</v>
      </c>
      <c r="Z61" s="9" t="s">
        <v>111</v>
      </c>
      <c r="AA61" s="144" t="s">
        <v>72</v>
      </c>
      <c r="AB61" s="672" t="s">
        <v>69</v>
      </c>
      <c r="AC61" s="168" t="s">
        <v>69</v>
      </c>
      <c r="AD61" s="328" t="s">
        <v>69</v>
      </c>
      <c r="AE61" s="329" t="s">
        <v>108</v>
      </c>
      <c r="AF61" s="239" t="s">
        <v>69</v>
      </c>
      <c r="AG61" s="134" t="s">
        <v>69</v>
      </c>
      <c r="AH61" s="344" t="s">
        <v>69</v>
      </c>
      <c r="AI61" s="169" t="s">
        <v>69</v>
      </c>
      <c r="AJ61" s="170" t="s">
        <v>69</v>
      </c>
    </row>
    <row r="62" spans="1:36" ht="18">
      <c r="A62" s="34">
        <v>61</v>
      </c>
      <c r="B62" s="261" t="s">
        <v>60</v>
      </c>
      <c r="C62" s="169">
        <v>3</v>
      </c>
      <c r="D62" s="169">
        <v>1</v>
      </c>
      <c r="E62" s="169">
        <f t="shared" si="0"/>
        <v>2</v>
      </c>
      <c r="F62" s="672" t="s">
        <v>69</v>
      </c>
      <c r="G62" s="338" t="s">
        <v>111</v>
      </c>
      <c r="H62" s="672" t="s">
        <v>69</v>
      </c>
      <c r="I62" s="672" t="s">
        <v>69</v>
      </c>
      <c r="J62" s="175" t="s">
        <v>108</v>
      </c>
      <c r="K62" s="672" t="s">
        <v>69</v>
      </c>
      <c r="L62" s="672" t="s">
        <v>69</v>
      </c>
      <c r="M62" s="134" t="s">
        <v>69</v>
      </c>
      <c r="N62" s="239" t="s">
        <v>69</v>
      </c>
      <c r="O62" s="9" t="s">
        <v>69</v>
      </c>
      <c r="P62" s="121" t="s">
        <v>72</v>
      </c>
      <c r="Q62" s="175" t="s">
        <v>108</v>
      </c>
      <c r="R62" s="207" t="s">
        <v>69</v>
      </c>
      <c r="S62" s="230" t="s">
        <v>69</v>
      </c>
      <c r="T62" s="207" t="s">
        <v>69</v>
      </c>
      <c r="U62" s="134" t="s">
        <v>69</v>
      </c>
      <c r="V62" s="121" t="s">
        <v>72</v>
      </c>
      <c r="W62" s="121" t="s">
        <v>72</v>
      </c>
      <c r="X62" s="327" t="s">
        <v>108</v>
      </c>
      <c r="Y62" s="345" t="s">
        <v>111</v>
      </c>
      <c r="Z62" s="328" t="s">
        <v>69</v>
      </c>
      <c r="AA62" s="328" t="s">
        <v>69</v>
      </c>
      <c r="AB62" s="328" t="s">
        <v>69</v>
      </c>
      <c r="AC62" s="328" t="s">
        <v>69</v>
      </c>
      <c r="AD62" s="328" t="s">
        <v>69</v>
      </c>
      <c r="AE62" s="329" t="s">
        <v>108</v>
      </c>
      <c r="AF62" s="239" t="s">
        <v>69</v>
      </c>
      <c r="AG62" s="134" t="s">
        <v>69</v>
      </c>
      <c r="AH62" s="207" t="s">
        <v>69</v>
      </c>
      <c r="AI62" s="344" t="s">
        <v>69</v>
      </c>
      <c r="AJ62" s="134" t="s">
        <v>69</v>
      </c>
    </row>
    <row r="63" spans="1:36" ht="18">
      <c r="A63" s="34">
        <v>62</v>
      </c>
      <c r="B63" s="363" t="s">
        <v>212</v>
      </c>
      <c r="C63" s="169"/>
      <c r="D63" s="169"/>
      <c r="E63" s="169">
        <f t="shared" si="0"/>
        <v>0</v>
      </c>
      <c r="F63" s="213" t="s">
        <v>72</v>
      </c>
      <c r="G63" s="338" t="s">
        <v>111</v>
      </c>
      <c r="H63" s="121" t="s">
        <v>72</v>
      </c>
      <c r="I63" s="121" t="s">
        <v>72</v>
      </c>
      <c r="J63" s="175" t="s">
        <v>108</v>
      </c>
      <c r="K63" s="121" t="s">
        <v>72</v>
      </c>
      <c r="L63" s="121" t="s">
        <v>72</v>
      </c>
      <c r="M63" s="121" t="s">
        <v>72</v>
      </c>
      <c r="N63" s="153" t="s">
        <v>76</v>
      </c>
      <c r="O63" s="153" t="s">
        <v>76</v>
      </c>
      <c r="P63" s="153" t="s">
        <v>76</v>
      </c>
      <c r="Q63" s="175" t="s">
        <v>108</v>
      </c>
      <c r="R63" s="153" t="s">
        <v>76</v>
      </c>
      <c r="S63" s="121" t="s">
        <v>76</v>
      </c>
      <c r="T63" s="121" t="s">
        <v>76</v>
      </c>
      <c r="U63" s="121" t="s">
        <v>76</v>
      </c>
      <c r="V63" s="121" t="s">
        <v>76</v>
      </c>
      <c r="W63" s="121" t="s">
        <v>76</v>
      </c>
      <c r="X63" s="327" t="s">
        <v>108</v>
      </c>
      <c r="Y63" s="345" t="s">
        <v>111</v>
      </c>
      <c r="Z63" s="121" t="s">
        <v>76</v>
      </c>
      <c r="AA63" s="121" t="s">
        <v>76</v>
      </c>
      <c r="AB63" s="121" t="s">
        <v>76</v>
      </c>
      <c r="AC63" s="121" t="s">
        <v>76</v>
      </c>
      <c r="AD63" s="121" t="s">
        <v>76</v>
      </c>
      <c r="AE63" s="329" t="s">
        <v>108</v>
      </c>
      <c r="AF63" s="121" t="s">
        <v>76</v>
      </c>
      <c r="AG63" s="318" t="s">
        <v>76</v>
      </c>
      <c r="AH63" s="121" t="s">
        <v>76</v>
      </c>
      <c r="AI63" s="153" t="s">
        <v>76</v>
      </c>
      <c r="AJ63" s="121" t="s">
        <v>76</v>
      </c>
    </row>
    <row r="64" spans="1:36" ht="18">
      <c r="A64" s="34">
        <v>63</v>
      </c>
      <c r="B64" s="261" t="s">
        <v>106</v>
      </c>
      <c r="C64" s="169">
        <v>3</v>
      </c>
      <c r="D64" s="169">
        <v>2</v>
      </c>
      <c r="E64" s="169">
        <f t="shared" si="0"/>
        <v>1</v>
      </c>
      <c r="F64" s="213" t="s">
        <v>72</v>
      </c>
      <c r="G64" s="338" t="s">
        <v>111</v>
      </c>
      <c r="H64" s="672" t="s">
        <v>69</v>
      </c>
      <c r="I64" s="672" t="s">
        <v>69</v>
      </c>
      <c r="J64" s="175" t="s">
        <v>108</v>
      </c>
      <c r="K64" s="672" t="s">
        <v>69</v>
      </c>
      <c r="L64" s="672" t="s">
        <v>69</v>
      </c>
      <c r="M64" s="672" t="s">
        <v>69</v>
      </c>
      <c r="N64" s="674" t="s">
        <v>69</v>
      </c>
      <c r="O64" s="9" t="s">
        <v>69</v>
      </c>
      <c r="P64" s="207" t="s">
        <v>69</v>
      </c>
      <c r="Q64" s="175" t="s">
        <v>108</v>
      </c>
      <c r="R64" s="230" t="s">
        <v>69</v>
      </c>
      <c r="S64" s="340" t="s">
        <v>69</v>
      </c>
      <c r="T64" s="207" t="s">
        <v>69</v>
      </c>
      <c r="U64" s="134" t="s">
        <v>69</v>
      </c>
      <c r="V64" s="134" t="s">
        <v>69</v>
      </c>
      <c r="W64" s="134" t="s">
        <v>69</v>
      </c>
      <c r="X64" s="327" t="s">
        <v>108</v>
      </c>
      <c r="Y64" s="345" t="s">
        <v>111</v>
      </c>
      <c r="Z64" s="9" t="s">
        <v>69</v>
      </c>
      <c r="AA64" s="171" t="s">
        <v>69</v>
      </c>
      <c r="AB64" s="134" t="s">
        <v>69</v>
      </c>
      <c r="AC64" s="168" t="s">
        <v>69</v>
      </c>
      <c r="AD64" s="168" t="s">
        <v>69</v>
      </c>
      <c r="AE64" s="329" t="s">
        <v>108</v>
      </c>
      <c r="AF64" s="152" t="s">
        <v>72</v>
      </c>
      <c r="AG64" s="131" t="s">
        <v>72</v>
      </c>
      <c r="AH64" s="350" t="s">
        <v>69</v>
      </c>
      <c r="AI64" s="239" t="s">
        <v>69</v>
      </c>
      <c r="AJ64" s="170" t="s">
        <v>69</v>
      </c>
    </row>
    <row r="65" spans="1:36" ht="18">
      <c r="A65" s="34">
        <v>64</v>
      </c>
      <c r="B65" s="261" t="s">
        <v>61</v>
      </c>
      <c r="C65" s="169">
        <v>2</v>
      </c>
      <c r="D65" s="169">
        <v>2</v>
      </c>
      <c r="E65" s="169">
        <f t="shared" si="0"/>
        <v>0</v>
      </c>
      <c r="F65" s="134" t="s">
        <v>69</v>
      </c>
      <c r="G65" s="338" t="s">
        <v>111</v>
      </c>
      <c r="H65" s="213" t="s">
        <v>72</v>
      </c>
      <c r="I65" s="134" t="s">
        <v>69</v>
      </c>
      <c r="J65" s="175" t="s">
        <v>108</v>
      </c>
      <c r="K65" s="134" t="s">
        <v>69</v>
      </c>
      <c r="L65" s="672" t="s">
        <v>69</v>
      </c>
      <c r="M65" s="672" t="s">
        <v>69</v>
      </c>
      <c r="N65" s="239" t="s">
        <v>69</v>
      </c>
      <c r="O65" s="9" t="s">
        <v>69</v>
      </c>
      <c r="P65" s="207" t="s">
        <v>70</v>
      </c>
      <c r="Q65" s="177" t="s">
        <v>108</v>
      </c>
      <c r="R65" s="134" t="s">
        <v>69</v>
      </c>
      <c r="S65" s="207" t="s">
        <v>69</v>
      </c>
      <c r="T65" s="207" t="s">
        <v>69</v>
      </c>
      <c r="U65" s="134" t="s">
        <v>69</v>
      </c>
      <c r="V65" s="134" t="s">
        <v>69</v>
      </c>
      <c r="W65" s="134" t="s">
        <v>69</v>
      </c>
      <c r="X65" s="327" t="s">
        <v>108</v>
      </c>
      <c r="Y65" s="345" t="s">
        <v>111</v>
      </c>
      <c r="Z65" s="157" t="s">
        <v>69</v>
      </c>
      <c r="AA65" s="333" t="s">
        <v>69</v>
      </c>
      <c r="AB65" s="220" t="s">
        <v>69</v>
      </c>
      <c r="AC65" s="168" t="s">
        <v>69</v>
      </c>
      <c r="AD65" s="168" t="s">
        <v>69</v>
      </c>
      <c r="AE65" s="329" t="s">
        <v>108</v>
      </c>
      <c r="AF65" s="152" t="s">
        <v>72</v>
      </c>
      <c r="AG65" s="200" t="s">
        <v>69</v>
      </c>
      <c r="AH65" s="171" t="s">
        <v>69</v>
      </c>
      <c r="AI65" s="169" t="s">
        <v>69</v>
      </c>
      <c r="AJ65" s="134" t="s">
        <v>69</v>
      </c>
    </row>
    <row r="66" spans="1:36" ht="18">
      <c r="A66" s="34">
        <v>65</v>
      </c>
      <c r="B66" s="261" t="s">
        <v>205</v>
      </c>
      <c r="C66" s="169">
        <v>3</v>
      </c>
      <c r="D66" s="169">
        <v>1</v>
      </c>
      <c r="E66" s="169">
        <f t="shared" si="0"/>
        <v>2</v>
      </c>
      <c r="F66" s="134" t="s">
        <v>69</v>
      </c>
      <c r="G66" s="338" t="s">
        <v>111</v>
      </c>
      <c r="H66" s="213" t="s">
        <v>72</v>
      </c>
      <c r="I66" s="134" t="s">
        <v>69</v>
      </c>
      <c r="J66" s="175" t="s">
        <v>108</v>
      </c>
      <c r="K66" s="134" t="s">
        <v>69</v>
      </c>
      <c r="L66" s="134" t="s">
        <v>69</v>
      </c>
      <c r="M66" s="134" t="s">
        <v>69</v>
      </c>
      <c r="N66" s="239" t="s">
        <v>69</v>
      </c>
      <c r="O66" s="9" t="s">
        <v>69</v>
      </c>
      <c r="P66" s="207" t="s">
        <v>69</v>
      </c>
      <c r="Q66" s="175" t="s">
        <v>108</v>
      </c>
      <c r="R66" s="340" t="s">
        <v>69</v>
      </c>
      <c r="S66" s="207" t="s">
        <v>69</v>
      </c>
      <c r="T66" s="207" t="s">
        <v>69</v>
      </c>
      <c r="U66" s="207" t="s">
        <v>69</v>
      </c>
      <c r="V66" s="207" t="s">
        <v>69</v>
      </c>
      <c r="W66" s="207" t="s">
        <v>69</v>
      </c>
      <c r="X66" s="327" t="s">
        <v>108</v>
      </c>
      <c r="Y66" s="345" t="s">
        <v>111</v>
      </c>
      <c r="Z66" s="338" t="s">
        <v>111</v>
      </c>
      <c r="AA66" s="218" t="s">
        <v>72</v>
      </c>
      <c r="AB66" s="220" t="s">
        <v>69</v>
      </c>
      <c r="AC66" s="168" t="s">
        <v>69</v>
      </c>
      <c r="AD66" s="328" t="s">
        <v>69</v>
      </c>
      <c r="AE66" s="329" t="s">
        <v>108</v>
      </c>
      <c r="AF66" s="169" t="s">
        <v>69</v>
      </c>
      <c r="AG66" s="134" t="s">
        <v>69</v>
      </c>
      <c r="AH66" s="171" t="s">
        <v>69</v>
      </c>
      <c r="AI66" s="171" t="s">
        <v>69</v>
      </c>
      <c r="AJ66" s="131" t="s">
        <v>72</v>
      </c>
    </row>
    <row r="67" spans="1:36" ht="18">
      <c r="A67" s="34">
        <v>66</v>
      </c>
      <c r="B67" s="261" t="s">
        <v>62</v>
      </c>
      <c r="C67" s="169">
        <v>3</v>
      </c>
      <c r="D67" s="169">
        <v>3</v>
      </c>
      <c r="E67" s="169">
        <f t="shared" ref="E67:E72" si="1">C67-D67</f>
        <v>0</v>
      </c>
      <c r="F67" s="134" t="s">
        <v>69</v>
      </c>
      <c r="G67" s="338" t="s">
        <v>111</v>
      </c>
      <c r="H67" s="134" t="s">
        <v>69</v>
      </c>
      <c r="I67" s="134" t="s">
        <v>69</v>
      </c>
      <c r="J67" s="175" t="s">
        <v>108</v>
      </c>
      <c r="K67" s="134" t="s">
        <v>69</v>
      </c>
      <c r="L67" s="134" t="s">
        <v>69</v>
      </c>
      <c r="M67" s="134" t="s">
        <v>69</v>
      </c>
      <c r="N67" s="674" t="s">
        <v>69</v>
      </c>
      <c r="O67" s="9" t="s">
        <v>69</v>
      </c>
      <c r="P67" s="207" t="s">
        <v>69</v>
      </c>
      <c r="Q67" s="175" t="s">
        <v>108</v>
      </c>
      <c r="R67" s="207" t="s">
        <v>69</v>
      </c>
      <c r="S67" s="207" t="s">
        <v>69</v>
      </c>
      <c r="T67" s="207" t="s">
        <v>69</v>
      </c>
      <c r="U67" s="207" t="s">
        <v>69</v>
      </c>
      <c r="V67" s="134" t="s">
        <v>69</v>
      </c>
      <c r="W67" s="134" t="s">
        <v>69</v>
      </c>
      <c r="X67" s="327" t="s">
        <v>108</v>
      </c>
      <c r="Y67" s="345" t="s">
        <v>111</v>
      </c>
      <c r="Z67" s="107" t="s">
        <v>111</v>
      </c>
      <c r="AA67" s="144" t="s">
        <v>72</v>
      </c>
      <c r="AB67" s="121" t="s">
        <v>72</v>
      </c>
      <c r="AC67" s="134" t="s">
        <v>69</v>
      </c>
      <c r="AD67" s="121" t="s">
        <v>72</v>
      </c>
      <c r="AE67" s="329" t="s">
        <v>108</v>
      </c>
      <c r="AF67" s="239" t="s">
        <v>69</v>
      </c>
      <c r="AG67" s="134" t="s">
        <v>69</v>
      </c>
      <c r="AH67" s="350" t="s">
        <v>69</v>
      </c>
      <c r="AI67" s="169" t="s">
        <v>69</v>
      </c>
      <c r="AJ67" s="170" t="s">
        <v>69</v>
      </c>
    </row>
    <row r="68" spans="1:36" ht="18">
      <c r="A68" s="365">
        <v>67</v>
      </c>
      <c r="B68" s="262" t="s">
        <v>171</v>
      </c>
      <c r="C68" s="229">
        <v>2</v>
      </c>
      <c r="D68" s="229">
        <v>2</v>
      </c>
      <c r="E68" s="229">
        <f t="shared" si="1"/>
        <v>0</v>
      </c>
      <c r="F68" s="288" t="s">
        <v>69</v>
      </c>
      <c r="G68" s="370" t="s">
        <v>111</v>
      </c>
      <c r="H68" s="288" t="s">
        <v>69</v>
      </c>
      <c r="I68" s="288" t="s">
        <v>69</v>
      </c>
      <c r="J68" s="347" t="s">
        <v>108</v>
      </c>
      <c r="K68" s="204" t="s">
        <v>72</v>
      </c>
      <c r="L68" s="199" t="s">
        <v>69</v>
      </c>
      <c r="M68" s="199" t="s">
        <v>69</v>
      </c>
      <c r="N68" s="199" t="s">
        <v>69</v>
      </c>
      <c r="O68" s="272" t="s">
        <v>69</v>
      </c>
      <c r="P68" s="199" t="s">
        <v>69</v>
      </c>
      <c r="Q68" s="347" t="s">
        <v>108</v>
      </c>
      <c r="R68" s="271" t="s">
        <v>72</v>
      </c>
      <c r="S68" s="116" t="s">
        <v>69</v>
      </c>
      <c r="T68" s="199" t="s">
        <v>69</v>
      </c>
      <c r="U68" s="199" t="s">
        <v>69</v>
      </c>
      <c r="V68" s="199" t="s">
        <v>69</v>
      </c>
      <c r="W68" s="199" t="s">
        <v>69</v>
      </c>
      <c r="X68" s="371" t="s">
        <v>108</v>
      </c>
      <c r="Y68" s="370" t="s">
        <v>111</v>
      </c>
      <c r="Z68" s="349" t="s">
        <v>69</v>
      </c>
      <c r="AA68" s="333" t="s">
        <v>69</v>
      </c>
      <c r="AB68" s="220" t="s">
        <v>69</v>
      </c>
      <c r="AC68" s="220" t="s">
        <v>69</v>
      </c>
      <c r="AD68" s="349" t="s">
        <v>69</v>
      </c>
      <c r="AE68" s="348" t="s">
        <v>108</v>
      </c>
      <c r="AF68" s="212" t="s">
        <v>69</v>
      </c>
      <c r="AG68" s="199" t="s">
        <v>69</v>
      </c>
      <c r="AH68" s="372" t="s">
        <v>69</v>
      </c>
      <c r="AI68" s="245" t="s">
        <v>69</v>
      </c>
      <c r="AJ68" s="170" t="s">
        <v>69</v>
      </c>
    </row>
    <row r="69" spans="1:36" ht="18">
      <c r="A69" s="34">
        <v>68</v>
      </c>
      <c r="B69" s="261" t="s">
        <v>213</v>
      </c>
      <c r="C69" s="168">
        <v>6</v>
      </c>
      <c r="D69" s="168">
        <v>0</v>
      </c>
      <c r="E69" s="168">
        <f t="shared" si="1"/>
        <v>6</v>
      </c>
      <c r="F69" s="194"/>
      <c r="G69" s="168"/>
      <c r="H69" s="168"/>
      <c r="I69" s="168"/>
      <c r="J69" s="329" t="s">
        <v>108</v>
      </c>
      <c r="K69" s="168" t="s">
        <v>69</v>
      </c>
      <c r="L69" s="134" t="s">
        <v>69</v>
      </c>
      <c r="M69" s="134" t="s">
        <v>69</v>
      </c>
      <c r="N69" s="168" t="s">
        <v>69</v>
      </c>
      <c r="O69" s="134" t="s">
        <v>69</v>
      </c>
      <c r="P69" s="205" t="s">
        <v>69</v>
      </c>
      <c r="Q69" s="175" t="s">
        <v>108</v>
      </c>
      <c r="R69" s="134" t="s">
        <v>69</v>
      </c>
      <c r="S69" s="134" t="s">
        <v>69</v>
      </c>
      <c r="T69" s="134" t="s">
        <v>69</v>
      </c>
      <c r="U69" s="168" t="s">
        <v>69</v>
      </c>
      <c r="V69" s="168" t="s">
        <v>70</v>
      </c>
      <c r="W69" s="168" t="s">
        <v>69</v>
      </c>
      <c r="X69" s="327" t="s">
        <v>108</v>
      </c>
      <c r="Y69" s="338" t="s">
        <v>111</v>
      </c>
      <c r="Z69" s="168" t="s">
        <v>111</v>
      </c>
      <c r="AA69" s="121" t="s">
        <v>72</v>
      </c>
      <c r="AB69" s="168" t="s">
        <v>69</v>
      </c>
      <c r="AC69" s="168" t="s">
        <v>69</v>
      </c>
      <c r="AD69" s="120" t="s">
        <v>69</v>
      </c>
      <c r="AE69" s="329" t="s">
        <v>108</v>
      </c>
      <c r="AF69" s="168" t="s">
        <v>69</v>
      </c>
      <c r="AG69" s="134" t="s">
        <v>69</v>
      </c>
      <c r="AH69" s="170" t="s">
        <v>69</v>
      </c>
      <c r="AI69" s="195" t="s">
        <v>69</v>
      </c>
      <c r="AJ69" s="170" t="s">
        <v>69</v>
      </c>
    </row>
    <row r="70" spans="1:36" ht="18">
      <c r="A70" s="34">
        <v>69</v>
      </c>
      <c r="B70" s="261" t="s">
        <v>214</v>
      </c>
      <c r="C70" s="168">
        <v>14</v>
      </c>
      <c r="D70" s="168">
        <v>0</v>
      </c>
      <c r="E70" s="168">
        <f t="shared" si="1"/>
        <v>14</v>
      </c>
      <c r="F70" s="174"/>
      <c r="G70" s="121"/>
      <c r="H70" s="121"/>
      <c r="I70" s="121"/>
      <c r="J70" s="329" t="s">
        <v>108</v>
      </c>
      <c r="K70" s="121"/>
      <c r="L70" s="134"/>
      <c r="M70" s="134"/>
      <c r="N70" s="134"/>
      <c r="O70" s="121"/>
      <c r="P70" s="134"/>
      <c r="Q70" s="329" t="s">
        <v>108</v>
      </c>
      <c r="R70" s="121"/>
      <c r="S70" s="121"/>
      <c r="T70" s="168" t="s">
        <v>69</v>
      </c>
      <c r="U70" s="134" t="s">
        <v>69</v>
      </c>
      <c r="V70" s="168" t="s">
        <v>69</v>
      </c>
      <c r="W70" s="168" t="s">
        <v>69</v>
      </c>
      <c r="X70" s="327" t="s">
        <v>108</v>
      </c>
      <c r="Y70" s="338" t="s">
        <v>111</v>
      </c>
      <c r="Z70" s="338" t="s">
        <v>111</v>
      </c>
      <c r="AA70" s="134" t="s">
        <v>69</v>
      </c>
      <c r="AB70" s="134" t="s">
        <v>69</v>
      </c>
      <c r="AC70" s="168" t="s">
        <v>69</v>
      </c>
      <c r="AD70" s="120" t="s">
        <v>69</v>
      </c>
      <c r="AE70" s="329" t="s">
        <v>108</v>
      </c>
      <c r="AF70" s="168" t="s">
        <v>69</v>
      </c>
      <c r="AG70" s="134" t="s">
        <v>69</v>
      </c>
      <c r="AH70" s="170" t="s">
        <v>69</v>
      </c>
      <c r="AI70" s="344" t="s">
        <v>69</v>
      </c>
      <c r="AJ70" s="170" t="s">
        <v>69</v>
      </c>
    </row>
    <row r="71" spans="1:36" ht="18">
      <c r="A71" s="34">
        <v>70</v>
      </c>
      <c r="B71" s="261" t="s">
        <v>215</v>
      </c>
      <c r="C71" s="168">
        <v>22</v>
      </c>
      <c r="D71" s="168">
        <v>0</v>
      </c>
      <c r="E71" s="168">
        <f t="shared" si="1"/>
        <v>22</v>
      </c>
      <c r="F71" s="194"/>
      <c r="G71" s="131"/>
      <c r="H71" s="131"/>
      <c r="I71" s="131"/>
      <c r="J71" s="329" t="s">
        <v>108</v>
      </c>
      <c r="K71" s="131"/>
      <c r="L71" s="131"/>
      <c r="M71" s="175"/>
      <c r="N71" s="131"/>
      <c r="O71" s="131"/>
      <c r="P71" s="131"/>
      <c r="Q71" s="329" t="s">
        <v>108</v>
      </c>
      <c r="R71" s="131"/>
      <c r="S71" s="131"/>
      <c r="T71" s="175"/>
      <c r="U71" s="168"/>
      <c r="V71" s="168"/>
      <c r="W71" s="168"/>
      <c r="X71" s="329" t="s">
        <v>108</v>
      </c>
      <c r="Y71" s="338" t="s">
        <v>111</v>
      </c>
      <c r="Z71" s="168"/>
      <c r="AA71" s="175"/>
      <c r="AB71" s="134" t="s">
        <v>69</v>
      </c>
      <c r="AC71" s="168" t="s">
        <v>69</v>
      </c>
      <c r="AD71" s="120" t="s">
        <v>69</v>
      </c>
      <c r="AE71" s="329" t="s">
        <v>108</v>
      </c>
      <c r="AF71" s="134" t="s">
        <v>69</v>
      </c>
      <c r="AG71" s="134" t="s">
        <v>69</v>
      </c>
      <c r="AH71" s="170" t="s">
        <v>69</v>
      </c>
      <c r="AI71" s="344" t="s">
        <v>69</v>
      </c>
      <c r="AJ71" s="170" t="s">
        <v>69</v>
      </c>
    </row>
    <row r="72" spans="1:36" ht="18">
      <c r="A72" s="34">
        <v>71</v>
      </c>
      <c r="B72" s="363" t="s">
        <v>216</v>
      </c>
      <c r="C72" s="168"/>
      <c r="D72" s="168"/>
      <c r="E72" s="168">
        <f t="shared" si="1"/>
        <v>0</v>
      </c>
      <c r="F72" s="194"/>
      <c r="G72" s="131"/>
      <c r="H72" s="131"/>
      <c r="I72" s="131"/>
      <c r="J72" s="329" t="s">
        <v>108</v>
      </c>
      <c r="K72" s="131"/>
      <c r="L72" s="131"/>
      <c r="M72" s="175"/>
      <c r="N72" s="131"/>
      <c r="O72" s="131"/>
      <c r="P72" s="131"/>
      <c r="Q72" s="329" t="s">
        <v>108</v>
      </c>
      <c r="R72" s="131"/>
      <c r="S72" s="131"/>
      <c r="T72" s="175"/>
      <c r="U72" s="168"/>
      <c r="V72" s="168"/>
      <c r="W72" s="168"/>
      <c r="X72" s="329" t="s">
        <v>108</v>
      </c>
      <c r="Y72" s="168"/>
      <c r="Z72" s="168"/>
      <c r="AA72" s="175"/>
      <c r="AB72" s="132"/>
      <c r="AC72" s="168"/>
      <c r="AD72" s="120" t="s">
        <v>69</v>
      </c>
      <c r="AE72" s="329" t="s">
        <v>108</v>
      </c>
      <c r="AF72" s="134" t="s">
        <v>69</v>
      </c>
      <c r="AG72" s="134" t="s">
        <v>69</v>
      </c>
      <c r="AH72" s="121" t="s">
        <v>76</v>
      </c>
      <c r="AI72" s="188" t="s">
        <v>76</v>
      </c>
      <c r="AJ72" s="121" t="s">
        <v>76</v>
      </c>
    </row>
    <row r="73" spans="1:36" ht="18">
      <c r="A73" s="34">
        <v>71</v>
      </c>
      <c r="B73" s="261" t="s">
        <v>217</v>
      </c>
      <c r="C73" s="220">
        <v>22</v>
      </c>
      <c r="D73" s="220">
        <v>0</v>
      </c>
      <c r="E73" s="220">
        <f>C73-D73</f>
        <v>22</v>
      </c>
      <c r="F73" s="375"/>
      <c r="G73" s="142"/>
      <c r="H73" s="142"/>
      <c r="I73" s="142"/>
      <c r="J73" s="329" t="s">
        <v>108</v>
      </c>
      <c r="K73" s="142"/>
      <c r="L73" s="142"/>
      <c r="M73" s="347"/>
      <c r="N73" s="142"/>
      <c r="O73" s="142"/>
      <c r="P73" s="142"/>
      <c r="Q73" s="329" t="s">
        <v>108</v>
      </c>
      <c r="R73" s="142"/>
      <c r="S73" s="142"/>
      <c r="T73" s="347"/>
      <c r="U73" s="220"/>
      <c r="V73" s="220"/>
      <c r="W73" s="220"/>
      <c r="X73" s="329" t="s">
        <v>108</v>
      </c>
      <c r="Y73" s="220"/>
      <c r="Z73" s="220"/>
      <c r="AA73" s="347"/>
      <c r="AB73" s="199" t="s">
        <v>69</v>
      </c>
      <c r="AC73" s="220" t="s">
        <v>69</v>
      </c>
      <c r="AD73" s="157" t="s">
        <v>69</v>
      </c>
      <c r="AE73" s="329" t="s">
        <v>108</v>
      </c>
      <c r="AF73" s="199" t="s">
        <v>69</v>
      </c>
      <c r="AG73" s="199" t="s">
        <v>69</v>
      </c>
      <c r="AH73" s="376" t="s">
        <v>69</v>
      </c>
      <c r="AI73" s="377" t="s">
        <v>69</v>
      </c>
      <c r="AJ73" s="199" t="s">
        <v>69</v>
      </c>
    </row>
    <row r="74" spans="1:36" ht="18">
      <c r="A74" s="373">
        <v>72</v>
      </c>
      <c r="B74" s="374" t="s">
        <v>218</v>
      </c>
      <c r="C74" s="168">
        <v>26</v>
      </c>
      <c r="D74" s="168">
        <v>0</v>
      </c>
      <c r="E74" s="168">
        <v>26</v>
      </c>
      <c r="F74" s="194"/>
      <c r="G74" s="131"/>
      <c r="H74" s="131"/>
      <c r="I74" s="131"/>
      <c r="J74" s="329" t="s">
        <v>108</v>
      </c>
      <c r="K74" s="131"/>
      <c r="L74" s="131"/>
      <c r="M74" s="175"/>
      <c r="N74" s="131"/>
      <c r="O74" s="131"/>
      <c r="P74" s="131"/>
      <c r="Q74" s="329" t="s">
        <v>108</v>
      </c>
      <c r="R74" s="131"/>
      <c r="S74" s="131"/>
      <c r="T74" s="175"/>
      <c r="U74" s="168"/>
      <c r="V74" s="168"/>
      <c r="W74" s="168"/>
      <c r="X74" s="329" t="s">
        <v>108</v>
      </c>
      <c r="Y74" s="168"/>
      <c r="Z74" s="168"/>
      <c r="AA74" s="175"/>
      <c r="AB74" s="134"/>
      <c r="AC74" s="168"/>
      <c r="AD74" s="120"/>
      <c r="AE74" s="329" t="s">
        <v>108</v>
      </c>
      <c r="AF74" s="134" t="s">
        <v>69</v>
      </c>
      <c r="AG74" s="134" t="s">
        <v>69</v>
      </c>
      <c r="AH74" s="170" t="s">
        <v>69</v>
      </c>
      <c r="AI74" s="134" t="s">
        <v>69</v>
      </c>
      <c r="AJ74" s="134" t="s">
        <v>69</v>
      </c>
    </row>
    <row r="75" spans="1:36">
      <c r="A75" s="31"/>
      <c r="B75" s="366" t="s">
        <v>125</v>
      </c>
      <c r="C75" s="31"/>
      <c r="D75" s="31"/>
      <c r="E75" s="335"/>
      <c r="F75" s="31"/>
      <c r="G75" s="31"/>
      <c r="H75" s="31"/>
      <c r="I75" s="31"/>
      <c r="J75" s="31"/>
      <c r="K75" s="31"/>
      <c r="L75" s="31"/>
      <c r="M75" s="31"/>
      <c r="N75" s="31"/>
      <c r="P75" s="31"/>
      <c r="Q75" s="31"/>
      <c r="R75" s="31"/>
      <c r="S75" s="31"/>
      <c r="T75" s="31"/>
      <c r="U75" s="31"/>
      <c r="V75" s="31"/>
      <c r="W75" s="31"/>
      <c r="X75" s="31"/>
      <c r="Y75" s="31"/>
      <c r="Z75" s="31"/>
      <c r="AA75" s="31"/>
      <c r="AB75" s="31"/>
      <c r="AC75" s="31"/>
      <c r="AD75" s="31"/>
      <c r="AE75" s="31"/>
      <c r="AF75" s="31"/>
      <c r="AG75" s="31"/>
      <c r="AH75" s="31"/>
      <c r="AI75" s="31"/>
      <c r="AJ75" s="31"/>
    </row>
    <row r="76" spans="1:36">
      <c r="A76" s="31"/>
      <c r="B76" s="366" t="s">
        <v>126</v>
      </c>
      <c r="C76" s="31"/>
      <c r="D76" s="31"/>
      <c r="E76" s="335"/>
      <c r="F76" s="31"/>
      <c r="G76" s="31"/>
      <c r="H76" s="31"/>
      <c r="I76" s="31"/>
      <c r="J76" s="31"/>
      <c r="K76" s="31"/>
      <c r="L76" s="31"/>
      <c r="M76" s="31"/>
      <c r="N76" s="31"/>
      <c r="P76" s="31"/>
      <c r="Q76" s="31"/>
      <c r="R76" s="31"/>
      <c r="S76" s="31"/>
      <c r="T76" s="31"/>
      <c r="U76" s="31"/>
      <c r="V76" s="31"/>
      <c r="W76" s="31"/>
      <c r="X76" s="31"/>
      <c r="Y76" s="31"/>
      <c r="Z76" s="31"/>
      <c r="AA76" s="31"/>
      <c r="AB76" s="31"/>
      <c r="AC76" s="31"/>
      <c r="AD76" s="31"/>
      <c r="AE76" s="31"/>
      <c r="AF76" s="31"/>
      <c r="AG76" s="31"/>
      <c r="AH76" s="31"/>
      <c r="AI76" s="31"/>
      <c r="AJ76" s="31"/>
    </row>
    <row r="77" spans="1:36">
      <c r="A77" s="31"/>
      <c r="B77" s="367" t="s">
        <v>127</v>
      </c>
      <c r="C77" s="31"/>
      <c r="D77" s="31"/>
      <c r="E77" s="335"/>
      <c r="F77" s="31"/>
      <c r="G77" s="31"/>
      <c r="H77" s="31"/>
      <c r="I77" s="31"/>
      <c r="J77" s="31"/>
      <c r="K77" s="31"/>
      <c r="L77" s="31"/>
      <c r="M77" s="31"/>
      <c r="N77" s="31"/>
      <c r="P77" s="31"/>
      <c r="Q77" s="31"/>
      <c r="R77" s="31"/>
      <c r="S77" s="31"/>
      <c r="T77" s="31"/>
      <c r="U77" s="31"/>
      <c r="V77" s="31"/>
      <c r="W77" s="31"/>
      <c r="X77" s="31"/>
      <c r="Y77" s="31"/>
      <c r="Z77" s="31"/>
      <c r="AA77" s="31"/>
      <c r="AB77" s="31"/>
      <c r="AC77" s="31"/>
      <c r="AD77" s="31"/>
      <c r="AE77" s="31"/>
      <c r="AF77" s="31"/>
      <c r="AG77" s="31"/>
      <c r="AH77" s="31"/>
      <c r="AI77" s="31"/>
      <c r="AJ77" s="31"/>
    </row>
    <row r="78" spans="1:36">
      <c r="A78" s="31"/>
      <c r="B78" s="367" t="s">
        <v>128</v>
      </c>
      <c r="C78" s="31"/>
      <c r="D78" s="31"/>
      <c r="E78" s="335"/>
      <c r="F78" s="31"/>
      <c r="G78" s="31"/>
      <c r="H78" s="31"/>
      <c r="I78" s="368"/>
      <c r="J78" s="31"/>
      <c r="K78" s="31"/>
      <c r="L78" s="31"/>
      <c r="M78" s="31"/>
      <c r="N78" s="31"/>
      <c r="P78" s="31"/>
      <c r="Q78" s="31"/>
      <c r="R78" s="31"/>
      <c r="S78" s="31"/>
      <c r="T78" s="31"/>
      <c r="U78" s="31"/>
      <c r="V78" s="31"/>
      <c r="W78" s="31"/>
      <c r="X78" s="31"/>
      <c r="Y78" s="31"/>
      <c r="Z78" s="31"/>
      <c r="AA78" s="31"/>
      <c r="AB78" s="31"/>
      <c r="AC78" s="31"/>
      <c r="AD78" s="31"/>
      <c r="AE78" s="31"/>
      <c r="AF78" s="31"/>
      <c r="AG78" s="31"/>
      <c r="AH78" s="31"/>
      <c r="AI78" s="31"/>
      <c r="AJ78" s="31"/>
    </row>
    <row r="79" spans="1:36">
      <c r="A79" s="31"/>
      <c r="B79" s="367" t="s">
        <v>129</v>
      </c>
      <c r="C79" s="31"/>
      <c r="D79" s="31"/>
      <c r="E79" s="335"/>
      <c r="F79" s="31"/>
      <c r="G79" s="31"/>
      <c r="H79" s="31"/>
      <c r="I79" s="31"/>
      <c r="J79" s="31"/>
      <c r="K79" s="31"/>
      <c r="L79" s="31"/>
      <c r="M79" s="31"/>
      <c r="N79" s="31"/>
      <c r="P79" s="31"/>
      <c r="Q79" s="31"/>
      <c r="R79" s="31"/>
      <c r="S79" s="31"/>
      <c r="T79" s="31"/>
      <c r="U79" s="31"/>
      <c r="V79" s="31"/>
      <c r="W79" s="31"/>
      <c r="X79" s="31"/>
      <c r="Y79" s="31"/>
      <c r="Z79" s="31"/>
      <c r="AA79" s="31"/>
      <c r="AB79" s="31"/>
      <c r="AC79" s="31"/>
      <c r="AD79" s="31"/>
      <c r="AE79" s="31"/>
      <c r="AF79" s="31"/>
      <c r="AG79" s="31"/>
      <c r="AH79" s="31"/>
      <c r="AI79" s="31"/>
      <c r="AJ79" s="31"/>
    </row>
    <row r="80" spans="1:36">
      <c r="A80" s="31"/>
      <c r="B80" s="367" t="s">
        <v>130</v>
      </c>
      <c r="C80" s="31"/>
      <c r="D80" s="31"/>
      <c r="E80" s="335"/>
      <c r="F80" s="31"/>
      <c r="G80" s="31"/>
      <c r="H80" s="31"/>
      <c r="I80" s="31"/>
      <c r="J80" s="31"/>
      <c r="K80" s="31"/>
      <c r="L80" s="31"/>
      <c r="M80" s="31"/>
      <c r="N80" s="31"/>
      <c r="P80" s="31"/>
      <c r="Q80" s="31"/>
      <c r="R80" s="31"/>
      <c r="S80" s="31"/>
      <c r="T80" s="31"/>
      <c r="U80" s="31"/>
      <c r="V80" s="31"/>
      <c r="W80" s="31"/>
      <c r="X80" s="31"/>
      <c r="Y80" s="31"/>
      <c r="Z80" s="31"/>
      <c r="AA80" s="31"/>
      <c r="AB80" s="31"/>
      <c r="AC80" s="31"/>
      <c r="AD80" s="31"/>
      <c r="AE80" s="31"/>
      <c r="AF80" s="31"/>
      <c r="AG80" s="31"/>
      <c r="AH80" s="31"/>
      <c r="AI80" s="31"/>
      <c r="AJ80" s="31"/>
    </row>
    <row r="81" spans="1:36">
      <c r="A81" s="31"/>
      <c r="B81" s="367" t="s">
        <v>131</v>
      </c>
      <c r="C81" s="31"/>
      <c r="D81" s="31"/>
      <c r="E81" s="335"/>
      <c r="F81" s="31"/>
      <c r="G81" s="31"/>
      <c r="H81" s="31"/>
      <c r="I81" s="31"/>
      <c r="J81" s="31"/>
      <c r="K81" s="31"/>
      <c r="L81" s="31"/>
      <c r="M81" s="31"/>
      <c r="N81" s="31"/>
      <c r="P81" s="31"/>
      <c r="Q81" s="31"/>
      <c r="R81" s="31"/>
      <c r="S81" s="31"/>
      <c r="T81" s="31"/>
      <c r="U81" s="31"/>
      <c r="V81" s="31"/>
      <c r="W81" s="31"/>
      <c r="X81" s="31"/>
      <c r="Y81" s="31"/>
      <c r="Z81" s="31"/>
      <c r="AA81" s="31"/>
      <c r="AB81" s="31"/>
      <c r="AC81" s="31"/>
      <c r="AD81" s="31"/>
      <c r="AE81" s="31"/>
      <c r="AF81" s="31"/>
      <c r="AG81" s="31"/>
      <c r="AH81" s="31"/>
      <c r="AI81" s="31"/>
      <c r="AJ81" s="31"/>
    </row>
    <row r="82" spans="1:36">
      <c r="A82" s="31"/>
      <c r="B82" s="367" t="s">
        <v>132</v>
      </c>
      <c r="C82" s="31"/>
      <c r="D82" s="31"/>
      <c r="E82" s="335"/>
      <c r="F82" s="31"/>
      <c r="G82" s="31"/>
      <c r="H82" s="31"/>
      <c r="I82" s="31"/>
      <c r="J82" s="31"/>
      <c r="K82" s="31"/>
      <c r="L82" s="31"/>
      <c r="M82" s="31"/>
      <c r="N82" s="31"/>
      <c r="P82" s="31"/>
      <c r="Q82" s="31"/>
      <c r="R82" s="31"/>
      <c r="S82" s="31"/>
      <c r="T82" s="31"/>
      <c r="U82" s="31"/>
      <c r="V82" s="31"/>
      <c r="W82" s="31"/>
      <c r="X82" s="31"/>
      <c r="Y82" s="31"/>
      <c r="Z82" s="31"/>
      <c r="AA82" s="31"/>
      <c r="AB82" s="31"/>
      <c r="AC82" s="31"/>
      <c r="AD82" s="31"/>
      <c r="AE82" s="31"/>
      <c r="AF82" s="31"/>
      <c r="AG82" s="31"/>
      <c r="AH82" s="31"/>
      <c r="AI82" s="31"/>
      <c r="AJ82" s="31"/>
    </row>
    <row r="83" spans="1:36">
      <c r="A83" s="31"/>
      <c r="B83" s="31" t="s">
        <v>206</v>
      </c>
      <c r="C83" s="31"/>
      <c r="D83" s="31"/>
      <c r="E83" s="335"/>
      <c r="F83" s="31"/>
      <c r="G83" s="31"/>
      <c r="H83" s="31"/>
      <c r="I83" s="31"/>
      <c r="J83" s="31"/>
      <c r="K83" s="31"/>
      <c r="L83" s="31"/>
      <c r="M83" s="31"/>
      <c r="N83" s="31"/>
      <c r="P83" s="31"/>
      <c r="Q83" s="31"/>
      <c r="R83" s="31"/>
      <c r="S83" s="31"/>
      <c r="T83" s="31"/>
      <c r="U83" s="31"/>
      <c r="V83" s="31"/>
      <c r="W83" s="31"/>
      <c r="X83" s="31"/>
      <c r="Y83" s="31"/>
      <c r="Z83" s="31"/>
      <c r="AA83" s="31"/>
      <c r="AB83" s="31"/>
      <c r="AC83" s="31"/>
      <c r="AD83" s="31"/>
      <c r="AE83" s="31"/>
      <c r="AF83" s="31"/>
      <c r="AG83" s="31"/>
      <c r="AH83" s="31"/>
      <c r="AI83" s="31"/>
      <c r="AJ83" s="31"/>
    </row>
  </sheetData>
  <autoFilter ref="A1:AJ83" xr:uid="{CA709C68-BFD1-40BF-9EC9-123F511F3A77}"/>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2916-AB15-479E-9B2C-4899DB202470}">
  <dimension ref="A1:AU92"/>
  <sheetViews>
    <sheetView workbookViewId="0">
      <pane xSplit="2" ySplit="1" topLeftCell="C55" activePane="bottomRight" state="frozen"/>
      <selection pane="topRight"/>
      <selection pane="bottomLeft"/>
      <selection pane="bottomRight" activeCell="B70" sqref="B70"/>
    </sheetView>
  </sheetViews>
  <sheetFormatPr defaultRowHeight="14.25"/>
  <cols>
    <col min="2" max="2" width="28.265625" customWidth="1"/>
  </cols>
  <sheetData>
    <row r="1" spans="1:47" ht="18">
      <c r="A1" s="29" t="s">
        <v>64</v>
      </c>
      <c r="B1" s="29" t="s">
        <v>65</v>
      </c>
      <c r="C1" s="336" t="s">
        <v>68</v>
      </c>
      <c r="D1" s="336" t="s">
        <v>66</v>
      </c>
      <c r="E1" s="336" t="s">
        <v>67</v>
      </c>
      <c r="F1" s="165">
        <v>1</v>
      </c>
      <c r="G1" s="165">
        <v>2</v>
      </c>
      <c r="H1" s="165">
        <v>3</v>
      </c>
      <c r="I1" s="165">
        <v>4</v>
      </c>
      <c r="J1" s="165">
        <v>5</v>
      </c>
      <c r="K1" s="165">
        <v>6</v>
      </c>
      <c r="L1" s="165">
        <v>7</v>
      </c>
      <c r="M1" s="122">
        <v>8</v>
      </c>
      <c r="N1" s="165">
        <v>9</v>
      </c>
      <c r="O1" s="165">
        <v>10</v>
      </c>
      <c r="P1" s="165">
        <v>11</v>
      </c>
      <c r="Q1" s="165">
        <v>12</v>
      </c>
      <c r="R1" s="165">
        <v>13</v>
      </c>
      <c r="S1" s="165">
        <v>14</v>
      </c>
      <c r="T1" s="165">
        <v>15</v>
      </c>
      <c r="U1" s="165">
        <v>16</v>
      </c>
      <c r="V1" s="165">
        <v>17</v>
      </c>
      <c r="W1" s="165">
        <v>18</v>
      </c>
      <c r="X1" s="165">
        <v>19</v>
      </c>
      <c r="Y1" s="165">
        <v>20</v>
      </c>
      <c r="Z1" s="165">
        <v>21</v>
      </c>
      <c r="AA1" s="165">
        <v>22</v>
      </c>
      <c r="AB1" s="165">
        <v>23</v>
      </c>
      <c r="AC1" s="165">
        <v>24</v>
      </c>
      <c r="AD1" s="165">
        <v>25</v>
      </c>
      <c r="AE1" s="165">
        <v>26</v>
      </c>
      <c r="AF1" s="165">
        <v>27</v>
      </c>
      <c r="AG1" s="165">
        <v>28</v>
      </c>
      <c r="AH1" s="166">
        <v>29</v>
      </c>
      <c r="AI1" s="360">
        <v>30</v>
      </c>
    </row>
    <row r="2" spans="1:47" ht="18">
      <c r="A2" s="5">
        <v>1</v>
      </c>
      <c r="B2" s="254" t="s">
        <v>6</v>
      </c>
      <c r="C2" s="7">
        <v>2</v>
      </c>
      <c r="D2" s="7">
        <v>2</v>
      </c>
      <c r="E2" s="7">
        <f>C2-D2</f>
        <v>0</v>
      </c>
      <c r="F2" s="131" t="s">
        <v>72</v>
      </c>
      <c r="G2" s="361" t="s">
        <v>108</v>
      </c>
      <c r="H2" s="120" t="s">
        <v>69</v>
      </c>
      <c r="I2" s="120" t="s">
        <v>69</v>
      </c>
      <c r="J2" s="120" t="s">
        <v>69</v>
      </c>
      <c r="K2" s="120" t="s">
        <v>69</v>
      </c>
      <c r="L2" s="120" t="s">
        <v>69</v>
      </c>
      <c r="M2" s="120" t="s">
        <v>69</v>
      </c>
      <c r="N2" s="361" t="s">
        <v>108</v>
      </c>
      <c r="O2" s="120" t="s">
        <v>69</v>
      </c>
      <c r="P2" s="120" t="s">
        <v>69</v>
      </c>
      <c r="Q2" s="120" t="s">
        <v>69</v>
      </c>
      <c r="R2" s="120" t="s">
        <v>69</v>
      </c>
      <c r="S2" s="120" t="s">
        <v>69</v>
      </c>
      <c r="T2" s="120" t="s">
        <v>69</v>
      </c>
      <c r="U2" s="361" t="s">
        <v>108</v>
      </c>
      <c r="V2" s="120" t="s">
        <v>69</v>
      </c>
      <c r="W2" s="120" t="s">
        <v>69</v>
      </c>
      <c r="X2" s="120" t="s">
        <v>69</v>
      </c>
      <c r="Y2" s="120" t="s">
        <v>69</v>
      </c>
      <c r="Z2" s="120" t="s">
        <v>69</v>
      </c>
      <c r="AA2" s="131" t="s">
        <v>72</v>
      </c>
      <c r="AB2" s="361" t="s">
        <v>108</v>
      </c>
      <c r="AC2" s="120" t="s">
        <v>69</v>
      </c>
      <c r="AD2" s="120" t="s">
        <v>69</v>
      </c>
      <c r="AE2" s="120" t="s">
        <v>69</v>
      </c>
      <c r="AF2" s="120" t="s">
        <v>69</v>
      </c>
      <c r="AG2" s="120" t="s">
        <v>69</v>
      </c>
      <c r="AH2" s="120" t="s">
        <v>69</v>
      </c>
      <c r="AI2" s="361" t="s">
        <v>108</v>
      </c>
      <c r="AJ2" s="296"/>
      <c r="AK2" s="296"/>
      <c r="AL2" s="296"/>
      <c r="AM2" s="296"/>
      <c r="AN2" s="296"/>
      <c r="AO2" s="296"/>
      <c r="AP2" s="296"/>
      <c r="AQ2" s="296"/>
      <c r="AR2" s="296"/>
      <c r="AS2" s="296"/>
      <c r="AT2" s="296"/>
      <c r="AU2" s="296"/>
    </row>
    <row r="3" spans="1:47" ht="18">
      <c r="A3" s="5">
        <v>2</v>
      </c>
      <c r="B3" s="254" t="s">
        <v>7</v>
      </c>
      <c r="C3" s="7">
        <v>4</v>
      </c>
      <c r="D3" s="7">
        <v>4</v>
      </c>
      <c r="E3" s="7">
        <f t="shared" ref="E3:E66" si="0">C3-D3</f>
        <v>0</v>
      </c>
      <c r="F3" s="120" t="s">
        <v>69</v>
      </c>
      <c r="G3" s="361" t="s">
        <v>108</v>
      </c>
      <c r="H3" s="131" t="s">
        <v>72</v>
      </c>
      <c r="I3" s="131" t="s">
        <v>72</v>
      </c>
      <c r="J3" s="131" t="s">
        <v>72</v>
      </c>
      <c r="K3" s="120" t="s">
        <v>70</v>
      </c>
      <c r="L3" s="120" t="s">
        <v>69</v>
      </c>
      <c r="M3" s="131" t="s">
        <v>72</v>
      </c>
      <c r="N3" s="361" t="s">
        <v>108</v>
      </c>
      <c r="O3" s="120" t="s">
        <v>69</v>
      </c>
      <c r="P3" s="120" t="s">
        <v>69</v>
      </c>
      <c r="Q3" s="120" t="s">
        <v>69</v>
      </c>
      <c r="R3" s="120" t="s">
        <v>69</v>
      </c>
      <c r="S3" s="120" t="s">
        <v>69</v>
      </c>
      <c r="T3" s="120" t="s">
        <v>69</v>
      </c>
      <c r="U3" s="361" t="s">
        <v>108</v>
      </c>
      <c r="V3" s="120" t="s">
        <v>69</v>
      </c>
      <c r="W3" s="120" t="s">
        <v>69</v>
      </c>
      <c r="X3" s="120" t="s">
        <v>69</v>
      </c>
      <c r="Y3" s="120" t="s">
        <v>69</v>
      </c>
      <c r="Z3" s="120" t="s">
        <v>69</v>
      </c>
      <c r="AA3" s="120" t="s">
        <v>69</v>
      </c>
      <c r="AB3" s="361" t="s">
        <v>108</v>
      </c>
      <c r="AC3" s="120" t="s">
        <v>69</v>
      </c>
      <c r="AD3" s="120" t="s">
        <v>69</v>
      </c>
      <c r="AE3" s="120" t="s">
        <v>69</v>
      </c>
      <c r="AF3" s="120" t="s">
        <v>69</v>
      </c>
      <c r="AG3" s="120" t="s">
        <v>69</v>
      </c>
      <c r="AH3" s="120" t="s">
        <v>69</v>
      </c>
      <c r="AI3" s="361" t="s">
        <v>108</v>
      </c>
      <c r="AJ3" s="296"/>
      <c r="AK3" s="296"/>
      <c r="AL3" s="296"/>
      <c r="AM3" s="296"/>
      <c r="AN3" s="296"/>
      <c r="AO3" s="296"/>
      <c r="AP3" s="296"/>
      <c r="AQ3" s="296"/>
      <c r="AR3" s="296"/>
      <c r="AS3" s="296"/>
      <c r="AT3" s="296"/>
      <c r="AU3" s="296"/>
    </row>
    <row r="4" spans="1:47" ht="18">
      <c r="A4" s="5">
        <v>3</v>
      </c>
      <c r="B4" s="254" t="s">
        <v>8</v>
      </c>
      <c r="C4" s="7">
        <v>0</v>
      </c>
      <c r="D4" s="7">
        <v>0</v>
      </c>
      <c r="E4" s="7">
        <f t="shared" si="0"/>
        <v>0</v>
      </c>
      <c r="F4" s="120" t="s">
        <v>69</v>
      </c>
      <c r="G4" s="361" t="s">
        <v>108</v>
      </c>
      <c r="H4" s="120" t="s">
        <v>69</v>
      </c>
      <c r="I4" s="120" t="s">
        <v>69</v>
      </c>
      <c r="J4" s="120" t="s">
        <v>69</v>
      </c>
      <c r="K4" s="120" t="s">
        <v>69</v>
      </c>
      <c r="L4" s="120" t="s">
        <v>69</v>
      </c>
      <c r="M4" s="120" t="s">
        <v>69</v>
      </c>
      <c r="N4" s="361" t="s">
        <v>108</v>
      </c>
      <c r="O4" s="120" t="s">
        <v>69</v>
      </c>
      <c r="P4" s="120" t="s">
        <v>69</v>
      </c>
      <c r="Q4" s="120" t="s">
        <v>69</v>
      </c>
      <c r="R4" s="120" t="s">
        <v>69</v>
      </c>
      <c r="S4" s="120" t="s">
        <v>69</v>
      </c>
      <c r="T4" s="120" t="s">
        <v>69</v>
      </c>
      <c r="U4" s="361" t="s">
        <v>108</v>
      </c>
      <c r="V4" s="120" t="s">
        <v>69</v>
      </c>
      <c r="W4" s="120" t="s">
        <v>69</v>
      </c>
      <c r="X4" s="120" t="s">
        <v>69</v>
      </c>
      <c r="Y4" s="120" t="s">
        <v>69</v>
      </c>
      <c r="Z4" s="120" t="s">
        <v>69</v>
      </c>
      <c r="AA4" s="120" t="s">
        <v>69</v>
      </c>
      <c r="AB4" s="361" t="s">
        <v>108</v>
      </c>
      <c r="AC4" s="120" t="s">
        <v>69</v>
      </c>
      <c r="AD4" s="120" t="s">
        <v>69</v>
      </c>
      <c r="AE4" s="120" t="s">
        <v>69</v>
      </c>
      <c r="AF4" s="120" t="s">
        <v>69</v>
      </c>
      <c r="AG4" s="120" t="s">
        <v>69</v>
      </c>
      <c r="AH4" s="120" t="s">
        <v>69</v>
      </c>
      <c r="AI4" s="361" t="s">
        <v>108</v>
      </c>
      <c r="AJ4" s="296"/>
      <c r="AK4" s="296"/>
      <c r="AL4" s="296"/>
      <c r="AM4" s="296"/>
      <c r="AN4" s="296"/>
      <c r="AO4" s="296"/>
      <c r="AP4" s="296"/>
      <c r="AQ4" s="296"/>
      <c r="AR4" s="296"/>
      <c r="AS4" s="296"/>
      <c r="AT4" s="296"/>
      <c r="AU4" s="296"/>
    </row>
    <row r="5" spans="1:47" ht="18">
      <c r="A5" s="5">
        <v>4</v>
      </c>
      <c r="B5" s="254" t="s">
        <v>11</v>
      </c>
      <c r="C5" s="7">
        <v>4</v>
      </c>
      <c r="D5" s="7">
        <v>4</v>
      </c>
      <c r="E5" s="7">
        <f t="shared" si="0"/>
        <v>0</v>
      </c>
      <c r="F5" s="120" t="s">
        <v>70</v>
      </c>
      <c r="G5" s="361" t="s">
        <v>108</v>
      </c>
      <c r="H5" s="131" t="s">
        <v>72</v>
      </c>
      <c r="I5" s="120" t="s">
        <v>69</v>
      </c>
      <c r="J5" s="120" t="s">
        <v>69</v>
      </c>
      <c r="K5" s="120" t="s">
        <v>69</v>
      </c>
      <c r="L5" s="131" t="s">
        <v>72</v>
      </c>
      <c r="M5" s="131" t="s">
        <v>72</v>
      </c>
      <c r="N5" s="361" t="s">
        <v>108</v>
      </c>
      <c r="O5" s="120" t="s">
        <v>69</v>
      </c>
      <c r="P5" s="120" t="s">
        <v>69</v>
      </c>
      <c r="Q5" s="120" t="s">
        <v>69</v>
      </c>
      <c r="R5" s="120" t="s">
        <v>69</v>
      </c>
      <c r="S5" s="120" t="s">
        <v>69</v>
      </c>
      <c r="T5" s="120" t="s">
        <v>69</v>
      </c>
      <c r="U5" s="361" t="s">
        <v>108</v>
      </c>
      <c r="V5" s="120" t="s">
        <v>69</v>
      </c>
      <c r="W5" s="120" t="s">
        <v>69</v>
      </c>
      <c r="X5" s="120" t="s">
        <v>69</v>
      </c>
      <c r="Y5" s="120" t="s">
        <v>69</v>
      </c>
      <c r="Z5" s="120" t="s">
        <v>69</v>
      </c>
      <c r="AA5" s="120" t="s">
        <v>69</v>
      </c>
      <c r="AB5" s="361" t="s">
        <v>108</v>
      </c>
      <c r="AC5" s="131" t="s">
        <v>72</v>
      </c>
      <c r="AD5" s="120" t="s">
        <v>69</v>
      </c>
      <c r="AE5" s="120" t="s">
        <v>69</v>
      </c>
      <c r="AF5" s="120" t="s">
        <v>69</v>
      </c>
      <c r="AG5" s="120" t="s">
        <v>69</v>
      </c>
      <c r="AH5" s="120" t="s">
        <v>69</v>
      </c>
      <c r="AI5" s="361" t="s">
        <v>108</v>
      </c>
      <c r="AJ5" s="296"/>
      <c r="AK5" s="296"/>
      <c r="AL5" s="296"/>
      <c r="AM5" s="296"/>
      <c r="AN5" s="296"/>
      <c r="AO5" s="296"/>
      <c r="AP5" s="296"/>
      <c r="AQ5" s="296"/>
      <c r="AR5" s="296"/>
      <c r="AS5" s="296"/>
      <c r="AT5" s="296"/>
      <c r="AU5" s="296"/>
    </row>
    <row r="6" spans="1:47" ht="18">
      <c r="A6" s="5">
        <v>5</v>
      </c>
      <c r="B6" s="254" t="s">
        <v>193</v>
      </c>
      <c r="C6" s="7">
        <v>0</v>
      </c>
      <c r="D6" s="7">
        <v>0</v>
      </c>
      <c r="E6" s="7">
        <f t="shared" si="0"/>
        <v>0</v>
      </c>
      <c r="F6" s="120" t="s">
        <v>69</v>
      </c>
      <c r="G6" s="361" t="s">
        <v>108</v>
      </c>
      <c r="H6" s="120" t="s">
        <v>69</v>
      </c>
      <c r="I6" s="120" t="s">
        <v>69</v>
      </c>
      <c r="J6" s="120" t="s">
        <v>69</v>
      </c>
      <c r="K6" s="120" t="s">
        <v>69</v>
      </c>
      <c r="L6" s="120" t="s">
        <v>69</v>
      </c>
      <c r="M6" s="120" t="s">
        <v>69</v>
      </c>
      <c r="N6" s="361" t="s">
        <v>108</v>
      </c>
      <c r="O6" s="120" t="s">
        <v>69</v>
      </c>
      <c r="P6" s="120" t="s">
        <v>70</v>
      </c>
      <c r="Q6" s="120" t="s">
        <v>69</v>
      </c>
      <c r="R6" s="120" t="s">
        <v>69</v>
      </c>
      <c r="S6" s="120" t="s">
        <v>69</v>
      </c>
      <c r="T6" s="120" t="s">
        <v>69</v>
      </c>
      <c r="U6" s="361" t="s">
        <v>108</v>
      </c>
      <c r="V6" s="119" t="s">
        <v>69</v>
      </c>
      <c r="W6" s="120" t="s">
        <v>69</v>
      </c>
      <c r="X6" s="120" t="s">
        <v>69</v>
      </c>
      <c r="Y6" s="120" t="s">
        <v>69</v>
      </c>
      <c r="Z6" s="120" t="s">
        <v>69</v>
      </c>
      <c r="AA6" s="120" t="s">
        <v>69</v>
      </c>
      <c r="AB6" s="361" t="s">
        <v>108</v>
      </c>
      <c r="AC6" s="120" t="s">
        <v>69</v>
      </c>
      <c r="AD6" s="120" t="s">
        <v>69</v>
      </c>
      <c r="AE6" s="120" t="s">
        <v>69</v>
      </c>
      <c r="AF6" s="120" t="s">
        <v>69</v>
      </c>
      <c r="AG6" s="120" t="s">
        <v>69</v>
      </c>
      <c r="AH6" s="120" t="s">
        <v>69</v>
      </c>
      <c r="AI6" s="361" t="s">
        <v>108</v>
      </c>
      <c r="AJ6" s="296"/>
      <c r="AK6" s="296"/>
      <c r="AL6" s="296"/>
      <c r="AM6" s="296"/>
      <c r="AN6" s="296"/>
      <c r="AO6" s="296"/>
      <c r="AP6" s="296"/>
      <c r="AQ6" s="296"/>
      <c r="AR6" s="296"/>
      <c r="AS6" s="296"/>
      <c r="AT6" s="296"/>
      <c r="AU6" s="296"/>
    </row>
    <row r="7" spans="1:47" ht="18">
      <c r="A7" s="5">
        <v>6</v>
      </c>
      <c r="B7" s="254" t="s">
        <v>137</v>
      </c>
      <c r="C7" s="7">
        <v>0</v>
      </c>
      <c r="D7" s="7">
        <v>0</v>
      </c>
      <c r="E7" s="7">
        <f t="shared" si="0"/>
        <v>0</v>
      </c>
      <c r="F7" s="120" t="s">
        <v>69</v>
      </c>
      <c r="G7" s="361" t="s">
        <v>108</v>
      </c>
      <c r="H7" s="120" t="s">
        <v>69</v>
      </c>
      <c r="I7" s="120" t="s">
        <v>69</v>
      </c>
      <c r="J7" s="120" t="s">
        <v>69</v>
      </c>
      <c r="K7" s="120" t="s">
        <v>69</v>
      </c>
      <c r="L7" s="120" t="s">
        <v>69</v>
      </c>
      <c r="M7" s="120" t="s">
        <v>69</v>
      </c>
      <c r="N7" s="361" t="s">
        <v>108</v>
      </c>
      <c r="O7" s="120" t="s">
        <v>69</v>
      </c>
      <c r="P7" s="120" t="s">
        <v>69</v>
      </c>
      <c r="Q7" s="120" t="s">
        <v>69</v>
      </c>
      <c r="R7" s="120" t="s">
        <v>69</v>
      </c>
      <c r="S7" s="120" t="s">
        <v>69</v>
      </c>
      <c r="T7" s="120" t="s">
        <v>69</v>
      </c>
      <c r="U7" s="361" t="s">
        <v>108</v>
      </c>
      <c r="V7" s="120" t="s">
        <v>69</v>
      </c>
      <c r="W7" s="120" t="s">
        <v>69</v>
      </c>
      <c r="X7" s="120" t="s">
        <v>69</v>
      </c>
      <c r="Y7" s="120" t="s">
        <v>69</v>
      </c>
      <c r="Z7" s="120" t="s">
        <v>69</v>
      </c>
      <c r="AA7" s="120" t="s">
        <v>69</v>
      </c>
      <c r="AB7" s="361" t="s">
        <v>108</v>
      </c>
      <c r="AC7" s="120" t="s">
        <v>69</v>
      </c>
      <c r="AD7" s="120" t="s">
        <v>69</v>
      </c>
      <c r="AE7" s="120" t="s">
        <v>69</v>
      </c>
      <c r="AF7" s="120" t="s">
        <v>69</v>
      </c>
      <c r="AG7" s="120" t="s">
        <v>69</v>
      </c>
      <c r="AH7" s="120" t="s">
        <v>69</v>
      </c>
      <c r="AI7" s="361" t="s">
        <v>108</v>
      </c>
      <c r="AJ7" s="296"/>
      <c r="AK7" s="296"/>
      <c r="AL7" s="296"/>
      <c r="AM7" s="296"/>
      <c r="AN7" s="296"/>
      <c r="AO7" s="296"/>
      <c r="AP7" s="296"/>
      <c r="AQ7" s="296"/>
      <c r="AR7" s="296"/>
      <c r="AS7" s="296"/>
      <c r="AT7" s="296"/>
      <c r="AU7" s="296"/>
    </row>
    <row r="8" spans="1:47" ht="18">
      <c r="A8" s="5">
        <v>7</v>
      </c>
      <c r="B8" s="254" t="s">
        <v>95</v>
      </c>
      <c r="C8" s="7">
        <v>1</v>
      </c>
      <c r="D8" s="7">
        <v>1</v>
      </c>
      <c r="E8" s="7">
        <f t="shared" si="0"/>
        <v>0</v>
      </c>
      <c r="F8" s="120" t="s">
        <v>69</v>
      </c>
      <c r="G8" s="361" t="s">
        <v>108</v>
      </c>
      <c r="H8" s="120" t="s">
        <v>69</v>
      </c>
      <c r="I8" s="120" t="s">
        <v>69</v>
      </c>
      <c r="J8" s="120" t="s">
        <v>69</v>
      </c>
      <c r="K8" s="120" t="s">
        <v>69</v>
      </c>
      <c r="L8" s="120" t="s">
        <v>69</v>
      </c>
      <c r="M8" s="131" t="s">
        <v>72</v>
      </c>
      <c r="N8" s="361" t="s">
        <v>108</v>
      </c>
      <c r="O8" s="120" t="s">
        <v>69</v>
      </c>
      <c r="P8" s="120" t="s">
        <v>69</v>
      </c>
      <c r="Q8" s="120" t="s">
        <v>69</v>
      </c>
      <c r="R8" s="120" t="s">
        <v>69</v>
      </c>
      <c r="S8" s="120" t="s">
        <v>69</v>
      </c>
      <c r="T8" s="120" t="s">
        <v>69</v>
      </c>
      <c r="U8" s="361" t="s">
        <v>108</v>
      </c>
      <c r="V8" s="120" t="s">
        <v>69</v>
      </c>
      <c r="W8" s="120" t="s">
        <v>69</v>
      </c>
      <c r="X8" s="120" t="s">
        <v>69</v>
      </c>
      <c r="Y8" s="120" t="s">
        <v>69</v>
      </c>
      <c r="Z8" s="120" t="s">
        <v>69</v>
      </c>
      <c r="AA8" s="120" t="s">
        <v>69</v>
      </c>
      <c r="AB8" s="361" t="s">
        <v>108</v>
      </c>
      <c r="AC8" s="120" t="s">
        <v>69</v>
      </c>
      <c r="AD8" s="120" t="s">
        <v>69</v>
      </c>
      <c r="AE8" s="120" t="s">
        <v>69</v>
      </c>
      <c r="AF8" s="120" t="s">
        <v>69</v>
      </c>
      <c r="AG8" s="120" t="s">
        <v>69</v>
      </c>
      <c r="AH8" s="120" t="s">
        <v>69</v>
      </c>
      <c r="AI8" s="361" t="s">
        <v>108</v>
      </c>
      <c r="AJ8" s="296"/>
      <c r="AK8" s="296"/>
      <c r="AL8" s="296"/>
      <c r="AM8" s="296"/>
      <c r="AN8" s="296"/>
      <c r="AO8" s="296"/>
      <c r="AP8" s="296"/>
      <c r="AQ8" s="296"/>
      <c r="AR8" s="296"/>
      <c r="AS8" s="296"/>
      <c r="AT8" s="296"/>
      <c r="AU8" s="296"/>
    </row>
    <row r="9" spans="1:47" ht="18">
      <c r="A9" s="5">
        <v>8</v>
      </c>
      <c r="B9" s="254" t="s">
        <v>13</v>
      </c>
      <c r="C9" s="7">
        <v>5</v>
      </c>
      <c r="D9" s="7">
        <v>5</v>
      </c>
      <c r="E9" s="7">
        <f t="shared" si="0"/>
        <v>0</v>
      </c>
      <c r="F9" s="120" t="s">
        <v>70</v>
      </c>
      <c r="G9" s="361" t="s">
        <v>108</v>
      </c>
      <c r="H9" s="131" t="s">
        <v>72</v>
      </c>
      <c r="I9" s="131" t="s">
        <v>72</v>
      </c>
      <c r="J9" s="131" t="s">
        <v>72</v>
      </c>
      <c r="K9" s="131" t="s">
        <v>72</v>
      </c>
      <c r="L9" s="131" t="s">
        <v>72</v>
      </c>
      <c r="M9" s="120" t="s">
        <v>69</v>
      </c>
      <c r="N9" s="361" t="s">
        <v>108</v>
      </c>
      <c r="O9" s="120" t="s">
        <v>69</v>
      </c>
      <c r="P9" s="120" t="s">
        <v>69</v>
      </c>
      <c r="Q9" s="120" t="s">
        <v>69</v>
      </c>
      <c r="R9" s="120" t="s">
        <v>69</v>
      </c>
      <c r="S9" s="120" t="s">
        <v>69</v>
      </c>
      <c r="T9" s="120" t="s">
        <v>69</v>
      </c>
      <c r="U9" s="361" t="s">
        <v>108</v>
      </c>
      <c r="V9" s="120" t="s">
        <v>69</v>
      </c>
      <c r="W9" s="120" t="s">
        <v>69</v>
      </c>
      <c r="X9" s="120" t="s">
        <v>69</v>
      </c>
      <c r="Y9" s="120" t="s">
        <v>69</v>
      </c>
      <c r="Z9" s="120" t="s">
        <v>69</v>
      </c>
      <c r="AA9" s="120" t="s">
        <v>69</v>
      </c>
      <c r="AB9" s="361" t="s">
        <v>108</v>
      </c>
      <c r="AC9" s="120" t="s">
        <v>69</v>
      </c>
      <c r="AD9" s="120" t="s">
        <v>69</v>
      </c>
      <c r="AE9" s="120" t="s">
        <v>69</v>
      </c>
      <c r="AF9" s="120" t="s">
        <v>69</v>
      </c>
      <c r="AG9" s="120" t="s">
        <v>69</v>
      </c>
      <c r="AH9" s="120" t="s">
        <v>69</v>
      </c>
      <c r="AI9" s="361" t="s">
        <v>108</v>
      </c>
      <c r="AJ9" s="296"/>
      <c r="AK9" s="296"/>
      <c r="AL9" s="296"/>
      <c r="AM9" s="296"/>
      <c r="AN9" s="296"/>
      <c r="AO9" s="296"/>
      <c r="AP9" s="296"/>
      <c r="AQ9" s="296"/>
      <c r="AR9" s="296"/>
      <c r="AS9" s="296"/>
      <c r="AT9" s="296"/>
      <c r="AU9" s="296"/>
    </row>
    <row r="10" spans="1:47" ht="18">
      <c r="A10" s="5">
        <v>9</v>
      </c>
      <c r="B10" s="254" t="s">
        <v>194</v>
      </c>
      <c r="C10" s="7">
        <v>1</v>
      </c>
      <c r="D10" s="7">
        <v>1</v>
      </c>
      <c r="E10" s="7">
        <f t="shared" si="0"/>
        <v>0</v>
      </c>
      <c r="F10" s="120" t="s">
        <v>69</v>
      </c>
      <c r="G10" s="361" t="s">
        <v>108</v>
      </c>
      <c r="H10" s="120" t="s">
        <v>69</v>
      </c>
      <c r="I10" s="120" t="s">
        <v>70</v>
      </c>
      <c r="J10" s="131" t="s">
        <v>72</v>
      </c>
      <c r="K10" s="120" t="s">
        <v>69</v>
      </c>
      <c r="L10" s="120" t="s">
        <v>69</v>
      </c>
      <c r="M10" s="120" t="s">
        <v>69</v>
      </c>
      <c r="N10" s="361" t="s">
        <v>108</v>
      </c>
      <c r="O10" s="120" t="s">
        <v>69</v>
      </c>
      <c r="P10" s="120" t="s">
        <v>69</v>
      </c>
      <c r="Q10" s="120" t="s">
        <v>69</v>
      </c>
      <c r="R10" s="120" t="s">
        <v>69</v>
      </c>
      <c r="S10" s="120" t="s">
        <v>69</v>
      </c>
      <c r="T10" s="120" t="s">
        <v>69</v>
      </c>
      <c r="U10" s="361" t="s">
        <v>108</v>
      </c>
      <c r="V10" s="120" t="s">
        <v>69</v>
      </c>
      <c r="W10" s="120" t="s">
        <v>69</v>
      </c>
      <c r="X10" s="120" t="s">
        <v>69</v>
      </c>
      <c r="Y10" s="120" t="s">
        <v>69</v>
      </c>
      <c r="Z10" s="120" t="s">
        <v>69</v>
      </c>
      <c r="AA10" s="120" t="s">
        <v>69</v>
      </c>
      <c r="AB10" s="361" t="s">
        <v>108</v>
      </c>
      <c r="AC10" s="120" t="s">
        <v>69</v>
      </c>
      <c r="AD10" s="120" t="s">
        <v>69</v>
      </c>
      <c r="AE10" s="120" t="s">
        <v>69</v>
      </c>
      <c r="AF10" s="120" t="s">
        <v>69</v>
      </c>
      <c r="AG10" s="120" t="s">
        <v>69</v>
      </c>
      <c r="AH10" s="120" t="s">
        <v>69</v>
      </c>
      <c r="AI10" s="361" t="s">
        <v>108</v>
      </c>
      <c r="AJ10" s="296"/>
      <c r="AK10" s="296"/>
      <c r="AL10" s="296"/>
      <c r="AM10" s="296"/>
      <c r="AN10" s="296"/>
      <c r="AO10" s="296"/>
      <c r="AP10" s="296"/>
      <c r="AQ10" s="296"/>
      <c r="AR10" s="296"/>
      <c r="AS10" s="296"/>
      <c r="AT10" s="296"/>
      <c r="AU10" s="296"/>
    </row>
    <row r="11" spans="1:47" ht="18">
      <c r="A11" s="5">
        <v>10</v>
      </c>
      <c r="B11" s="254" t="s">
        <v>177</v>
      </c>
      <c r="C11" s="7">
        <v>1</v>
      </c>
      <c r="D11" s="7">
        <v>1</v>
      </c>
      <c r="E11" s="7">
        <f t="shared" si="0"/>
        <v>0</v>
      </c>
      <c r="F11" s="120" t="s">
        <v>69</v>
      </c>
      <c r="G11" s="361" t="s">
        <v>108</v>
      </c>
      <c r="H11" s="120" t="s">
        <v>69</v>
      </c>
      <c r="I11" s="120" t="s">
        <v>69</v>
      </c>
      <c r="J11" s="120" t="s">
        <v>69</v>
      </c>
      <c r="K11" s="120" t="s">
        <v>69</v>
      </c>
      <c r="L11" s="120" t="s">
        <v>69</v>
      </c>
      <c r="M11" s="120" t="s">
        <v>69</v>
      </c>
      <c r="N11" s="361" t="s">
        <v>108</v>
      </c>
      <c r="O11" s="131" t="s">
        <v>72</v>
      </c>
      <c r="P11" s="120" t="s">
        <v>69</v>
      </c>
      <c r="Q11" s="120" t="s">
        <v>69</v>
      </c>
      <c r="R11" s="120" t="s">
        <v>69</v>
      </c>
      <c r="S11" s="120" t="s">
        <v>69</v>
      </c>
      <c r="T11" s="120" t="s">
        <v>69</v>
      </c>
      <c r="U11" s="361" t="s">
        <v>108</v>
      </c>
      <c r="V11" s="120" t="s">
        <v>69</v>
      </c>
      <c r="W11" s="120" t="s">
        <v>69</v>
      </c>
      <c r="X11" s="120" t="s">
        <v>69</v>
      </c>
      <c r="Y11" s="120" t="s">
        <v>69</v>
      </c>
      <c r="Z11" s="120" t="s">
        <v>69</v>
      </c>
      <c r="AA11" s="120" t="s">
        <v>69</v>
      </c>
      <c r="AB11" s="361" t="s">
        <v>108</v>
      </c>
      <c r="AC11" s="120" t="s">
        <v>69</v>
      </c>
      <c r="AD11" s="120" t="s">
        <v>69</v>
      </c>
      <c r="AE11" s="120" t="s">
        <v>69</v>
      </c>
      <c r="AF11" s="120" t="s">
        <v>69</v>
      </c>
      <c r="AG11" s="120" t="s">
        <v>69</v>
      </c>
      <c r="AH11" s="120" t="s">
        <v>69</v>
      </c>
      <c r="AI11" s="361" t="s">
        <v>108</v>
      </c>
      <c r="AJ11" s="296"/>
      <c r="AK11" s="296"/>
      <c r="AL11" s="296"/>
      <c r="AM11" s="296"/>
      <c r="AN11" s="296"/>
      <c r="AO11" s="296"/>
      <c r="AP11" s="296"/>
      <c r="AQ11" s="296"/>
      <c r="AR11" s="296"/>
      <c r="AS11" s="296"/>
      <c r="AT11" s="296"/>
      <c r="AU11" s="296"/>
    </row>
    <row r="12" spans="1:47" ht="18">
      <c r="A12" s="5">
        <v>11</v>
      </c>
      <c r="B12" s="254" t="s">
        <v>154</v>
      </c>
      <c r="C12" s="7">
        <v>0</v>
      </c>
      <c r="D12" s="7">
        <v>0</v>
      </c>
      <c r="E12" s="7">
        <f t="shared" si="0"/>
        <v>0</v>
      </c>
      <c r="F12" s="120" t="s">
        <v>69</v>
      </c>
      <c r="G12" s="361" t="s">
        <v>108</v>
      </c>
      <c r="H12" s="120" t="s">
        <v>69</v>
      </c>
      <c r="I12" s="120" t="s">
        <v>69</v>
      </c>
      <c r="J12" s="120" t="s">
        <v>69</v>
      </c>
      <c r="K12" s="120" t="s">
        <v>69</v>
      </c>
      <c r="L12" s="120" t="s">
        <v>69</v>
      </c>
      <c r="M12" s="120" t="s">
        <v>69</v>
      </c>
      <c r="N12" s="361" t="s">
        <v>108</v>
      </c>
      <c r="O12" s="120" t="s">
        <v>69</v>
      </c>
      <c r="P12" s="120" t="s">
        <v>69</v>
      </c>
      <c r="Q12" s="120" t="s">
        <v>69</v>
      </c>
      <c r="R12" s="120" t="s">
        <v>69</v>
      </c>
      <c r="S12" s="120" t="s">
        <v>69</v>
      </c>
      <c r="T12" s="120" t="s">
        <v>69</v>
      </c>
      <c r="U12" s="361" t="s">
        <v>108</v>
      </c>
      <c r="V12" s="120" t="s">
        <v>69</v>
      </c>
      <c r="W12" s="120" t="s">
        <v>69</v>
      </c>
      <c r="X12" s="120" t="s">
        <v>69</v>
      </c>
      <c r="Y12" s="120" t="s">
        <v>69</v>
      </c>
      <c r="Z12" s="120" t="s">
        <v>69</v>
      </c>
      <c r="AA12" s="120" t="s">
        <v>69</v>
      </c>
      <c r="AB12" s="361" t="s">
        <v>108</v>
      </c>
      <c r="AC12" s="120" t="s">
        <v>69</v>
      </c>
      <c r="AD12" s="120" t="s">
        <v>69</v>
      </c>
      <c r="AE12" s="120" t="s">
        <v>69</v>
      </c>
      <c r="AF12" s="120" t="s">
        <v>69</v>
      </c>
      <c r="AG12" s="120" t="s">
        <v>69</v>
      </c>
      <c r="AH12" s="120" t="s">
        <v>69</v>
      </c>
      <c r="AI12" s="361" t="s">
        <v>108</v>
      </c>
      <c r="AJ12" s="296"/>
      <c r="AK12" s="296"/>
      <c r="AL12" s="296"/>
      <c r="AM12" s="296"/>
      <c r="AN12" s="296"/>
      <c r="AO12" s="296"/>
      <c r="AP12" s="296"/>
      <c r="AQ12" s="296"/>
      <c r="AR12" s="296"/>
      <c r="AS12" s="296"/>
      <c r="AT12" s="296"/>
      <c r="AU12" s="296"/>
    </row>
    <row r="13" spans="1:47" ht="18">
      <c r="A13" s="5">
        <v>12</v>
      </c>
      <c r="B13" s="254" t="s">
        <v>16</v>
      </c>
      <c r="C13" s="7">
        <v>4</v>
      </c>
      <c r="D13" s="7">
        <v>4</v>
      </c>
      <c r="E13" s="7">
        <f t="shared" si="0"/>
        <v>0</v>
      </c>
      <c r="F13" s="120" t="s">
        <v>69</v>
      </c>
      <c r="G13" s="361" t="s">
        <v>108</v>
      </c>
      <c r="H13" s="131" t="s">
        <v>72</v>
      </c>
      <c r="I13" s="131" t="s">
        <v>72</v>
      </c>
      <c r="J13" s="120" t="s">
        <v>69</v>
      </c>
      <c r="K13" s="120" t="s">
        <v>69</v>
      </c>
      <c r="L13" s="120" t="s">
        <v>69</v>
      </c>
      <c r="M13" s="131" t="s">
        <v>72</v>
      </c>
      <c r="N13" s="361" t="s">
        <v>108</v>
      </c>
      <c r="O13" s="120" t="s">
        <v>69</v>
      </c>
      <c r="P13" s="120" t="s">
        <v>69</v>
      </c>
      <c r="Q13" s="120" t="s">
        <v>69</v>
      </c>
      <c r="R13" s="120" t="s">
        <v>69</v>
      </c>
      <c r="S13" s="120" t="s">
        <v>69</v>
      </c>
      <c r="T13" s="120" t="s">
        <v>69</v>
      </c>
      <c r="U13" s="361" t="s">
        <v>108</v>
      </c>
      <c r="V13" s="120" t="s">
        <v>69</v>
      </c>
      <c r="W13" s="120" t="s">
        <v>69</v>
      </c>
      <c r="X13" s="120" t="s">
        <v>69</v>
      </c>
      <c r="Y13" s="120" t="s">
        <v>69</v>
      </c>
      <c r="Z13" s="120" t="s">
        <v>69</v>
      </c>
      <c r="AA13" s="120" t="s">
        <v>69</v>
      </c>
      <c r="AB13" s="361" t="s">
        <v>108</v>
      </c>
      <c r="AC13" s="120" t="s">
        <v>69</v>
      </c>
      <c r="AD13" s="120" t="s">
        <v>69</v>
      </c>
      <c r="AE13" s="120" t="s">
        <v>69</v>
      </c>
      <c r="AF13" s="120" t="s">
        <v>69</v>
      </c>
      <c r="AG13" s="131" t="s">
        <v>72</v>
      </c>
      <c r="AH13" s="120" t="s">
        <v>69</v>
      </c>
      <c r="AI13" s="361" t="s">
        <v>108</v>
      </c>
      <c r="AJ13" s="296"/>
      <c r="AK13" s="296"/>
      <c r="AL13" s="296"/>
      <c r="AM13" s="296"/>
      <c r="AN13" s="296"/>
      <c r="AO13" s="296"/>
      <c r="AP13" s="296"/>
      <c r="AQ13" s="296"/>
      <c r="AR13" s="296"/>
      <c r="AS13" s="296"/>
      <c r="AT13" s="296"/>
      <c r="AU13" s="296"/>
    </row>
    <row r="14" spans="1:47" ht="18">
      <c r="A14" s="5">
        <v>13</v>
      </c>
      <c r="B14" s="254" t="s">
        <v>17</v>
      </c>
      <c r="C14" s="7">
        <v>2</v>
      </c>
      <c r="D14" s="7">
        <v>2</v>
      </c>
      <c r="E14" s="7">
        <f t="shared" si="0"/>
        <v>0</v>
      </c>
      <c r="F14" s="131" t="s">
        <v>72</v>
      </c>
      <c r="G14" s="361" t="s">
        <v>108</v>
      </c>
      <c r="H14" s="120" t="s">
        <v>69</v>
      </c>
      <c r="I14" s="120" t="s">
        <v>69</v>
      </c>
      <c r="J14" s="120" t="s">
        <v>69</v>
      </c>
      <c r="K14" s="120" t="s">
        <v>69</v>
      </c>
      <c r="L14" s="120" t="s">
        <v>69</v>
      </c>
      <c r="M14" s="120" t="s">
        <v>69</v>
      </c>
      <c r="N14" s="361" t="s">
        <v>108</v>
      </c>
      <c r="O14" s="120" t="s">
        <v>69</v>
      </c>
      <c r="P14" s="120" t="s">
        <v>69</v>
      </c>
      <c r="Q14" s="120" t="s">
        <v>69</v>
      </c>
      <c r="R14" s="120" t="s">
        <v>69</v>
      </c>
      <c r="S14" s="120" t="s">
        <v>69</v>
      </c>
      <c r="T14" s="120" t="s">
        <v>69</v>
      </c>
      <c r="U14" s="361" t="s">
        <v>108</v>
      </c>
      <c r="V14" s="131" t="s">
        <v>72</v>
      </c>
      <c r="W14" s="120" t="s">
        <v>69</v>
      </c>
      <c r="X14" s="120" t="s">
        <v>69</v>
      </c>
      <c r="Y14" s="120" t="s">
        <v>69</v>
      </c>
      <c r="Z14" s="120" t="s">
        <v>69</v>
      </c>
      <c r="AA14" s="120" t="s">
        <v>69</v>
      </c>
      <c r="AB14" s="361" t="s">
        <v>108</v>
      </c>
      <c r="AC14" s="120" t="s">
        <v>69</v>
      </c>
      <c r="AD14" s="120" t="s">
        <v>69</v>
      </c>
      <c r="AE14" s="120" t="s">
        <v>69</v>
      </c>
      <c r="AF14" s="120" t="s">
        <v>69</v>
      </c>
      <c r="AG14" s="120" t="s">
        <v>69</v>
      </c>
      <c r="AH14" s="120" t="s">
        <v>69</v>
      </c>
      <c r="AI14" s="361" t="s">
        <v>108</v>
      </c>
      <c r="AJ14" s="296"/>
      <c r="AK14" s="296"/>
      <c r="AL14" s="296"/>
      <c r="AM14" s="296"/>
      <c r="AN14" s="296"/>
      <c r="AO14" s="296"/>
      <c r="AP14" s="296"/>
      <c r="AQ14" s="296"/>
      <c r="AR14" s="296"/>
      <c r="AS14" s="296"/>
      <c r="AT14" s="296"/>
      <c r="AU14" s="296"/>
    </row>
    <row r="15" spans="1:47" ht="18">
      <c r="A15" s="5">
        <v>14</v>
      </c>
      <c r="B15" s="383" t="s">
        <v>219</v>
      </c>
      <c r="C15" s="7">
        <v>6</v>
      </c>
      <c r="D15" s="7"/>
      <c r="E15" s="7">
        <f t="shared" si="0"/>
        <v>6</v>
      </c>
      <c r="F15" s="131"/>
      <c r="G15" s="361" t="s">
        <v>220</v>
      </c>
      <c r="H15" s="120"/>
      <c r="I15" s="120"/>
      <c r="J15" s="120"/>
      <c r="K15" s="120"/>
      <c r="L15" s="120" t="s">
        <v>69</v>
      </c>
      <c r="M15" s="120" t="s">
        <v>69</v>
      </c>
      <c r="N15" s="361" t="s">
        <v>220</v>
      </c>
      <c r="O15" s="120" t="s">
        <v>69</v>
      </c>
      <c r="P15" s="120" t="s">
        <v>69</v>
      </c>
      <c r="Q15" s="120" t="s">
        <v>69</v>
      </c>
      <c r="R15" s="120" t="s">
        <v>69</v>
      </c>
      <c r="S15" s="120" t="s">
        <v>69</v>
      </c>
      <c r="T15" s="120" t="s">
        <v>69</v>
      </c>
      <c r="U15" s="361" t="s">
        <v>108</v>
      </c>
      <c r="V15" s="120" t="s">
        <v>69</v>
      </c>
      <c r="W15" s="120" t="s">
        <v>69</v>
      </c>
      <c r="X15" s="120" t="s">
        <v>70</v>
      </c>
      <c r="Y15" s="120" t="s">
        <v>69</v>
      </c>
      <c r="Z15" s="120" t="s">
        <v>70</v>
      </c>
      <c r="AA15" s="120" t="s">
        <v>69</v>
      </c>
      <c r="AB15" s="361" t="s">
        <v>108</v>
      </c>
      <c r="AC15" s="120" t="s">
        <v>69</v>
      </c>
      <c r="AD15" s="120" t="s">
        <v>69</v>
      </c>
      <c r="AE15" s="120" t="s">
        <v>69</v>
      </c>
      <c r="AF15" s="120" t="s">
        <v>69</v>
      </c>
      <c r="AG15" s="120" t="s">
        <v>69</v>
      </c>
      <c r="AH15" s="120" t="s">
        <v>69</v>
      </c>
      <c r="AI15" s="361" t="s">
        <v>108</v>
      </c>
      <c r="AJ15" s="296"/>
      <c r="AK15" s="296"/>
      <c r="AL15" s="296"/>
      <c r="AM15" s="296"/>
      <c r="AN15" s="296"/>
      <c r="AO15" s="296"/>
      <c r="AP15" s="296"/>
      <c r="AQ15" s="296"/>
      <c r="AR15" s="296"/>
      <c r="AS15" s="296"/>
      <c r="AT15" s="296"/>
      <c r="AU15" s="296"/>
    </row>
    <row r="16" spans="1:47" ht="18">
      <c r="A16" s="5">
        <v>15</v>
      </c>
      <c r="B16" s="186" t="s">
        <v>155</v>
      </c>
      <c r="C16" s="7">
        <v>0</v>
      </c>
      <c r="D16" s="7">
        <v>0</v>
      </c>
      <c r="E16" s="7">
        <f t="shared" si="0"/>
        <v>0</v>
      </c>
      <c r="F16" s="120" t="s">
        <v>69</v>
      </c>
      <c r="G16" s="361" t="s">
        <v>108</v>
      </c>
      <c r="H16" s="120" t="s">
        <v>69</v>
      </c>
      <c r="I16" s="120" t="s">
        <v>69</v>
      </c>
      <c r="J16" s="120" t="s">
        <v>69</v>
      </c>
      <c r="K16" s="120" t="s">
        <v>69</v>
      </c>
      <c r="L16" s="120" t="s">
        <v>69</v>
      </c>
      <c r="M16" s="120" t="s">
        <v>69</v>
      </c>
      <c r="N16" s="361" t="s">
        <v>108</v>
      </c>
      <c r="O16" s="120" t="s">
        <v>69</v>
      </c>
      <c r="P16" s="120" t="s">
        <v>69</v>
      </c>
      <c r="Q16" s="120" t="s">
        <v>69</v>
      </c>
      <c r="R16" s="120" t="s">
        <v>69</v>
      </c>
      <c r="S16" s="120" t="s">
        <v>69</v>
      </c>
      <c r="T16" s="120" t="s">
        <v>69</v>
      </c>
      <c r="U16" s="361" t="s">
        <v>108</v>
      </c>
      <c r="V16" s="120" t="s">
        <v>69</v>
      </c>
      <c r="W16" s="120" t="s">
        <v>69</v>
      </c>
      <c r="X16" s="120" t="s">
        <v>69</v>
      </c>
      <c r="Y16" s="120" t="s">
        <v>69</v>
      </c>
      <c r="Z16" s="120" t="s">
        <v>69</v>
      </c>
      <c r="AA16" s="120" t="s">
        <v>69</v>
      </c>
      <c r="AB16" s="361" t="s">
        <v>108</v>
      </c>
      <c r="AC16" s="120" t="s">
        <v>69</v>
      </c>
      <c r="AD16" s="120" t="s">
        <v>69</v>
      </c>
      <c r="AE16" s="120" t="s">
        <v>69</v>
      </c>
      <c r="AF16" s="120" t="s">
        <v>69</v>
      </c>
      <c r="AG16" s="120" t="s">
        <v>69</v>
      </c>
      <c r="AH16" s="120" t="s">
        <v>69</v>
      </c>
      <c r="AI16" s="361" t="s">
        <v>108</v>
      </c>
      <c r="AJ16" s="296"/>
      <c r="AK16" s="296"/>
      <c r="AL16" s="296"/>
      <c r="AM16" s="296"/>
      <c r="AN16" s="296"/>
      <c r="AO16" s="296"/>
      <c r="AP16" s="296"/>
      <c r="AQ16" s="296"/>
      <c r="AR16" s="296"/>
      <c r="AS16" s="296"/>
      <c r="AT16" s="296"/>
      <c r="AU16" s="296"/>
    </row>
    <row r="17" spans="1:47" ht="18">
      <c r="A17" s="5">
        <v>16</v>
      </c>
      <c r="B17" s="254" t="s">
        <v>22</v>
      </c>
      <c r="C17" s="7">
        <v>1</v>
      </c>
      <c r="D17" s="7">
        <v>1</v>
      </c>
      <c r="E17" s="7">
        <f t="shared" si="0"/>
        <v>0</v>
      </c>
      <c r="F17" s="120" t="s">
        <v>69</v>
      </c>
      <c r="G17" s="361" t="s">
        <v>108</v>
      </c>
      <c r="H17" s="120" t="s">
        <v>69</v>
      </c>
      <c r="I17" s="120" t="s">
        <v>69</v>
      </c>
      <c r="J17" s="120" t="s">
        <v>69</v>
      </c>
      <c r="K17" s="120" t="s">
        <v>69</v>
      </c>
      <c r="L17" s="120" t="s">
        <v>69</v>
      </c>
      <c r="M17" s="120" t="s">
        <v>69</v>
      </c>
      <c r="N17" s="361" t="s">
        <v>108</v>
      </c>
      <c r="O17" s="120" t="s">
        <v>69</v>
      </c>
      <c r="P17" s="120" t="s">
        <v>69</v>
      </c>
      <c r="Q17" s="120" t="s">
        <v>69</v>
      </c>
      <c r="R17" s="120" t="s">
        <v>69</v>
      </c>
      <c r="S17" s="120" t="s">
        <v>69</v>
      </c>
      <c r="T17" s="120" t="s">
        <v>69</v>
      </c>
      <c r="U17" s="361" t="s">
        <v>108</v>
      </c>
      <c r="V17" s="131" t="s">
        <v>72</v>
      </c>
      <c r="W17" s="120" t="s">
        <v>69</v>
      </c>
      <c r="X17" s="120" t="s">
        <v>69</v>
      </c>
      <c r="Y17" s="120" t="s">
        <v>69</v>
      </c>
      <c r="Z17" s="120" t="s">
        <v>69</v>
      </c>
      <c r="AA17" s="120" t="s">
        <v>69</v>
      </c>
      <c r="AB17" s="361" t="s">
        <v>108</v>
      </c>
      <c r="AC17" s="120" t="s">
        <v>69</v>
      </c>
      <c r="AD17" s="120" t="s">
        <v>69</v>
      </c>
      <c r="AE17" s="120" t="s">
        <v>69</v>
      </c>
      <c r="AF17" s="120" t="s">
        <v>69</v>
      </c>
      <c r="AG17" s="120" t="s">
        <v>69</v>
      </c>
      <c r="AH17" s="120" t="s">
        <v>69</v>
      </c>
      <c r="AI17" s="361" t="s">
        <v>108</v>
      </c>
      <c r="AJ17" s="296"/>
      <c r="AK17" s="296"/>
      <c r="AL17" s="296"/>
      <c r="AM17" s="296"/>
      <c r="AN17" s="296"/>
      <c r="AO17" s="296"/>
      <c r="AP17" s="296"/>
      <c r="AQ17" s="296"/>
      <c r="AR17" s="296"/>
      <c r="AS17" s="296"/>
      <c r="AT17" s="296"/>
      <c r="AU17" s="296"/>
    </row>
    <row r="18" spans="1:47" ht="18">
      <c r="A18" s="5">
        <v>17</v>
      </c>
      <c r="B18" s="383" t="s">
        <v>221</v>
      </c>
      <c r="C18" s="7">
        <v>9</v>
      </c>
      <c r="D18" s="7"/>
      <c r="E18" s="7">
        <f t="shared" si="0"/>
        <v>9</v>
      </c>
      <c r="F18" s="120"/>
      <c r="G18" s="361" t="s">
        <v>108</v>
      </c>
      <c r="H18" s="120"/>
      <c r="I18" s="120"/>
      <c r="J18" s="120"/>
      <c r="K18" s="120"/>
      <c r="L18" s="120"/>
      <c r="M18" s="120"/>
      <c r="N18" s="361" t="s">
        <v>108</v>
      </c>
      <c r="O18" s="120" t="s">
        <v>69</v>
      </c>
      <c r="P18" s="120" t="s">
        <v>69</v>
      </c>
      <c r="Q18" s="120" t="s">
        <v>69</v>
      </c>
      <c r="R18" s="120" t="s">
        <v>69</v>
      </c>
      <c r="S18" s="120" t="s">
        <v>69</v>
      </c>
      <c r="T18" s="120" t="s">
        <v>69</v>
      </c>
      <c r="U18" s="361" t="s">
        <v>108</v>
      </c>
      <c r="V18" s="120" t="s">
        <v>69</v>
      </c>
      <c r="W18" s="120" t="s">
        <v>69</v>
      </c>
      <c r="X18" s="120" t="s">
        <v>69</v>
      </c>
      <c r="Y18" s="120" t="s">
        <v>69</v>
      </c>
      <c r="Z18" s="120" t="s">
        <v>69</v>
      </c>
      <c r="AA18" s="120" t="s">
        <v>69</v>
      </c>
      <c r="AB18" s="361" t="s">
        <v>108</v>
      </c>
      <c r="AC18" s="120" t="s">
        <v>69</v>
      </c>
      <c r="AD18" s="120" t="s">
        <v>69</v>
      </c>
      <c r="AE18" s="120" t="s">
        <v>69</v>
      </c>
      <c r="AF18" s="120" t="s">
        <v>69</v>
      </c>
      <c r="AG18" s="120" t="s">
        <v>69</v>
      </c>
      <c r="AH18" s="120" t="s">
        <v>69</v>
      </c>
      <c r="AI18" s="361" t="s">
        <v>108</v>
      </c>
      <c r="AJ18" s="296"/>
      <c r="AK18" s="296"/>
      <c r="AL18" s="296"/>
      <c r="AM18" s="296"/>
      <c r="AN18" s="296"/>
      <c r="AO18" s="296"/>
      <c r="AP18" s="296"/>
      <c r="AQ18" s="296"/>
      <c r="AR18" s="296"/>
      <c r="AS18" s="296"/>
      <c r="AT18" s="296"/>
      <c r="AU18" s="296"/>
    </row>
    <row r="19" spans="1:47" ht="18">
      <c r="A19" s="5">
        <v>18</v>
      </c>
      <c r="B19" s="254" t="s">
        <v>179</v>
      </c>
      <c r="C19" s="7">
        <v>2</v>
      </c>
      <c r="D19" s="7">
        <v>1.5</v>
      </c>
      <c r="E19" s="7">
        <f t="shared" si="0"/>
        <v>0.5</v>
      </c>
      <c r="F19" s="120" t="s">
        <v>69</v>
      </c>
      <c r="G19" s="361" t="s">
        <v>108</v>
      </c>
      <c r="H19" s="120" t="s">
        <v>69</v>
      </c>
      <c r="I19" s="120" t="s">
        <v>69</v>
      </c>
      <c r="J19" s="120" t="s">
        <v>69</v>
      </c>
      <c r="K19" s="120" t="s">
        <v>69</v>
      </c>
      <c r="L19" s="120" t="s">
        <v>69</v>
      </c>
      <c r="M19" s="120" t="s">
        <v>69</v>
      </c>
      <c r="N19" s="361" t="s">
        <v>108</v>
      </c>
      <c r="O19" s="120" t="s">
        <v>69</v>
      </c>
      <c r="P19" s="131" t="s">
        <v>72</v>
      </c>
      <c r="Q19" s="120" t="s">
        <v>69</v>
      </c>
      <c r="R19" s="120" t="s">
        <v>69</v>
      </c>
      <c r="S19" s="120" t="s">
        <v>69</v>
      </c>
      <c r="T19" s="120" t="s">
        <v>69</v>
      </c>
      <c r="U19" s="361" t="s">
        <v>108</v>
      </c>
      <c r="V19" s="120" t="s">
        <v>69</v>
      </c>
      <c r="W19" s="120" t="s">
        <v>69</v>
      </c>
      <c r="X19" s="120" t="s">
        <v>69</v>
      </c>
      <c r="Y19" s="131" t="s">
        <v>72</v>
      </c>
      <c r="Z19" s="131" t="s">
        <v>72</v>
      </c>
      <c r="AA19" s="120" t="s">
        <v>69</v>
      </c>
      <c r="AB19" s="361" t="s">
        <v>108</v>
      </c>
      <c r="AC19" s="120" t="s">
        <v>69</v>
      </c>
      <c r="AD19" s="120" t="s">
        <v>69</v>
      </c>
      <c r="AE19" s="120" t="s">
        <v>69</v>
      </c>
      <c r="AF19" s="120" t="s">
        <v>69</v>
      </c>
      <c r="AG19" s="120" t="s">
        <v>69</v>
      </c>
      <c r="AH19" s="120" t="s">
        <v>69</v>
      </c>
      <c r="AI19" s="361" t="s">
        <v>108</v>
      </c>
      <c r="AJ19" s="296"/>
      <c r="AK19" s="296"/>
      <c r="AL19" s="296"/>
      <c r="AM19" s="296"/>
      <c r="AN19" s="296"/>
      <c r="AO19" s="296"/>
      <c r="AP19" s="296"/>
      <c r="AQ19" s="296"/>
      <c r="AR19" s="296"/>
      <c r="AS19" s="296"/>
      <c r="AT19" s="296"/>
      <c r="AU19" s="296"/>
    </row>
    <row r="20" spans="1:47" ht="18">
      <c r="A20" s="5">
        <v>19</v>
      </c>
      <c r="B20" s="254" t="s">
        <v>140</v>
      </c>
      <c r="C20" s="7">
        <v>4</v>
      </c>
      <c r="D20" s="7">
        <v>4</v>
      </c>
      <c r="E20" s="7">
        <f t="shared" si="0"/>
        <v>0</v>
      </c>
      <c r="F20" s="120" t="s">
        <v>69</v>
      </c>
      <c r="G20" s="361" t="s">
        <v>108</v>
      </c>
      <c r="H20" s="120" t="s">
        <v>69</v>
      </c>
      <c r="I20" s="120" t="s">
        <v>69</v>
      </c>
      <c r="J20" s="120" t="s">
        <v>69</v>
      </c>
      <c r="K20" s="120" t="s">
        <v>69</v>
      </c>
      <c r="L20" s="131" t="s">
        <v>72</v>
      </c>
      <c r="M20" s="131" t="s">
        <v>72</v>
      </c>
      <c r="N20" s="361" t="s">
        <v>108</v>
      </c>
      <c r="O20" s="120" t="s">
        <v>69</v>
      </c>
      <c r="P20" s="120" t="s">
        <v>70</v>
      </c>
      <c r="Q20" s="120" t="s">
        <v>69</v>
      </c>
      <c r="R20" s="120" t="s">
        <v>69</v>
      </c>
      <c r="S20" s="120" t="s">
        <v>69</v>
      </c>
      <c r="T20" s="120" t="s">
        <v>69</v>
      </c>
      <c r="U20" s="361" t="s">
        <v>108</v>
      </c>
      <c r="V20" s="120" t="s">
        <v>69</v>
      </c>
      <c r="W20" s="120" t="s">
        <v>69</v>
      </c>
      <c r="X20" s="120" t="s">
        <v>69</v>
      </c>
      <c r="Y20" s="131" t="s">
        <v>72</v>
      </c>
      <c r="Z20" s="120" t="s">
        <v>69</v>
      </c>
      <c r="AA20" s="120" t="s">
        <v>69</v>
      </c>
      <c r="AB20" s="361" t="s">
        <v>108</v>
      </c>
      <c r="AC20" s="131" t="s">
        <v>72</v>
      </c>
      <c r="AD20" s="120" t="s">
        <v>69</v>
      </c>
      <c r="AE20" s="120" t="s">
        <v>69</v>
      </c>
      <c r="AF20" s="120" t="s">
        <v>69</v>
      </c>
      <c r="AG20" s="120" t="s">
        <v>69</v>
      </c>
      <c r="AH20" s="120" t="s">
        <v>69</v>
      </c>
      <c r="AI20" s="361" t="s">
        <v>108</v>
      </c>
      <c r="AJ20" s="296"/>
      <c r="AK20" s="296"/>
      <c r="AL20" s="296"/>
      <c r="AM20" s="296"/>
      <c r="AN20" s="296"/>
      <c r="AO20" s="296"/>
      <c r="AP20" s="296"/>
      <c r="AQ20" s="296"/>
      <c r="AR20" s="296"/>
      <c r="AS20" s="296"/>
      <c r="AT20" s="296"/>
      <c r="AU20" s="296"/>
    </row>
    <row r="21" spans="1:47" ht="18">
      <c r="A21" s="5">
        <v>20</v>
      </c>
      <c r="B21" s="383" t="s">
        <v>222</v>
      </c>
      <c r="C21" s="7">
        <v>10</v>
      </c>
      <c r="D21" s="7"/>
      <c r="E21" s="7">
        <f t="shared" si="0"/>
        <v>10</v>
      </c>
      <c r="F21" s="120"/>
      <c r="G21" s="361" t="s">
        <v>108</v>
      </c>
      <c r="H21" s="120"/>
      <c r="I21" s="120"/>
      <c r="J21" s="120"/>
      <c r="K21" s="120"/>
      <c r="L21" s="131"/>
      <c r="M21" s="131"/>
      <c r="N21" s="361" t="s">
        <v>108</v>
      </c>
      <c r="O21" s="120" t="s">
        <v>69</v>
      </c>
      <c r="P21" s="120" t="s">
        <v>69</v>
      </c>
      <c r="Q21" s="120" t="s">
        <v>69</v>
      </c>
      <c r="R21" s="131" t="s">
        <v>72</v>
      </c>
      <c r="S21" s="120" t="s">
        <v>69</v>
      </c>
      <c r="T21" s="120" t="s">
        <v>69</v>
      </c>
      <c r="U21" s="361" t="s">
        <v>108</v>
      </c>
      <c r="V21" s="120" t="s">
        <v>69</v>
      </c>
      <c r="W21" s="120" t="s">
        <v>69</v>
      </c>
      <c r="X21" s="120" t="s">
        <v>69</v>
      </c>
      <c r="Y21" s="120" t="s">
        <v>69</v>
      </c>
      <c r="Z21" s="120" t="s">
        <v>69</v>
      </c>
      <c r="AA21" s="120" t="s">
        <v>69</v>
      </c>
      <c r="AB21" s="361" t="s">
        <v>108</v>
      </c>
      <c r="AC21" s="120" t="s">
        <v>69</v>
      </c>
      <c r="AD21" s="120" t="s">
        <v>69</v>
      </c>
      <c r="AE21" s="120" t="s">
        <v>69</v>
      </c>
      <c r="AF21" s="120" t="s">
        <v>69</v>
      </c>
      <c r="AG21" s="120" t="s">
        <v>69</v>
      </c>
      <c r="AH21" s="120" t="s">
        <v>69</v>
      </c>
      <c r="AI21" s="361" t="s">
        <v>108</v>
      </c>
      <c r="AJ21" s="296"/>
      <c r="AK21" s="296"/>
      <c r="AL21" s="296"/>
      <c r="AM21" s="296"/>
      <c r="AN21" s="296"/>
      <c r="AO21" s="296"/>
      <c r="AP21" s="296"/>
      <c r="AQ21" s="296"/>
      <c r="AR21" s="296"/>
      <c r="AS21" s="296"/>
      <c r="AT21" s="296"/>
      <c r="AU21" s="296"/>
    </row>
    <row r="22" spans="1:47" ht="18">
      <c r="A22" s="5">
        <v>21</v>
      </c>
      <c r="B22" s="254" t="s">
        <v>114</v>
      </c>
      <c r="C22" s="7">
        <v>1</v>
      </c>
      <c r="D22" s="7">
        <v>1</v>
      </c>
      <c r="E22" s="7">
        <f t="shared" si="0"/>
        <v>0</v>
      </c>
      <c r="F22" s="120" t="s">
        <v>69</v>
      </c>
      <c r="G22" s="361" t="s">
        <v>108</v>
      </c>
      <c r="H22" s="120" t="s">
        <v>69</v>
      </c>
      <c r="I22" s="120" t="s">
        <v>69</v>
      </c>
      <c r="J22" s="120" t="s">
        <v>69</v>
      </c>
      <c r="K22" s="120" t="s">
        <v>69</v>
      </c>
      <c r="L22" s="120" t="s">
        <v>69</v>
      </c>
      <c r="M22" s="120" t="s">
        <v>69</v>
      </c>
      <c r="N22" s="361" t="s">
        <v>108</v>
      </c>
      <c r="O22" s="120" t="s">
        <v>69</v>
      </c>
      <c r="P22" s="120" t="s">
        <v>69</v>
      </c>
      <c r="Q22" s="120" t="s">
        <v>69</v>
      </c>
      <c r="R22" s="120" t="s">
        <v>69</v>
      </c>
      <c r="S22" s="120" t="s">
        <v>69</v>
      </c>
      <c r="T22" s="120" t="s">
        <v>69</v>
      </c>
      <c r="U22" s="361" t="s">
        <v>108</v>
      </c>
      <c r="V22" s="120" t="s">
        <v>69</v>
      </c>
      <c r="W22" s="120" t="s">
        <v>69</v>
      </c>
      <c r="X22" s="120" t="s">
        <v>69</v>
      </c>
      <c r="Y22" s="120" t="s">
        <v>69</v>
      </c>
      <c r="Z22" s="120" t="s">
        <v>69</v>
      </c>
      <c r="AA22" s="131" t="s">
        <v>72</v>
      </c>
      <c r="AB22" s="361" t="s">
        <v>108</v>
      </c>
      <c r="AC22" s="120" t="s">
        <v>69</v>
      </c>
      <c r="AD22" s="120" t="s">
        <v>69</v>
      </c>
      <c r="AE22" s="120" t="s">
        <v>69</v>
      </c>
      <c r="AF22" s="120" t="s">
        <v>69</v>
      </c>
      <c r="AG22" s="120" t="s">
        <v>69</v>
      </c>
      <c r="AH22" s="120" t="s">
        <v>69</v>
      </c>
      <c r="AI22" s="361" t="s">
        <v>108</v>
      </c>
      <c r="AJ22" s="296"/>
      <c r="AK22" s="296"/>
      <c r="AL22" s="296"/>
      <c r="AM22" s="296"/>
      <c r="AN22" s="296"/>
      <c r="AO22" s="296"/>
      <c r="AP22" s="296"/>
      <c r="AQ22" s="296"/>
      <c r="AR22" s="296"/>
      <c r="AS22" s="296"/>
      <c r="AT22" s="296"/>
      <c r="AU22" s="296"/>
    </row>
    <row r="23" spans="1:47" ht="18">
      <c r="A23" s="5">
        <v>22</v>
      </c>
      <c r="B23" s="254" t="s">
        <v>26</v>
      </c>
      <c r="C23" s="7">
        <v>0</v>
      </c>
      <c r="D23" s="7">
        <v>0</v>
      </c>
      <c r="E23" s="7">
        <f t="shared" si="0"/>
        <v>0</v>
      </c>
      <c r="F23" s="120" t="s">
        <v>69</v>
      </c>
      <c r="G23" s="361" t="s">
        <v>108</v>
      </c>
      <c r="H23" s="120" t="s">
        <v>69</v>
      </c>
      <c r="I23" s="120" t="s">
        <v>69</v>
      </c>
      <c r="J23" s="120" t="s">
        <v>69</v>
      </c>
      <c r="K23" s="120" t="s">
        <v>69</v>
      </c>
      <c r="L23" s="120" t="s">
        <v>69</v>
      </c>
      <c r="M23" s="120" t="s">
        <v>69</v>
      </c>
      <c r="N23" s="361" t="s">
        <v>108</v>
      </c>
      <c r="O23" s="120" t="s">
        <v>69</v>
      </c>
      <c r="P23" s="120" t="s">
        <v>69</v>
      </c>
      <c r="Q23" s="120" t="s">
        <v>69</v>
      </c>
      <c r="R23" s="120" t="s">
        <v>69</v>
      </c>
      <c r="S23" s="120" t="s">
        <v>69</v>
      </c>
      <c r="T23" s="120" t="s">
        <v>69</v>
      </c>
      <c r="U23" s="361" t="s">
        <v>108</v>
      </c>
      <c r="V23" s="120" t="s">
        <v>69</v>
      </c>
      <c r="W23" s="120" t="s">
        <v>69</v>
      </c>
      <c r="X23" s="120" t="s">
        <v>69</v>
      </c>
      <c r="Y23" s="120" t="s">
        <v>69</v>
      </c>
      <c r="Z23" s="120" t="s">
        <v>69</v>
      </c>
      <c r="AA23" s="120" t="s">
        <v>69</v>
      </c>
      <c r="AB23" s="361" t="s">
        <v>108</v>
      </c>
      <c r="AC23" s="120" t="s">
        <v>69</v>
      </c>
      <c r="AD23" s="120" t="s">
        <v>69</v>
      </c>
      <c r="AE23" s="120" t="s">
        <v>69</v>
      </c>
      <c r="AF23" s="120" t="s">
        <v>69</v>
      </c>
      <c r="AG23" s="120" t="s">
        <v>69</v>
      </c>
      <c r="AH23" s="120" t="s">
        <v>69</v>
      </c>
      <c r="AI23" s="361" t="s">
        <v>108</v>
      </c>
      <c r="AJ23" s="296"/>
      <c r="AK23" s="296"/>
      <c r="AL23" s="296"/>
      <c r="AM23" s="296"/>
      <c r="AN23" s="296"/>
      <c r="AO23" s="296"/>
      <c r="AP23" s="296"/>
      <c r="AQ23" s="296"/>
      <c r="AR23" s="296"/>
      <c r="AS23" s="296"/>
      <c r="AT23" s="296"/>
      <c r="AU23" s="296"/>
    </row>
    <row r="24" spans="1:47" ht="18">
      <c r="A24" s="5">
        <v>23</v>
      </c>
      <c r="B24" s="254" t="s">
        <v>27</v>
      </c>
      <c r="C24" s="7">
        <v>10</v>
      </c>
      <c r="D24" s="7">
        <v>6</v>
      </c>
      <c r="E24" s="7">
        <f t="shared" si="0"/>
        <v>4</v>
      </c>
      <c r="F24" s="131" t="s">
        <v>72</v>
      </c>
      <c r="G24" s="361" t="s">
        <v>108</v>
      </c>
      <c r="H24" s="131" t="s">
        <v>72</v>
      </c>
      <c r="I24" s="131" t="s">
        <v>72</v>
      </c>
      <c r="J24" s="131" t="s">
        <v>72</v>
      </c>
      <c r="K24" s="131" t="s">
        <v>72</v>
      </c>
      <c r="L24" s="131" t="s">
        <v>72</v>
      </c>
      <c r="M24" s="131" t="s">
        <v>72</v>
      </c>
      <c r="N24" s="361" t="s">
        <v>108</v>
      </c>
      <c r="O24" s="120" t="s">
        <v>69</v>
      </c>
      <c r="P24" s="120" t="s">
        <v>70</v>
      </c>
      <c r="Q24" s="120" t="s">
        <v>69</v>
      </c>
      <c r="R24" s="120" t="s">
        <v>69</v>
      </c>
      <c r="S24" s="120" t="s">
        <v>69</v>
      </c>
      <c r="T24" s="120" t="s">
        <v>69</v>
      </c>
      <c r="U24" s="361" t="s">
        <v>108</v>
      </c>
      <c r="V24" s="120" t="s">
        <v>69</v>
      </c>
      <c r="W24" s="120" t="s">
        <v>69</v>
      </c>
      <c r="X24" s="120" t="s">
        <v>69</v>
      </c>
      <c r="Y24" s="120" t="s">
        <v>69</v>
      </c>
      <c r="Z24" s="131" t="s">
        <v>72</v>
      </c>
      <c r="AA24" s="120" t="s">
        <v>69</v>
      </c>
      <c r="AB24" s="361" t="s">
        <v>108</v>
      </c>
      <c r="AC24" s="120" t="s">
        <v>69</v>
      </c>
      <c r="AD24" s="120" t="s">
        <v>69</v>
      </c>
      <c r="AE24" s="120" t="s">
        <v>69</v>
      </c>
      <c r="AF24" s="120" t="s">
        <v>69</v>
      </c>
      <c r="AG24" s="120" t="s">
        <v>69</v>
      </c>
      <c r="AH24" s="120" t="s">
        <v>69</v>
      </c>
      <c r="AI24" s="361" t="s">
        <v>108</v>
      </c>
      <c r="AJ24" s="296"/>
      <c r="AK24" s="296"/>
      <c r="AL24" s="296"/>
      <c r="AM24" s="296"/>
      <c r="AN24" s="296"/>
      <c r="AO24" s="296"/>
      <c r="AP24" s="296"/>
      <c r="AQ24" s="296"/>
      <c r="AR24" s="296"/>
      <c r="AS24" s="296"/>
      <c r="AT24" s="296"/>
      <c r="AU24" s="296"/>
    </row>
    <row r="25" spans="1:47" ht="18">
      <c r="A25" s="5">
        <v>24</v>
      </c>
      <c r="B25" s="254" t="s">
        <v>28</v>
      </c>
      <c r="C25" s="7">
        <v>0</v>
      </c>
      <c r="D25" s="7">
        <v>0</v>
      </c>
      <c r="E25" s="7">
        <f t="shared" si="0"/>
        <v>0</v>
      </c>
      <c r="F25" s="120" t="s">
        <v>69</v>
      </c>
      <c r="G25" s="361" t="s">
        <v>108</v>
      </c>
      <c r="H25" s="120" t="s">
        <v>69</v>
      </c>
      <c r="I25" s="120" t="s">
        <v>69</v>
      </c>
      <c r="J25" s="120" t="s">
        <v>69</v>
      </c>
      <c r="K25" s="120" t="s">
        <v>69</v>
      </c>
      <c r="L25" s="120" t="s">
        <v>69</v>
      </c>
      <c r="M25" s="120" t="s">
        <v>69</v>
      </c>
      <c r="N25" s="361" t="s">
        <v>108</v>
      </c>
      <c r="O25" s="120" t="s">
        <v>69</v>
      </c>
      <c r="P25" s="120" t="s">
        <v>69</v>
      </c>
      <c r="Q25" s="120" t="s">
        <v>69</v>
      </c>
      <c r="R25" s="120" t="s">
        <v>69</v>
      </c>
      <c r="S25" s="120" t="s">
        <v>69</v>
      </c>
      <c r="T25" s="120" t="s">
        <v>69</v>
      </c>
      <c r="U25" s="361" t="s">
        <v>108</v>
      </c>
      <c r="V25" s="120" t="s">
        <v>69</v>
      </c>
      <c r="W25" s="120" t="s">
        <v>69</v>
      </c>
      <c r="X25" s="120" t="s">
        <v>69</v>
      </c>
      <c r="Y25" s="120" t="s">
        <v>69</v>
      </c>
      <c r="Z25" s="120" t="s">
        <v>69</v>
      </c>
      <c r="AA25" s="120" t="s">
        <v>69</v>
      </c>
      <c r="AB25" s="361" t="s">
        <v>108</v>
      </c>
      <c r="AC25" s="120" t="s">
        <v>69</v>
      </c>
      <c r="AD25" s="120" t="s">
        <v>69</v>
      </c>
      <c r="AE25" s="120" t="s">
        <v>69</v>
      </c>
      <c r="AF25" s="120" t="s">
        <v>69</v>
      </c>
      <c r="AG25" s="120" t="s">
        <v>69</v>
      </c>
      <c r="AH25" s="120" t="s">
        <v>69</v>
      </c>
      <c r="AI25" s="361" t="s">
        <v>108</v>
      </c>
      <c r="AJ25" s="296"/>
      <c r="AK25" s="296"/>
      <c r="AL25" s="296"/>
      <c r="AM25" s="296"/>
      <c r="AN25" s="296"/>
      <c r="AO25" s="296"/>
      <c r="AP25" s="296"/>
      <c r="AQ25" s="296"/>
      <c r="AR25" s="296"/>
      <c r="AS25" s="296"/>
      <c r="AT25" s="296"/>
      <c r="AU25" s="296"/>
    </row>
    <row r="26" spans="1:47" ht="18">
      <c r="A26" s="5">
        <v>25</v>
      </c>
      <c r="B26" s="254" t="s">
        <v>29</v>
      </c>
      <c r="C26" s="7">
        <v>2</v>
      </c>
      <c r="D26" s="7">
        <v>2</v>
      </c>
      <c r="E26" s="7">
        <f t="shared" si="0"/>
        <v>0</v>
      </c>
      <c r="F26" s="131" t="s">
        <v>72</v>
      </c>
      <c r="G26" s="361" t="s">
        <v>108</v>
      </c>
      <c r="H26" s="120" t="s">
        <v>69</v>
      </c>
      <c r="I26" s="120" t="s">
        <v>69</v>
      </c>
      <c r="J26" s="120" t="s">
        <v>69</v>
      </c>
      <c r="K26" s="120" t="s">
        <v>69</v>
      </c>
      <c r="L26" s="120" t="s">
        <v>69</v>
      </c>
      <c r="M26" s="120" t="s">
        <v>69</v>
      </c>
      <c r="N26" s="361" t="s">
        <v>108</v>
      </c>
      <c r="O26" s="120" t="s">
        <v>69</v>
      </c>
      <c r="P26" s="120" t="s">
        <v>69</v>
      </c>
      <c r="Q26" s="120" t="s">
        <v>69</v>
      </c>
      <c r="R26" s="120" t="s">
        <v>69</v>
      </c>
      <c r="S26" s="120" t="s">
        <v>69</v>
      </c>
      <c r="T26" s="120" t="s">
        <v>69</v>
      </c>
      <c r="U26" s="361" t="s">
        <v>108</v>
      </c>
      <c r="V26" s="120" t="s">
        <v>69</v>
      </c>
      <c r="W26" s="120" t="s">
        <v>69</v>
      </c>
      <c r="X26" s="120" t="s">
        <v>69</v>
      </c>
      <c r="Y26" s="120" t="s">
        <v>69</v>
      </c>
      <c r="Z26" s="120" t="s">
        <v>69</v>
      </c>
      <c r="AA26" s="131" t="s">
        <v>72</v>
      </c>
      <c r="AB26" s="361" t="s">
        <v>108</v>
      </c>
      <c r="AC26" s="120" t="s">
        <v>69</v>
      </c>
      <c r="AD26" s="120" t="s">
        <v>69</v>
      </c>
      <c r="AE26" s="120" t="s">
        <v>69</v>
      </c>
      <c r="AF26" s="120" t="s">
        <v>69</v>
      </c>
      <c r="AG26" s="120" t="s">
        <v>69</v>
      </c>
      <c r="AH26" s="120" t="s">
        <v>69</v>
      </c>
      <c r="AI26" s="361" t="s">
        <v>108</v>
      </c>
      <c r="AJ26" s="296"/>
      <c r="AK26" s="296"/>
      <c r="AL26" s="296"/>
      <c r="AM26" s="296"/>
      <c r="AN26" s="296"/>
      <c r="AO26" s="296"/>
      <c r="AP26" s="296"/>
      <c r="AQ26" s="296"/>
      <c r="AR26" s="296"/>
      <c r="AS26" s="296"/>
      <c r="AT26" s="296"/>
      <c r="AU26" s="296"/>
    </row>
    <row r="27" spans="1:47" ht="18">
      <c r="A27" s="5">
        <v>26</v>
      </c>
      <c r="B27" s="254" t="s">
        <v>181</v>
      </c>
      <c r="C27" s="7">
        <v>0</v>
      </c>
      <c r="D27" s="7">
        <v>0</v>
      </c>
      <c r="E27" s="7">
        <f t="shared" si="0"/>
        <v>0</v>
      </c>
      <c r="F27" s="120" t="s">
        <v>69</v>
      </c>
      <c r="G27" s="361" t="s">
        <v>108</v>
      </c>
      <c r="H27" s="120" t="s">
        <v>69</v>
      </c>
      <c r="I27" s="120" t="s">
        <v>70</v>
      </c>
      <c r="J27" s="120" t="s">
        <v>69</v>
      </c>
      <c r="K27" s="120" t="s">
        <v>69</v>
      </c>
      <c r="L27" s="120" t="s">
        <v>69</v>
      </c>
      <c r="M27" s="120" t="s">
        <v>69</v>
      </c>
      <c r="N27" s="361" t="s">
        <v>108</v>
      </c>
      <c r="O27" s="120" t="s">
        <v>69</v>
      </c>
      <c r="P27" s="120" t="s">
        <v>69</v>
      </c>
      <c r="Q27" s="120" t="s">
        <v>69</v>
      </c>
      <c r="R27" s="120" t="s">
        <v>69</v>
      </c>
      <c r="S27" s="120" t="s">
        <v>69</v>
      </c>
      <c r="T27" s="120" t="s">
        <v>69</v>
      </c>
      <c r="U27" s="361" t="s">
        <v>108</v>
      </c>
      <c r="V27" s="120" t="s">
        <v>69</v>
      </c>
      <c r="W27" s="120" t="s">
        <v>69</v>
      </c>
      <c r="X27" s="120" t="s">
        <v>69</v>
      </c>
      <c r="Y27" s="120" t="s">
        <v>69</v>
      </c>
      <c r="Z27" s="120" t="s">
        <v>69</v>
      </c>
      <c r="AA27" s="120" t="s">
        <v>69</v>
      </c>
      <c r="AB27" s="361" t="s">
        <v>108</v>
      </c>
      <c r="AC27" s="120" t="s">
        <v>69</v>
      </c>
      <c r="AD27" s="120" t="s">
        <v>69</v>
      </c>
      <c r="AE27" s="120" t="s">
        <v>69</v>
      </c>
      <c r="AF27" s="120" t="s">
        <v>69</v>
      </c>
      <c r="AG27" s="120" t="s">
        <v>69</v>
      </c>
      <c r="AH27" s="120" t="s">
        <v>69</v>
      </c>
      <c r="AI27" s="361" t="s">
        <v>108</v>
      </c>
      <c r="AJ27" s="296"/>
      <c r="AK27" s="296"/>
      <c r="AL27" s="296"/>
      <c r="AM27" s="296"/>
      <c r="AN27" s="296"/>
      <c r="AO27" s="296"/>
      <c r="AP27" s="296"/>
      <c r="AQ27" s="296"/>
      <c r="AR27" s="296"/>
      <c r="AS27" s="296"/>
      <c r="AT27" s="296"/>
      <c r="AU27" s="296"/>
    </row>
    <row r="28" spans="1:47" ht="18">
      <c r="A28" s="5">
        <v>27</v>
      </c>
      <c r="B28" s="386" t="s">
        <v>182</v>
      </c>
      <c r="C28" s="7">
        <v>30</v>
      </c>
      <c r="D28" s="7"/>
      <c r="E28" s="7">
        <f t="shared" si="0"/>
        <v>30</v>
      </c>
      <c r="F28" s="131" t="s">
        <v>72</v>
      </c>
      <c r="G28" s="361" t="s">
        <v>108</v>
      </c>
      <c r="H28" s="131" t="s">
        <v>72</v>
      </c>
      <c r="I28" s="131" t="s">
        <v>72</v>
      </c>
      <c r="J28" s="131" t="s">
        <v>72</v>
      </c>
      <c r="K28" s="131" t="s">
        <v>72</v>
      </c>
      <c r="L28" s="131" t="s">
        <v>72</v>
      </c>
      <c r="M28" s="131" t="s">
        <v>72</v>
      </c>
      <c r="N28" s="361" t="s">
        <v>108</v>
      </c>
      <c r="O28" s="131" t="s">
        <v>72</v>
      </c>
      <c r="P28" s="131" t="s">
        <v>72</v>
      </c>
      <c r="Q28" s="120" t="s">
        <v>69</v>
      </c>
      <c r="R28" s="131" t="s">
        <v>72</v>
      </c>
      <c r="S28" s="131" t="s">
        <v>72</v>
      </c>
      <c r="T28" s="131" t="s">
        <v>72</v>
      </c>
      <c r="U28" s="361" t="s">
        <v>108</v>
      </c>
      <c r="V28" s="131" t="s">
        <v>72</v>
      </c>
      <c r="W28" s="131" t="s">
        <v>72</v>
      </c>
      <c r="X28" s="131" t="s">
        <v>72</v>
      </c>
      <c r="Y28" s="131" t="s">
        <v>72</v>
      </c>
      <c r="Z28" s="131" t="s">
        <v>72</v>
      </c>
      <c r="AA28" s="131" t="s">
        <v>72</v>
      </c>
      <c r="AB28" s="361" t="s">
        <v>108</v>
      </c>
      <c r="AC28" s="131" t="s">
        <v>72</v>
      </c>
      <c r="AD28" s="131" t="s">
        <v>72</v>
      </c>
      <c r="AE28" s="131" t="s">
        <v>72</v>
      </c>
      <c r="AF28" s="131" t="s">
        <v>72</v>
      </c>
      <c r="AG28" s="131" t="s">
        <v>72</v>
      </c>
      <c r="AH28" s="131" t="s">
        <v>72</v>
      </c>
      <c r="AI28" s="361" t="s">
        <v>108</v>
      </c>
      <c r="AJ28" s="296"/>
      <c r="AK28" s="296"/>
      <c r="AL28" s="296"/>
      <c r="AM28" s="296"/>
      <c r="AN28" s="296"/>
      <c r="AO28" s="296"/>
      <c r="AP28" s="296"/>
      <c r="AQ28" s="296"/>
      <c r="AR28" s="296"/>
      <c r="AS28" s="296"/>
      <c r="AT28" s="296"/>
      <c r="AU28" s="296"/>
    </row>
    <row r="29" spans="1:47" ht="18">
      <c r="A29" s="5">
        <v>28</v>
      </c>
      <c r="B29" s="254" t="s">
        <v>30</v>
      </c>
      <c r="C29" s="7">
        <v>2</v>
      </c>
      <c r="D29" s="7">
        <v>2</v>
      </c>
      <c r="E29" s="7">
        <f t="shared" si="0"/>
        <v>0</v>
      </c>
      <c r="F29" s="120" t="s">
        <v>69</v>
      </c>
      <c r="G29" s="361" t="s">
        <v>108</v>
      </c>
      <c r="H29" s="120" t="s">
        <v>69</v>
      </c>
      <c r="I29" s="120" t="s">
        <v>70</v>
      </c>
      <c r="J29" s="120" t="s">
        <v>69</v>
      </c>
      <c r="K29" s="120" t="s">
        <v>69</v>
      </c>
      <c r="L29" s="120" t="s">
        <v>69</v>
      </c>
      <c r="M29" s="131" t="s">
        <v>72</v>
      </c>
      <c r="N29" s="361" t="s">
        <v>108</v>
      </c>
      <c r="O29" s="120" t="s">
        <v>69</v>
      </c>
      <c r="P29" s="120" t="s">
        <v>69</v>
      </c>
      <c r="Q29" s="120" t="s">
        <v>69</v>
      </c>
      <c r="R29" s="120" t="s">
        <v>69</v>
      </c>
      <c r="S29" s="120" t="s">
        <v>69</v>
      </c>
      <c r="T29" s="120" t="s">
        <v>69</v>
      </c>
      <c r="U29" s="361" t="s">
        <v>108</v>
      </c>
      <c r="V29" s="120" t="s">
        <v>69</v>
      </c>
      <c r="W29" s="120" t="s">
        <v>69</v>
      </c>
      <c r="X29" s="131" t="s">
        <v>72</v>
      </c>
      <c r="Y29" s="120" t="s">
        <v>69</v>
      </c>
      <c r="Z29" s="120" t="s">
        <v>69</v>
      </c>
      <c r="AA29" s="120" t="s">
        <v>69</v>
      </c>
      <c r="AB29" s="361" t="s">
        <v>108</v>
      </c>
      <c r="AC29" s="120" t="s">
        <v>69</v>
      </c>
      <c r="AD29" s="120" t="s">
        <v>69</v>
      </c>
      <c r="AE29" s="120" t="s">
        <v>69</v>
      </c>
      <c r="AF29" s="120" t="s">
        <v>69</v>
      </c>
      <c r="AG29" s="120" t="s">
        <v>69</v>
      </c>
      <c r="AH29" s="120" t="s">
        <v>69</v>
      </c>
      <c r="AI29" s="361" t="s">
        <v>108</v>
      </c>
      <c r="AJ29" s="296"/>
      <c r="AK29" s="296"/>
      <c r="AL29" s="296"/>
      <c r="AM29" s="296"/>
      <c r="AN29" s="296"/>
      <c r="AO29" s="296"/>
      <c r="AP29" s="296"/>
      <c r="AQ29" s="296"/>
      <c r="AR29" s="296"/>
      <c r="AS29" s="296"/>
      <c r="AT29" s="296"/>
      <c r="AU29" s="296"/>
    </row>
    <row r="30" spans="1:47" ht="18">
      <c r="A30" s="5">
        <v>29</v>
      </c>
      <c r="B30" s="254" t="s">
        <v>183</v>
      </c>
      <c r="C30" s="7">
        <v>0</v>
      </c>
      <c r="D30" s="7">
        <v>0</v>
      </c>
      <c r="E30" s="7">
        <f t="shared" si="0"/>
        <v>0</v>
      </c>
      <c r="F30" s="120" t="s">
        <v>69</v>
      </c>
      <c r="G30" s="362" t="s">
        <v>108</v>
      </c>
      <c r="H30" s="120" t="s">
        <v>69</v>
      </c>
      <c r="I30" s="120" t="s">
        <v>69</v>
      </c>
      <c r="J30" s="120" t="s">
        <v>69</v>
      </c>
      <c r="K30" s="120" t="s">
        <v>69</v>
      </c>
      <c r="L30" s="120" t="s">
        <v>69</v>
      </c>
      <c r="M30" s="120" t="s">
        <v>69</v>
      </c>
      <c r="N30" s="362" t="s">
        <v>108</v>
      </c>
      <c r="O30" s="120" t="s">
        <v>69</v>
      </c>
      <c r="P30" s="120" t="s">
        <v>69</v>
      </c>
      <c r="Q30" s="120" t="s">
        <v>69</v>
      </c>
      <c r="R30" s="120" t="s">
        <v>69</v>
      </c>
      <c r="S30" s="120" t="s">
        <v>69</v>
      </c>
      <c r="T30" s="120" t="s">
        <v>69</v>
      </c>
      <c r="U30" s="362" t="s">
        <v>108</v>
      </c>
      <c r="V30" s="120" t="s">
        <v>69</v>
      </c>
      <c r="W30" s="120" t="s">
        <v>69</v>
      </c>
      <c r="X30" s="120" t="s">
        <v>69</v>
      </c>
      <c r="Y30" s="120" t="s">
        <v>69</v>
      </c>
      <c r="Z30" s="120" t="s">
        <v>69</v>
      </c>
      <c r="AA30" s="120" t="s">
        <v>69</v>
      </c>
      <c r="AB30" s="362" t="s">
        <v>108</v>
      </c>
      <c r="AC30" s="120" t="s">
        <v>69</v>
      </c>
      <c r="AD30" s="120" t="s">
        <v>69</v>
      </c>
      <c r="AE30" s="120" t="s">
        <v>69</v>
      </c>
      <c r="AF30" s="120" t="s">
        <v>69</v>
      </c>
      <c r="AG30" s="120" t="s">
        <v>69</v>
      </c>
      <c r="AH30" s="120" t="s">
        <v>69</v>
      </c>
      <c r="AI30" s="362" t="s">
        <v>108</v>
      </c>
      <c r="AJ30" s="296"/>
      <c r="AK30" s="296"/>
      <c r="AL30" s="296"/>
      <c r="AM30" s="296"/>
      <c r="AN30" s="296"/>
      <c r="AO30" s="296"/>
      <c r="AP30" s="296"/>
      <c r="AQ30" s="296"/>
      <c r="AR30" s="296"/>
      <c r="AS30" s="296"/>
      <c r="AT30" s="296"/>
      <c r="AU30" s="296"/>
    </row>
    <row r="31" spans="1:47" ht="18">
      <c r="A31" s="5">
        <v>30</v>
      </c>
      <c r="B31" s="254" t="s">
        <v>31</v>
      </c>
      <c r="C31" s="7">
        <v>1</v>
      </c>
      <c r="D31" s="7">
        <v>1</v>
      </c>
      <c r="E31" s="7">
        <f t="shared" si="0"/>
        <v>0</v>
      </c>
      <c r="F31" s="120" t="s">
        <v>69</v>
      </c>
      <c r="G31" s="362" t="s">
        <v>108</v>
      </c>
      <c r="H31" s="120" t="s">
        <v>69</v>
      </c>
      <c r="I31" s="120" t="s">
        <v>69</v>
      </c>
      <c r="J31" s="131" t="s">
        <v>72</v>
      </c>
      <c r="K31" s="120" t="s">
        <v>69</v>
      </c>
      <c r="L31" s="120" t="s">
        <v>69</v>
      </c>
      <c r="M31" s="120" t="s">
        <v>69</v>
      </c>
      <c r="N31" s="362" t="s">
        <v>108</v>
      </c>
      <c r="O31" s="120" t="s">
        <v>69</v>
      </c>
      <c r="P31" s="120" t="s">
        <v>69</v>
      </c>
      <c r="Q31" s="120" t="s">
        <v>69</v>
      </c>
      <c r="R31" s="120" t="s">
        <v>69</v>
      </c>
      <c r="S31" s="120" t="s">
        <v>69</v>
      </c>
      <c r="T31" s="120" t="s">
        <v>69</v>
      </c>
      <c r="U31" s="362" t="s">
        <v>108</v>
      </c>
      <c r="V31" s="120" t="s">
        <v>69</v>
      </c>
      <c r="W31" s="120" t="s">
        <v>69</v>
      </c>
      <c r="X31" s="120" t="s">
        <v>69</v>
      </c>
      <c r="Y31" s="120" t="s">
        <v>69</v>
      </c>
      <c r="Z31" s="120" t="s">
        <v>69</v>
      </c>
      <c r="AA31" s="120" t="s">
        <v>69</v>
      </c>
      <c r="AB31" s="362" t="s">
        <v>108</v>
      </c>
      <c r="AC31" s="120" t="s">
        <v>69</v>
      </c>
      <c r="AD31" s="120" t="s">
        <v>69</v>
      </c>
      <c r="AE31" s="120" t="s">
        <v>69</v>
      </c>
      <c r="AF31" s="120" t="s">
        <v>69</v>
      </c>
      <c r="AG31" s="120" t="s">
        <v>69</v>
      </c>
      <c r="AH31" s="120" t="s">
        <v>69</v>
      </c>
      <c r="AI31" s="362" t="s">
        <v>108</v>
      </c>
      <c r="AJ31" s="296"/>
      <c r="AK31" s="296"/>
      <c r="AL31" s="296"/>
      <c r="AM31" s="296"/>
      <c r="AN31" s="296"/>
      <c r="AO31" s="296"/>
      <c r="AP31" s="296"/>
      <c r="AQ31" s="296"/>
      <c r="AR31" s="296"/>
      <c r="AS31" s="296"/>
      <c r="AT31" s="296"/>
      <c r="AU31" s="296"/>
    </row>
    <row r="32" spans="1:47" ht="18">
      <c r="A32" s="5">
        <v>31</v>
      </c>
      <c r="B32" s="186" t="s">
        <v>142</v>
      </c>
      <c r="C32" s="7">
        <v>3</v>
      </c>
      <c r="D32" s="7">
        <v>2</v>
      </c>
      <c r="E32" s="7">
        <f t="shared" si="0"/>
        <v>1</v>
      </c>
      <c r="F32" s="131" t="s">
        <v>72</v>
      </c>
      <c r="G32" s="362" t="s">
        <v>108</v>
      </c>
      <c r="H32" s="120" t="s">
        <v>69</v>
      </c>
      <c r="I32" s="120" t="s">
        <v>69</v>
      </c>
      <c r="J32" s="131" t="s">
        <v>72</v>
      </c>
      <c r="K32" s="120" t="s">
        <v>69</v>
      </c>
      <c r="L32" s="120" t="s">
        <v>69</v>
      </c>
      <c r="M32" s="120" t="s">
        <v>69</v>
      </c>
      <c r="N32" s="362" t="s">
        <v>108</v>
      </c>
      <c r="O32" s="120" t="s">
        <v>69</v>
      </c>
      <c r="P32" s="131" t="s">
        <v>72</v>
      </c>
      <c r="Q32" s="120" t="s">
        <v>69</v>
      </c>
      <c r="R32" s="120" t="s">
        <v>69</v>
      </c>
      <c r="S32" s="120" t="s">
        <v>69</v>
      </c>
      <c r="T32" s="120" t="s">
        <v>69</v>
      </c>
      <c r="U32" s="362" t="s">
        <v>108</v>
      </c>
      <c r="V32" s="120" t="s">
        <v>69</v>
      </c>
      <c r="W32" s="120" t="s">
        <v>69</v>
      </c>
      <c r="X32" s="120" t="s">
        <v>69</v>
      </c>
      <c r="Y32" s="120" t="s">
        <v>69</v>
      </c>
      <c r="Z32" s="120" t="s">
        <v>69</v>
      </c>
      <c r="AA32" s="120" t="s">
        <v>69</v>
      </c>
      <c r="AB32" s="362" t="s">
        <v>108</v>
      </c>
      <c r="AC32" s="120" t="s">
        <v>69</v>
      </c>
      <c r="AD32" s="120" t="s">
        <v>69</v>
      </c>
      <c r="AE32" s="120" t="s">
        <v>69</v>
      </c>
      <c r="AF32" s="120" t="s">
        <v>69</v>
      </c>
      <c r="AG32" s="120" t="s">
        <v>69</v>
      </c>
      <c r="AH32" s="120" t="s">
        <v>69</v>
      </c>
      <c r="AI32" s="362" t="s">
        <v>108</v>
      </c>
      <c r="AJ32" s="296"/>
      <c r="AK32" s="296"/>
      <c r="AL32" s="296"/>
      <c r="AM32" s="296"/>
      <c r="AN32" s="296"/>
      <c r="AO32" s="296"/>
      <c r="AP32" s="296"/>
      <c r="AQ32" s="296"/>
      <c r="AR32" s="296"/>
      <c r="AS32" s="296"/>
      <c r="AT32" s="296"/>
      <c r="AU32" s="296"/>
    </row>
    <row r="33" spans="1:47" ht="18">
      <c r="A33" s="5">
        <v>32</v>
      </c>
      <c r="B33" s="186" t="s">
        <v>33</v>
      </c>
      <c r="C33" s="7">
        <v>0</v>
      </c>
      <c r="D33" s="7">
        <v>0</v>
      </c>
      <c r="E33" s="7">
        <f t="shared" si="0"/>
        <v>0</v>
      </c>
      <c r="F33" s="120" t="s">
        <v>69</v>
      </c>
      <c r="G33" s="362" t="s">
        <v>108</v>
      </c>
      <c r="H33" s="120" t="s">
        <v>69</v>
      </c>
      <c r="I33" s="120" t="s">
        <v>69</v>
      </c>
      <c r="J33" s="120" t="s">
        <v>69</v>
      </c>
      <c r="K33" s="120" t="s">
        <v>70</v>
      </c>
      <c r="L33" s="120" t="s">
        <v>69</v>
      </c>
      <c r="M33" s="120" t="s">
        <v>69</v>
      </c>
      <c r="N33" s="362" t="s">
        <v>108</v>
      </c>
      <c r="O33" s="120" t="s">
        <v>69</v>
      </c>
      <c r="P33" s="120" t="s">
        <v>69</v>
      </c>
      <c r="Q33" s="120" t="s">
        <v>69</v>
      </c>
      <c r="R33" s="120" t="s">
        <v>69</v>
      </c>
      <c r="S33" s="120" t="s">
        <v>69</v>
      </c>
      <c r="T33" s="120" t="s">
        <v>69</v>
      </c>
      <c r="U33" s="362" t="s">
        <v>108</v>
      </c>
      <c r="V33" s="120" t="s">
        <v>69</v>
      </c>
      <c r="W33" s="120" t="s">
        <v>69</v>
      </c>
      <c r="X33" s="120" t="s">
        <v>69</v>
      </c>
      <c r="Y33" s="120" t="s">
        <v>69</v>
      </c>
      <c r="Z33" s="120" t="s">
        <v>69</v>
      </c>
      <c r="AA33" s="120" t="s">
        <v>69</v>
      </c>
      <c r="AB33" s="362" t="s">
        <v>108</v>
      </c>
      <c r="AC33" s="120" t="s">
        <v>69</v>
      </c>
      <c r="AD33" s="120" t="s">
        <v>69</v>
      </c>
      <c r="AE33" s="120" t="s">
        <v>69</v>
      </c>
      <c r="AF33" s="120" t="s">
        <v>69</v>
      </c>
      <c r="AG33" s="120" t="s">
        <v>69</v>
      </c>
      <c r="AH33" s="120" t="s">
        <v>69</v>
      </c>
      <c r="AI33" s="362" t="s">
        <v>108</v>
      </c>
      <c r="AJ33" s="296"/>
      <c r="AK33" s="296"/>
      <c r="AL33" s="296"/>
      <c r="AM33" s="296"/>
      <c r="AN33" s="296"/>
      <c r="AO33" s="296"/>
      <c r="AP33" s="296"/>
      <c r="AQ33" s="296"/>
      <c r="AR33" s="296"/>
      <c r="AS33" s="296"/>
      <c r="AT33" s="296"/>
      <c r="AU33" s="296"/>
    </row>
    <row r="34" spans="1:47" ht="18">
      <c r="A34" s="5">
        <v>33</v>
      </c>
      <c r="B34" s="387" t="s">
        <v>184</v>
      </c>
      <c r="C34" s="7">
        <v>24</v>
      </c>
      <c r="D34" s="7"/>
      <c r="E34" s="7">
        <f t="shared" si="0"/>
        <v>24</v>
      </c>
      <c r="F34" s="120" t="s">
        <v>69</v>
      </c>
      <c r="G34" s="362" t="s">
        <v>108</v>
      </c>
      <c r="H34" s="120" t="s">
        <v>69</v>
      </c>
      <c r="I34" s="120" t="s">
        <v>69</v>
      </c>
      <c r="J34" s="131" t="s">
        <v>72</v>
      </c>
      <c r="K34" s="131" t="s">
        <v>72</v>
      </c>
      <c r="L34" s="131" t="s">
        <v>72</v>
      </c>
      <c r="M34" s="131" t="s">
        <v>72</v>
      </c>
      <c r="N34" s="362" t="s">
        <v>108</v>
      </c>
      <c r="O34" s="120" t="s">
        <v>69</v>
      </c>
      <c r="P34" s="120" t="s">
        <v>69</v>
      </c>
      <c r="Q34" s="120" t="s">
        <v>69</v>
      </c>
      <c r="R34" s="131" t="s">
        <v>76</v>
      </c>
      <c r="S34" s="131" t="s">
        <v>76</v>
      </c>
      <c r="T34" s="131" t="s">
        <v>76</v>
      </c>
      <c r="U34" s="362" t="s">
        <v>108</v>
      </c>
      <c r="V34" s="131" t="s">
        <v>76</v>
      </c>
      <c r="W34" s="131" t="s">
        <v>76</v>
      </c>
      <c r="X34" s="131" t="s">
        <v>76</v>
      </c>
      <c r="Y34" s="131" t="s">
        <v>76</v>
      </c>
      <c r="Z34" s="131" t="s">
        <v>76</v>
      </c>
      <c r="AA34" s="131" t="s">
        <v>76</v>
      </c>
      <c r="AB34" s="362" t="s">
        <v>108</v>
      </c>
      <c r="AC34" s="131" t="s">
        <v>76</v>
      </c>
      <c r="AD34" s="131" t="s">
        <v>76</v>
      </c>
      <c r="AE34" s="131" t="s">
        <v>76</v>
      </c>
      <c r="AF34" s="131" t="s">
        <v>76</v>
      </c>
      <c r="AG34" s="131" t="s">
        <v>76</v>
      </c>
      <c r="AH34" s="131" t="s">
        <v>76</v>
      </c>
      <c r="AI34" s="362" t="s">
        <v>108</v>
      </c>
      <c r="AJ34" s="296"/>
      <c r="AK34" s="296"/>
      <c r="AL34" s="296"/>
      <c r="AM34" s="296"/>
      <c r="AN34" s="296"/>
      <c r="AO34" s="296"/>
      <c r="AP34" s="296"/>
      <c r="AQ34" s="296"/>
      <c r="AR34" s="296"/>
      <c r="AS34" s="296"/>
      <c r="AT34" s="296"/>
      <c r="AU34" s="296"/>
    </row>
    <row r="35" spans="1:47" ht="18">
      <c r="A35" s="5">
        <v>34</v>
      </c>
      <c r="B35" s="186" t="s">
        <v>35</v>
      </c>
      <c r="C35" s="7">
        <v>1</v>
      </c>
      <c r="D35" s="7">
        <v>1</v>
      </c>
      <c r="E35" s="7">
        <f t="shared" si="0"/>
        <v>0</v>
      </c>
      <c r="F35" s="120" t="s">
        <v>69</v>
      </c>
      <c r="G35" s="361" t="s">
        <v>108</v>
      </c>
      <c r="H35" s="120" t="s">
        <v>69</v>
      </c>
      <c r="I35" s="120" t="s">
        <v>69</v>
      </c>
      <c r="J35" s="120" t="s">
        <v>69</v>
      </c>
      <c r="K35" s="120" t="s">
        <v>70</v>
      </c>
      <c r="L35" s="120" t="s">
        <v>69</v>
      </c>
      <c r="M35" s="120" t="s">
        <v>69</v>
      </c>
      <c r="N35" s="361" t="s">
        <v>108</v>
      </c>
      <c r="O35" s="120" t="s">
        <v>69</v>
      </c>
      <c r="P35" s="120" t="s">
        <v>69</v>
      </c>
      <c r="Q35" s="120" t="s">
        <v>69</v>
      </c>
      <c r="R35" s="120" t="s">
        <v>69</v>
      </c>
      <c r="S35" s="120" t="s">
        <v>69</v>
      </c>
      <c r="T35" s="120" t="s">
        <v>69</v>
      </c>
      <c r="U35" s="361" t="s">
        <v>108</v>
      </c>
      <c r="V35" s="120" t="s">
        <v>69</v>
      </c>
      <c r="W35" s="120" t="s">
        <v>69</v>
      </c>
      <c r="X35" s="120" t="s">
        <v>69</v>
      </c>
      <c r="Y35" s="120" t="s">
        <v>69</v>
      </c>
      <c r="Z35" s="120" t="s">
        <v>69</v>
      </c>
      <c r="AA35" s="120" t="s">
        <v>69</v>
      </c>
      <c r="AB35" s="361" t="s">
        <v>108</v>
      </c>
      <c r="AC35" s="120" t="s">
        <v>69</v>
      </c>
      <c r="AD35" s="131" t="s">
        <v>72</v>
      </c>
      <c r="AE35" s="120" t="s">
        <v>69</v>
      </c>
      <c r="AF35" s="120" t="s">
        <v>69</v>
      </c>
      <c r="AG35" s="120" t="s">
        <v>69</v>
      </c>
      <c r="AH35" s="120" t="s">
        <v>69</v>
      </c>
      <c r="AI35" s="361" t="s">
        <v>108</v>
      </c>
      <c r="AJ35" s="296"/>
      <c r="AK35" s="296"/>
      <c r="AL35" s="296"/>
      <c r="AM35" s="296"/>
      <c r="AN35" s="296"/>
      <c r="AO35" s="296"/>
      <c r="AP35" s="296"/>
      <c r="AQ35" s="296"/>
      <c r="AR35" s="296"/>
      <c r="AS35" s="296"/>
      <c r="AT35" s="296"/>
      <c r="AU35" s="296"/>
    </row>
    <row r="36" spans="1:47" ht="18">
      <c r="A36" s="5">
        <v>35</v>
      </c>
      <c r="B36" s="186" t="s">
        <v>118</v>
      </c>
      <c r="C36" s="7">
        <v>0</v>
      </c>
      <c r="D36" s="7">
        <v>0</v>
      </c>
      <c r="E36" s="7">
        <f t="shared" si="0"/>
        <v>0</v>
      </c>
      <c r="F36" s="120" t="s">
        <v>69</v>
      </c>
      <c r="G36" s="361" t="s">
        <v>108</v>
      </c>
      <c r="H36" s="120" t="s">
        <v>69</v>
      </c>
      <c r="I36" s="120" t="s">
        <v>69</v>
      </c>
      <c r="J36" s="120" t="s">
        <v>69</v>
      </c>
      <c r="K36" s="120" t="s">
        <v>69</v>
      </c>
      <c r="L36" s="120" t="s">
        <v>69</v>
      </c>
      <c r="M36" s="120" t="s">
        <v>69</v>
      </c>
      <c r="N36" s="361" t="s">
        <v>108</v>
      </c>
      <c r="O36" s="120" t="s">
        <v>69</v>
      </c>
      <c r="P36" s="120" t="s">
        <v>69</v>
      </c>
      <c r="Q36" s="120" t="s">
        <v>69</v>
      </c>
      <c r="R36" s="120" t="s">
        <v>69</v>
      </c>
      <c r="S36" s="120" t="s">
        <v>69</v>
      </c>
      <c r="T36" s="120" t="s">
        <v>69</v>
      </c>
      <c r="U36" s="361" t="s">
        <v>108</v>
      </c>
      <c r="V36" s="120" t="s">
        <v>69</v>
      </c>
      <c r="W36" s="120" t="s">
        <v>69</v>
      </c>
      <c r="X36" s="120" t="s">
        <v>69</v>
      </c>
      <c r="Y36" s="120" t="s">
        <v>69</v>
      </c>
      <c r="Z36" s="120" t="s">
        <v>69</v>
      </c>
      <c r="AA36" s="120" t="s">
        <v>69</v>
      </c>
      <c r="AB36" s="361" t="s">
        <v>108</v>
      </c>
      <c r="AC36" s="120" t="s">
        <v>69</v>
      </c>
      <c r="AD36" s="120" t="s">
        <v>69</v>
      </c>
      <c r="AE36" s="120" t="s">
        <v>69</v>
      </c>
      <c r="AF36" s="120" t="s">
        <v>69</v>
      </c>
      <c r="AG36" s="120" t="s">
        <v>69</v>
      </c>
      <c r="AH36" s="120" t="s">
        <v>69</v>
      </c>
      <c r="AI36" s="361" t="s">
        <v>108</v>
      </c>
      <c r="AJ36" s="296"/>
      <c r="AK36" s="296"/>
      <c r="AL36" s="296"/>
      <c r="AM36" s="296"/>
      <c r="AN36" s="296"/>
      <c r="AO36" s="296"/>
      <c r="AP36" s="296"/>
      <c r="AQ36" s="296"/>
      <c r="AR36" s="296"/>
      <c r="AS36" s="296"/>
      <c r="AT36" s="296"/>
      <c r="AU36" s="296"/>
    </row>
    <row r="37" spans="1:47" ht="18">
      <c r="A37" s="5">
        <v>36</v>
      </c>
      <c r="B37" s="384" t="s">
        <v>223</v>
      </c>
      <c r="C37" s="7">
        <v>12</v>
      </c>
      <c r="D37" s="7"/>
      <c r="E37" s="7">
        <f t="shared" si="0"/>
        <v>12</v>
      </c>
      <c r="F37" s="120"/>
      <c r="G37" s="361" t="s">
        <v>108</v>
      </c>
      <c r="H37" s="120"/>
      <c r="I37" s="120"/>
      <c r="J37" s="120"/>
      <c r="K37" s="120"/>
      <c r="L37" s="120"/>
      <c r="M37" s="120"/>
      <c r="N37" s="361" t="s">
        <v>108</v>
      </c>
      <c r="O37" s="120"/>
      <c r="P37" s="120"/>
      <c r="Q37" s="120"/>
      <c r="R37" s="120" t="s">
        <v>69</v>
      </c>
      <c r="S37" s="120" t="s">
        <v>69</v>
      </c>
      <c r="T37" s="120" t="s">
        <v>69</v>
      </c>
      <c r="U37" s="361" t="s">
        <v>108</v>
      </c>
      <c r="V37" s="120" t="s">
        <v>69</v>
      </c>
      <c r="W37" s="120" t="s">
        <v>69</v>
      </c>
      <c r="X37" s="120" t="s">
        <v>69</v>
      </c>
      <c r="Y37" s="120" t="s">
        <v>69</v>
      </c>
      <c r="Z37" s="120" t="s">
        <v>69</v>
      </c>
      <c r="AA37" s="120" t="s">
        <v>69</v>
      </c>
      <c r="AB37" s="120" t="s">
        <v>69</v>
      </c>
      <c r="AC37" s="120" t="s">
        <v>69</v>
      </c>
      <c r="AD37" s="120" t="s">
        <v>224</v>
      </c>
      <c r="AE37" s="120" t="s">
        <v>69</v>
      </c>
      <c r="AF37" s="120" t="s">
        <v>69</v>
      </c>
      <c r="AG37" s="120" t="s">
        <v>69</v>
      </c>
      <c r="AH37" s="120" t="s">
        <v>69</v>
      </c>
      <c r="AI37" s="361" t="s">
        <v>108</v>
      </c>
      <c r="AJ37" s="296"/>
      <c r="AK37" s="296"/>
      <c r="AL37" s="296"/>
      <c r="AM37" s="296"/>
      <c r="AN37" s="296"/>
      <c r="AO37" s="296"/>
      <c r="AP37" s="296"/>
      <c r="AQ37" s="296"/>
      <c r="AR37" s="296"/>
      <c r="AS37" s="296"/>
      <c r="AT37" s="296"/>
      <c r="AU37" s="296"/>
    </row>
    <row r="38" spans="1:47" ht="18">
      <c r="A38" s="5">
        <v>37</v>
      </c>
      <c r="B38" s="186" t="s">
        <v>36</v>
      </c>
      <c r="C38" s="7">
        <v>3</v>
      </c>
      <c r="D38" s="7">
        <v>3</v>
      </c>
      <c r="E38" s="7">
        <f t="shared" si="0"/>
        <v>0</v>
      </c>
      <c r="F38" s="120" t="s">
        <v>69</v>
      </c>
      <c r="G38" s="361" t="s">
        <v>108</v>
      </c>
      <c r="H38" s="120" t="s">
        <v>69</v>
      </c>
      <c r="I38" s="120" t="s">
        <v>70</v>
      </c>
      <c r="J38" s="120" t="s">
        <v>70</v>
      </c>
      <c r="K38" s="120" t="s">
        <v>70</v>
      </c>
      <c r="L38" s="120" t="s">
        <v>69</v>
      </c>
      <c r="M38" s="120" t="s">
        <v>69</v>
      </c>
      <c r="N38" s="361" t="s">
        <v>108</v>
      </c>
      <c r="O38" s="120" t="s">
        <v>69</v>
      </c>
      <c r="P38" s="120" t="s">
        <v>69</v>
      </c>
      <c r="Q38" s="120" t="s">
        <v>70</v>
      </c>
      <c r="R38" s="120" t="s">
        <v>69</v>
      </c>
      <c r="S38" s="131" t="s">
        <v>72</v>
      </c>
      <c r="T38" s="131" t="s">
        <v>72</v>
      </c>
      <c r="U38" s="361" t="s">
        <v>108</v>
      </c>
      <c r="V38" s="131" t="s">
        <v>72</v>
      </c>
      <c r="W38" s="120" t="s">
        <v>69</v>
      </c>
      <c r="X38" s="120" t="s">
        <v>69</v>
      </c>
      <c r="Y38" s="120" t="s">
        <v>69</v>
      </c>
      <c r="Z38" s="120" t="s">
        <v>69</v>
      </c>
      <c r="AA38" s="120" t="s">
        <v>69</v>
      </c>
      <c r="AB38" s="361" t="s">
        <v>108</v>
      </c>
      <c r="AC38" s="120" t="s">
        <v>69</v>
      </c>
      <c r="AD38" s="120" t="s">
        <v>69</v>
      </c>
      <c r="AE38" s="120" t="s">
        <v>69</v>
      </c>
      <c r="AF38" s="120" t="s">
        <v>69</v>
      </c>
      <c r="AG38" s="120" t="s">
        <v>69</v>
      </c>
      <c r="AH38" s="120" t="s">
        <v>69</v>
      </c>
      <c r="AI38" s="361" t="s">
        <v>108</v>
      </c>
      <c r="AJ38" s="296"/>
      <c r="AK38" s="296"/>
      <c r="AL38" s="296"/>
      <c r="AM38" s="296"/>
      <c r="AN38" s="296"/>
      <c r="AO38" s="296"/>
      <c r="AP38" s="296"/>
      <c r="AQ38" s="296"/>
      <c r="AR38" s="296"/>
      <c r="AS38" s="296"/>
      <c r="AT38" s="296"/>
      <c r="AU38" s="296"/>
    </row>
    <row r="39" spans="1:47" ht="18">
      <c r="A39" s="5">
        <v>38</v>
      </c>
      <c r="B39" s="186" t="s">
        <v>143</v>
      </c>
      <c r="C39" s="7">
        <v>3</v>
      </c>
      <c r="D39" s="7">
        <v>2.5</v>
      </c>
      <c r="E39" s="7">
        <f t="shared" si="0"/>
        <v>0.5</v>
      </c>
      <c r="F39" s="120" t="s">
        <v>69</v>
      </c>
      <c r="G39" s="361" t="s">
        <v>108</v>
      </c>
      <c r="H39" s="120" t="s">
        <v>69</v>
      </c>
      <c r="I39" s="131" t="s">
        <v>72</v>
      </c>
      <c r="J39" s="131" t="s">
        <v>72</v>
      </c>
      <c r="K39" s="120" t="s">
        <v>69</v>
      </c>
      <c r="L39" s="120" t="s">
        <v>69</v>
      </c>
      <c r="M39" s="120" t="s">
        <v>69</v>
      </c>
      <c r="N39" s="361" t="s">
        <v>108</v>
      </c>
      <c r="O39" s="120" t="s">
        <v>69</v>
      </c>
      <c r="P39" s="120" t="s">
        <v>70</v>
      </c>
      <c r="Q39" s="120" t="s">
        <v>70</v>
      </c>
      <c r="R39" s="120" t="s">
        <v>69</v>
      </c>
      <c r="S39" s="120" t="s">
        <v>69</v>
      </c>
      <c r="T39" s="120" t="s">
        <v>69</v>
      </c>
      <c r="U39" s="361" t="s">
        <v>108</v>
      </c>
      <c r="V39" s="120" t="s">
        <v>69</v>
      </c>
      <c r="W39" s="120" t="s">
        <v>69</v>
      </c>
      <c r="X39" s="120" t="s">
        <v>69</v>
      </c>
      <c r="Y39" s="120" t="s">
        <v>69</v>
      </c>
      <c r="Z39" s="131" t="s">
        <v>72</v>
      </c>
      <c r="AA39" s="120" t="s">
        <v>69</v>
      </c>
      <c r="AB39" s="361" t="s">
        <v>108</v>
      </c>
      <c r="AC39" s="120" t="s">
        <v>69</v>
      </c>
      <c r="AD39" s="120" t="s">
        <v>69</v>
      </c>
      <c r="AE39" s="120" t="s">
        <v>69</v>
      </c>
      <c r="AF39" s="120" t="s">
        <v>69</v>
      </c>
      <c r="AG39" s="120" t="s">
        <v>69</v>
      </c>
      <c r="AH39" s="120" t="s">
        <v>69</v>
      </c>
      <c r="AI39" s="361" t="s">
        <v>108</v>
      </c>
      <c r="AJ39" s="296"/>
      <c r="AK39" s="296"/>
      <c r="AL39" s="296"/>
      <c r="AM39" s="296"/>
      <c r="AN39" s="296"/>
      <c r="AO39" s="296"/>
      <c r="AP39" s="296"/>
      <c r="AQ39" s="296"/>
      <c r="AR39" s="296"/>
      <c r="AS39" s="296"/>
      <c r="AT39" s="296"/>
      <c r="AU39" s="296"/>
    </row>
    <row r="40" spans="1:47" ht="18">
      <c r="A40" s="5">
        <v>39</v>
      </c>
      <c r="B40" s="186" t="s">
        <v>225</v>
      </c>
      <c r="C40" s="7">
        <v>3</v>
      </c>
      <c r="D40" s="7">
        <v>1</v>
      </c>
      <c r="E40" s="7">
        <f t="shared" si="0"/>
        <v>2</v>
      </c>
      <c r="F40" s="120" t="s">
        <v>69</v>
      </c>
      <c r="G40" s="361" t="s">
        <v>108</v>
      </c>
      <c r="H40" s="120" t="s">
        <v>69</v>
      </c>
      <c r="I40" s="120" t="s">
        <v>69</v>
      </c>
      <c r="J40" s="120" t="s">
        <v>69</v>
      </c>
      <c r="K40" s="120" t="s">
        <v>69</v>
      </c>
      <c r="L40" s="120" t="s">
        <v>69</v>
      </c>
      <c r="M40" s="120" t="s">
        <v>69</v>
      </c>
      <c r="N40" s="361" t="s">
        <v>108</v>
      </c>
      <c r="O40" s="120" t="s">
        <v>69</v>
      </c>
      <c r="P40" s="120" t="s">
        <v>69</v>
      </c>
      <c r="Q40" s="120" t="s">
        <v>69</v>
      </c>
      <c r="R40" s="120" t="s">
        <v>69</v>
      </c>
      <c r="S40" s="120" t="s">
        <v>69</v>
      </c>
      <c r="T40" s="120" t="s">
        <v>69</v>
      </c>
      <c r="U40" s="361" t="s">
        <v>108</v>
      </c>
      <c r="V40" s="120" t="s">
        <v>69</v>
      </c>
      <c r="W40" s="120" t="s">
        <v>69</v>
      </c>
      <c r="X40" s="120" t="s">
        <v>69</v>
      </c>
      <c r="Y40" s="120" t="s">
        <v>69</v>
      </c>
      <c r="Z40" s="120" t="s">
        <v>69</v>
      </c>
      <c r="AA40" s="131" t="s">
        <v>72</v>
      </c>
      <c r="AB40" s="361" t="s">
        <v>108</v>
      </c>
      <c r="AC40" s="120" t="s">
        <v>69</v>
      </c>
      <c r="AD40" s="120" t="s">
        <v>69</v>
      </c>
      <c r="AE40" s="120" t="s">
        <v>69</v>
      </c>
      <c r="AF40" s="120" t="s">
        <v>69</v>
      </c>
      <c r="AG40" s="131" t="s">
        <v>72</v>
      </c>
      <c r="AH40" s="131" t="s">
        <v>72</v>
      </c>
      <c r="AI40" s="361" t="s">
        <v>108</v>
      </c>
      <c r="AJ40" s="296"/>
      <c r="AK40" s="296"/>
      <c r="AL40" s="296"/>
      <c r="AM40" s="296"/>
      <c r="AN40" s="296"/>
      <c r="AO40" s="296"/>
      <c r="AP40" s="296"/>
      <c r="AQ40" s="296"/>
      <c r="AR40" s="296"/>
      <c r="AS40" s="296"/>
      <c r="AT40" s="296"/>
      <c r="AU40" s="296"/>
    </row>
    <row r="41" spans="1:47" ht="18">
      <c r="A41" s="5">
        <v>40</v>
      </c>
      <c r="B41" s="254" t="s">
        <v>38</v>
      </c>
      <c r="C41" s="7">
        <v>1</v>
      </c>
      <c r="D41" s="7">
        <v>1</v>
      </c>
      <c r="E41" s="7">
        <f t="shared" si="0"/>
        <v>0</v>
      </c>
      <c r="F41" s="120" t="s">
        <v>69</v>
      </c>
      <c r="G41" s="361" t="s">
        <v>108</v>
      </c>
      <c r="H41" s="120" t="s">
        <v>69</v>
      </c>
      <c r="I41" s="120" t="s">
        <v>70</v>
      </c>
      <c r="J41" s="120" t="s">
        <v>70</v>
      </c>
      <c r="K41" s="120" t="s">
        <v>70</v>
      </c>
      <c r="L41" s="120" t="s">
        <v>69</v>
      </c>
      <c r="M41" s="120" t="s">
        <v>69</v>
      </c>
      <c r="N41" s="361" t="s">
        <v>108</v>
      </c>
      <c r="O41" s="120" t="s">
        <v>69</v>
      </c>
      <c r="P41" s="120" t="s">
        <v>69</v>
      </c>
      <c r="Q41" s="120" t="s">
        <v>69</v>
      </c>
      <c r="R41" s="120" t="s">
        <v>69</v>
      </c>
      <c r="S41" s="120" t="s">
        <v>69</v>
      </c>
      <c r="T41" s="120" t="s">
        <v>69</v>
      </c>
      <c r="U41" s="361" t="s">
        <v>108</v>
      </c>
      <c r="V41" s="120" t="s">
        <v>70</v>
      </c>
      <c r="W41" s="120" t="s">
        <v>69</v>
      </c>
      <c r="X41" s="120" t="s">
        <v>69</v>
      </c>
      <c r="Y41" s="120" t="s">
        <v>69</v>
      </c>
      <c r="Z41" s="120" t="s">
        <v>69</v>
      </c>
      <c r="AA41" s="120" t="s">
        <v>69</v>
      </c>
      <c r="AB41" s="361" t="s">
        <v>108</v>
      </c>
      <c r="AC41" s="120" t="s">
        <v>69</v>
      </c>
      <c r="AD41" s="120" t="s">
        <v>69</v>
      </c>
      <c r="AE41" s="120" t="s">
        <v>69</v>
      </c>
      <c r="AF41" s="120" t="s">
        <v>69</v>
      </c>
      <c r="AG41" s="120" t="s">
        <v>69</v>
      </c>
      <c r="AH41" s="131" t="s">
        <v>72</v>
      </c>
      <c r="AI41" s="361" t="s">
        <v>108</v>
      </c>
      <c r="AJ41" s="296"/>
      <c r="AK41" s="296"/>
      <c r="AL41" s="296"/>
      <c r="AM41" s="296"/>
      <c r="AN41" s="296"/>
      <c r="AO41" s="296"/>
      <c r="AP41" s="296"/>
      <c r="AQ41" s="296"/>
      <c r="AR41" s="296"/>
      <c r="AS41" s="296"/>
      <c r="AT41" s="296"/>
      <c r="AU41" s="296"/>
    </row>
    <row r="42" spans="1:47" ht="18">
      <c r="A42" s="5">
        <v>41</v>
      </c>
      <c r="B42" s="254" t="s">
        <v>39</v>
      </c>
      <c r="C42" s="7">
        <v>1</v>
      </c>
      <c r="D42" s="7">
        <v>1</v>
      </c>
      <c r="E42" s="7">
        <f t="shared" si="0"/>
        <v>0</v>
      </c>
      <c r="F42" s="120" t="s">
        <v>69</v>
      </c>
      <c r="G42" s="361" t="s">
        <v>108</v>
      </c>
      <c r="H42" s="120" t="s">
        <v>69</v>
      </c>
      <c r="I42" s="120" t="s">
        <v>69</v>
      </c>
      <c r="J42" s="120" t="s">
        <v>69</v>
      </c>
      <c r="K42" s="120" t="s">
        <v>69</v>
      </c>
      <c r="L42" s="120" t="s">
        <v>69</v>
      </c>
      <c r="M42" s="120" t="s">
        <v>69</v>
      </c>
      <c r="N42" s="361" t="s">
        <v>108</v>
      </c>
      <c r="O42" s="120" t="s">
        <v>69</v>
      </c>
      <c r="P42" s="120" t="s">
        <v>69</v>
      </c>
      <c r="Q42" s="120" t="s">
        <v>69</v>
      </c>
      <c r="R42" s="120" t="s">
        <v>69</v>
      </c>
      <c r="S42" s="120" t="s">
        <v>69</v>
      </c>
      <c r="T42" s="120" t="s">
        <v>69</v>
      </c>
      <c r="U42" s="361" t="s">
        <v>108</v>
      </c>
      <c r="V42" s="120" t="s">
        <v>69</v>
      </c>
      <c r="W42" s="120" t="s">
        <v>69</v>
      </c>
      <c r="X42" s="120" t="s">
        <v>69</v>
      </c>
      <c r="Y42" s="120" t="s">
        <v>69</v>
      </c>
      <c r="Z42" s="120" t="s">
        <v>69</v>
      </c>
      <c r="AA42" s="120" t="s">
        <v>69</v>
      </c>
      <c r="AB42" s="361" t="s">
        <v>108</v>
      </c>
      <c r="AC42" s="120" t="s">
        <v>69</v>
      </c>
      <c r="AD42" s="120" t="s">
        <v>69</v>
      </c>
      <c r="AE42" s="120" t="s">
        <v>69</v>
      </c>
      <c r="AF42" s="120" t="s">
        <v>69</v>
      </c>
      <c r="AG42" s="131" t="s">
        <v>72</v>
      </c>
      <c r="AH42" s="120" t="s">
        <v>69</v>
      </c>
      <c r="AI42" s="361" t="s">
        <v>108</v>
      </c>
      <c r="AJ42" s="296"/>
      <c r="AK42" s="296"/>
      <c r="AL42" s="296"/>
      <c r="AM42" s="296"/>
      <c r="AN42" s="296"/>
      <c r="AO42" s="296"/>
      <c r="AP42" s="296"/>
      <c r="AQ42" s="296"/>
      <c r="AR42" s="296"/>
      <c r="AS42" s="296"/>
      <c r="AT42" s="296"/>
      <c r="AU42" s="296"/>
    </row>
    <row r="43" spans="1:47" ht="18">
      <c r="A43" s="5">
        <v>42</v>
      </c>
      <c r="B43" s="254" t="s">
        <v>226</v>
      </c>
      <c r="C43" s="7">
        <v>0</v>
      </c>
      <c r="D43" s="7">
        <v>0</v>
      </c>
      <c r="E43" s="7">
        <f t="shared" si="0"/>
        <v>0</v>
      </c>
      <c r="F43" s="120" t="s">
        <v>69</v>
      </c>
      <c r="G43" s="361" t="s">
        <v>108</v>
      </c>
      <c r="H43" s="120" t="s">
        <v>69</v>
      </c>
      <c r="I43" s="120" t="s">
        <v>69</v>
      </c>
      <c r="J43" s="120" t="s">
        <v>69</v>
      </c>
      <c r="K43" s="120" t="s">
        <v>69</v>
      </c>
      <c r="L43" s="120" t="s">
        <v>69</v>
      </c>
      <c r="M43" s="120" t="s">
        <v>69</v>
      </c>
      <c r="N43" s="361" t="s">
        <v>108</v>
      </c>
      <c r="O43" s="120" t="s">
        <v>69</v>
      </c>
      <c r="P43" s="120" t="s">
        <v>70</v>
      </c>
      <c r="Q43" s="120"/>
      <c r="R43" s="120" t="s">
        <v>69</v>
      </c>
      <c r="S43" s="120" t="s">
        <v>69</v>
      </c>
      <c r="T43" s="120" t="s">
        <v>69</v>
      </c>
      <c r="U43" s="361" t="s">
        <v>108</v>
      </c>
      <c r="V43" s="120" t="s">
        <v>69</v>
      </c>
      <c r="W43" s="120" t="s">
        <v>69</v>
      </c>
      <c r="X43" s="120" t="s">
        <v>69</v>
      </c>
      <c r="Y43" s="120" t="s">
        <v>69</v>
      </c>
      <c r="Z43" s="120" t="s">
        <v>69</v>
      </c>
      <c r="AA43" s="120" t="s">
        <v>69</v>
      </c>
      <c r="AB43" s="361" t="s">
        <v>108</v>
      </c>
      <c r="AC43" s="120"/>
      <c r="AD43" s="145"/>
      <c r="AE43" s="120" t="s">
        <v>69</v>
      </c>
      <c r="AF43" s="120" t="s">
        <v>69</v>
      </c>
      <c r="AG43" s="120" t="s">
        <v>69</v>
      </c>
      <c r="AH43" s="145" t="s">
        <v>69</v>
      </c>
      <c r="AI43" s="361" t="s">
        <v>108</v>
      </c>
      <c r="AJ43" s="296"/>
      <c r="AK43" s="296"/>
      <c r="AL43" s="296"/>
      <c r="AM43" s="296"/>
      <c r="AN43" s="296"/>
      <c r="AO43" s="296"/>
      <c r="AP43" s="296"/>
      <c r="AQ43" s="296"/>
      <c r="AR43" s="296"/>
      <c r="AS43" s="296"/>
      <c r="AT43" s="296"/>
      <c r="AU43" s="296"/>
    </row>
    <row r="44" spans="1:47" ht="18">
      <c r="A44" s="5">
        <v>43</v>
      </c>
      <c r="B44" s="254" t="s">
        <v>40</v>
      </c>
      <c r="C44" s="7">
        <v>1</v>
      </c>
      <c r="D44" s="7">
        <v>1</v>
      </c>
      <c r="E44" s="7">
        <f t="shared" si="0"/>
        <v>0</v>
      </c>
      <c r="F44" s="120" t="s">
        <v>69</v>
      </c>
      <c r="G44" s="361" t="s">
        <v>108</v>
      </c>
      <c r="H44" s="120" t="s">
        <v>69</v>
      </c>
      <c r="I44" s="120" t="s">
        <v>69</v>
      </c>
      <c r="J44" s="120" t="s">
        <v>69</v>
      </c>
      <c r="K44" s="120" t="s">
        <v>69</v>
      </c>
      <c r="L44" s="120" t="s">
        <v>69</v>
      </c>
      <c r="M44" s="120" t="s">
        <v>69</v>
      </c>
      <c r="N44" s="361" t="s">
        <v>108</v>
      </c>
      <c r="O44" s="120" t="s">
        <v>69</v>
      </c>
      <c r="P44" s="120" t="s">
        <v>69</v>
      </c>
      <c r="Q44" s="120" t="s">
        <v>69</v>
      </c>
      <c r="R44" s="120" t="s">
        <v>69</v>
      </c>
      <c r="S44" s="120" t="s">
        <v>69</v>
      </c>
      <c r="T44" s="131" t="s">
        <v>72</v>
      </c>
      <c r="U44" s="361" t="s">
        <v>108</v>
      </c>
      <c r="V44" s="120" t="s">
        <v>69</v>
      </c>
      <c r="W44" s="120" t="s">
        <v>69</v>
      </c>
      <c r="X44" s="120" t="s">
        <v>69</v>
      </c>
      <c r="Y44" s="120" t="s">
        <v>69</v>
      </c>
      <c r="Z44" s="120" t="s">
        <v>69</v>
      </c>
      <c r="AA44" s="120" t="s">
        <v>69</v>
      </c>
      <c r="AB44" s="361" t="s">
        <v>108</v>
      </c>
      <c r="AC44" s="120" t="s">
        <v>69</v>
      </c>
      <c r="AD44" s="120" t="s">
        <v>69</v>
      </c>
      <c r="AE44" s="120" t="s">
        <v>69</v>
      </c>
      <c r="AF44" s="120" t="s">
        <v>69</v>
      </c>
      <c r="AG44" s="120" t="s">
        <v>69</v>
      </c>
      <c r="AH44" s="120" t="s">
        <v>69</v>
      </c>
      <c r="AI44" s="361" t="s">
        <v>108</v>
      </c>
      <c r="AJ44" s="296"/>
      <c r="AK44" s="296"/>
      <c r="AL44" s="296"/>
      <c r="AM44" s="296"/>
      <c r="AN44" s="296"/>
      <c r="AO44" s="296"/>
      <c r="AP44" s="296"/>
      <c r="AQ44" s="296"/>
      <c r="AR44" s="296"/>
      <c r="AS44" s="296"/>
      <c r="AT44" s="296"/>
      <c r="AU44" s="296"/>
    </row>
    <row r="45" spans="1:47" ht="18">
      <c r="A45" s="5">
        <v>44</v>
      </c>
      <c r="B45" s="359" t="s">
        <v>227</v>
      </c>
      <c r="C45" s="7">
        <v>2</v>
      </c>
      <c r="D45" s="7">
        <v>1</v>
      </c>
      <c r="E45" s="7">
        <f t="shared" si="0"/>
        <v>1</v>
      </c>
      <c r="F45" s="120" t="s">
        <v>69</v>
      </c>
      <c r="G45" s="361" t="s">
        <v>108</v>
      </c>
      <c r="H45" s="120" t="s">
        <v>69</v>
      </c>
      <c r="I45" s="120" t="s">
        <v>69</v>
      </c>
      <c r="J45" s="120" t="s">
        <v>69</v>
      </c>
      <c r="K45" s="120" t="s">
        <v>69</v>
      </c>
      <c r="L45" s="120" t="s">
        <v>69</v>
      </c>
      <c r="M45" s="120" t="s">
        <v>69</v>
      </c>
      <c r="N45" s="361" t="s">
        <v>108</v>
      </c>
      <c r="O45" s="120" t="s">
        <v>69</v>
      </c>
      <c r="P45" s="120" t="s">
        <v>69</v>
      </c>
      <c r="Q45" s="120" t="s">
        <v>69</v>
      </c>
      <c r="R45" s="120" t="s">
        <v>69</v>
      </c>
      <c r="S45" s="120" t="s">
        <v>69</v>
      </c>
      <c r="T45" s="120" t="s">
        <v>69</v>
      </c>
      <c r="U45" s="361" t="s">
        <v>108</v>
      </c>
      <c r="V45" s="120" t="s">
        <v>69</v>
      </c>
      <c r="W45" s="120" t="s">
        <v>69</v>
      </c>
      <c r="X45" s="120" t="s">
        <v>69</v>
      </c>
      <c r="Y45" s="120" t="s">
        <v>69</v>
      </c>
      <c r="Z45" s="120" t="s">
        <v>69</v>
      </c>
      <c r="AA45" s="120" t="s">
        <v>69</v>
      </c>
      <c r="AB45" s="361" t="s">
        <v>108</v>
      </c>
      <c r="AC45" s="120" t="s">
        <v>69</v>
      </c>
      <c r="AD45" s="131" t="s">
        <v>72</v>
      </c>
      <c r="AE45" s="120" t="s">
        <v>69</v>
      </c>
      <c r="AF45" s="120" t="s">
        <v>69</v>
      </c>
      <c r="AG45" s="131" t="s">
        <v>72</v>
      </c>
      <c r="AH45" s="120" t="s">
        <v>69</v>
      </c>
      <c r="AI45" s="361" t="s">
        <v>108</v>
      </c>
      <c r="AJ45" s="296"/>
      <c r="AK45" s="296"/>
      <c r="AL45" s="296"/>
      <c r="AM45" s="296"/>
      <c r="AN45" s="296"/>
      <c r="AO45" s="296"/>
      <c r="AP45" s="296"/>
      <c r="AQ45" s="296"/>
      <c r="AR45" s="296"/>
      <c r="AS45" s="296"/>
      <c r="AT45" s="296"/>
      <c r="AU45" s="296"/>
    </row>
    <row r="46" spans="1:47" ht="18">
      <c r="A46" s="5">
        <v>45</v>
      </c>
      <c r="B46" s="186" t="s">
        <v>41</v>
      </c>
      <c r="C46" s="7">
        <v>0</v>
      </c>
      <c r="D46" s="7">
        <v>0</v>
      </c>
      <c r="E46" s="7">
        <f t="shared" si="0"/>
        <v>0</v>
      </c>
      <c r="F46" s="120" t="s">
        <v>69</v>
      </c>
      <c r="G46" s="361" t="s">
        <v>108</v>
      </c>
      <c r="H46" s="120" t="s">
        <v>69</v>
      </c>
      <c r="I46" s="120" t="s">
        <v>69</v>
      </c>
      <c r="J46" s="120" t="s">
        <v>69</v>
      </c>
      <c r="K46" s="120" t="s">
        <v>69</v>
      </c>
      <c r="L46" s="120" t="s">
        <v>69</v>
      </c>
      <c r="M46" s="120" t="s">
        <v>69</v>
      </c>
      <c r="N46" s="361" t="s">
        <v>108</v>
      </c>
      <c r="O46" s="120" t="s">
        <v>69</v>
      </c>
      <c r="P46" s="120" t="s">
        <v>70</v>
      </c>
      <c r="Q46" s="120" t="s">
        <v>69</v>
      </c>
      <c r="R46" s="120" t="s">
        <v>69</v>
      </c>
      <c r="S46" s="120" t="s">
        <v>69</v>
      </c>
      <c r="T46" s="120" t="s">
        <v>69</v>
      </c>
      <c r="U46" s="361" t="s">
        <v>108</v>
      </c>
      <c r="V46" s="120" t="s">
        <v>69</v>
      </c>
      <c r="W46" s="120" t="s">
        <v>69</v>
      </c>
      <c r="X46" s="120" t="s">
        <v>69</v>
      </c>
      <c r="Y46" s="120" t="s">
        <v>69</v>
      </c>
      <c r="Z46" s="120" t="s">
        <v>69</v>
      </c>
      <c r="AA46" s="120" t="s">
        <v>69</v>
      </c>
      <c r="AB46" s="361" t="s">
        <v>108</v>
      </c>
      <c r="AC46" s="120" t="s">
        <v>69</v>
      </c>
      <c r="AD46" s="120" t="s">
        <v>69</v>
      </c>
      <c r="AE46" s="120" t="s">
        <v>69</v>
      </c>
      <c r="AF46" s="120" t="s">
        <v>69</v>
      </c>
      <c r="AG46" s="120" t="s">
        <v>69</v>
      </c>
      <c r="AH46" s="120" t="s">
        <v>69</v>
      </c>
      <c r="AI46" s="361" t="s">
        <v>108</v>
      </c>
      <c r="AJ46" s="296"/>
      <c r="AK46" s="296"/>
      <c r="AL46" s="296"/>
      <c r="AM46" s="296"/>
      <c r="AN46" s="296"/>
      <c r="AO46" s="296"/>
      <c r="AP46" s="296"/>
      <c r="AQ46" s="296"/>
      <c r="AR46" s="296"/>
      <c r="AS46" s="296"/>
      <c r="AT46" s="296"/>
      <c r="AU46" s="296"/>
    </row>
    <row r="47" spans="1:47" ht="18">
      <c r="A47" s="5">
        <v>46</v>
      </c>
      <c r="B47" s="384" t="s">
        <v>228</v>
      </c>
      <c r="C47" s="7">
        <v>7</v>
      </c>
      <c r="D47" s="7"/>
      <c r="E47" s="7">
        <f t="shared" si="0"/>
        <v>7</v>
      </c>
      <c r="F47" s="120"/>
      <c r="G47" s="361" t="s">
        <v>108</v>
      </c>
      <c r="H47" s="120"/>
      <c r="I47" s="120"/>
      <c r="J47" s="120"/>
      <c r="K47" s="120"/>
      <c r="L47" s="120"/>
      <c r="M47" s="120" t="s">
        <v>69</v>
      </c>
      <c r="N47" s="361" t="s">
        <v>108</v>
      </c>
      <c r="O47" s="120" t="s">
        <v>69</v>
      </c>
      <c r="P47" s="120" t="s">
        <v>69</v>
      </c>
      <c r="Q47" s="120" t="s">
        <v>69</v>
      </c>
      <c r="R47" s="120" t="s">
        <v>69</v>
      </c>
      <c r="S47" s="120" t="s">
        <v>69</v>
      </c>
      <c r="T47" s="120" t="s">
        <v>69</v>
      </c>
      <c r="U47" s="361" t="s">
        <v>108</v>
      </c>
      <c r="V47" s="120" t="s">
        <v>69</v>
      </c>
      <c r="W47" s="120" t="s">
        <v>69</v>
      </c>
      <c r="X47" s="120" t="s">
        <v>69</v>
      </c>
      <c r="Y47" s="120" t="s">
        <v>69</v>
      </c>
      <c r="Z47" s="120" t="s">
        <v>69</v>
      </c>
      <c r="AA47" s="120" t="s">
        <v>69</v>
      </c>
      <c r="AB47" s="361" t="s">
        <v>108</v>
      </c>
      <c r="AC47" s="120" t="s">
        <v>69</v>
      </c>
      <c r="AD47" s="120" t="s">
        <v>69</v>
      </c>
      <c r="AE47" s="120" t="s">
        <v>69</v>
      </c>
      <c r="AF47" s="120" t="s">
        <v>69</v>
      </c>
      <c r="AG47" s="120" t="s">
        <v>69</v>
      </c>
      <c r="AH47" s="120" t="s">
        <v>69</v>
      </c>
      <c r="AI47" s="361" t="s">
        <v>108</v>
      </c>
      <c r="AJ47" s="296"/>
      <c r="AK47" s="296"/>
      <c r="AL47" s="296"/>
      <c r="AM47" s="296"/>
      <c r="AN47" s="296"/>
      <c r="AO47" s="296"/>
      <c r="AP47" s="296"/>
      <c r="AQ47" s="296"/>
      <c r="AR47" s="296"/>
      <c r="AS47" s="296"/>
      <c r="AT47" s="296"/>
      <c r="AU47" s="296"/>
    </row>
    <row r="48" spans="1:47" ht="18">
      <c r="A48" s="5">
        <v>47</v>
      </c>
      <c r="B48" s="254" t="s">
        <v>42</v>
      </c>
      <c r="C48" s="7">
        <v>2</v>
      </c>
      <c r="D48" s="7">
        <v>2</v>
      </c>
      <c r="E48" s="7">
        <f t="shared" si="0"/>
        <v>0</v>
      </c>
      <c r="F48" s="120" t="s">
        <v>69</v>
      </c>
      <c r="G48" s="361" t="s">
        <v>108</v>
      </c>
      <c r="H48" s="120" t="s">
        <v>69</v>
      </c>
      <c r="I48" s="120" t="s">
        <v>69</v>
      </c>
      <c r="J48" s="120" t="s">
        <v>69</v>
      </c>
      <c r="K48" s="120" t="s">
        <v>69</v>
      </c>
      <c r="L48" s="120" t="s">
        <v>69</v>
      </c>
      <c r="M48" s="120" t="s">
        <v>69</v>
      </c>
      <c r="N48" s="361" t="s">
        <v>108</v>
      </c>
      <c r="O48" s="120" t="s">
        <v>69</v>
      </c>
      <c r="P48" s="120" t="s">
        <v>70</v>
      </c>
      <c r="Q48" s="120" t="s">
        <v>70</v>
      </c>
      <c r="R48" s="120" t="s">
        <v>69</v>
      </c>
      <c r="S48" s="131" t="s">
        <v>72</v>
      </c>
      <c r="T48" s="120" t="s">
        <v>69</v>
      </c>
      <c r="U48" s="361" t="s">
        <v>108</v>
      </c>
      <c r="V48" s="131" t="s">
        <v>72</v>
      </c>
      <c r="W48" s="120" t="s">
        <v>69</v>
      </c>
      <c r="X48" s="120" t="s">
        <v>69</v>
      </c>
      <c r="Y48" s="120" t="s">
        <v>69</v>
      </c>
      <c r="Z48" s="120" t="s">
        <v>69</v>
      </c>
      <c r="AA48" s="120" t="s">
        <v>69</v>
      </c>
      <c r="AB48" s="361" t="s">
        <v>108</v>
      </c>
      <c r="AC48" s="120" t="s">
        <v>69</v>
      </c>
      <c r="AD48" s="120" t="s">
        <v>69</v>
      </c>
      <c r="AE48" s="120" t="s">
        <v>69</v>
      </c>
      <c r="AF48" s="120" t="s">
        <v>69</v>
      </c>
      <c r="AG48" s="120" t="s">
        <v>69</v>
      </c>
      <c r="AH48" s="145" t="s">
        <v>69</v>
      </c>
      <c r="AI48" s="361" t="s">
        <v>108</v>
      </c>
      <c r="AJ48" s="296"/>
      <c r="AK48" s="296"/>
      <c r="AL48" s="296"/>
      <c r="AM48" s="296"/>
      <c r="AN48" s="296"/>
      <c r="AO48" s="296"/>
      <c r="AP48" s="296"/>
      <c r="AQ48" s="296"/>
      <c r="AR48" s="296"/>
      <c r="AS48" s="296"/>
      <c r="AT48" s="296"/>
      <c r="AU48" s="296"/>
    </row>
    <row r="49" spans="1:47" ht="18">
      <c r="A49" s="5">
        <v>48</v>
      </c>
      <c r="B49" s="254" t="s">
        <v>229</v>
      </c>
      <c r="C49" s="7">
        <v>1</v>
      </c>
      <c r="D49" s="7">
        <v>1</v>
      </c>
      <c r="E49" s="7">
        <f t="shared" si="0"/>
        <v>0</v>
      </c>
      <c r="F49" s="120" t="s">
        <v>69</v>
      </c>
      <c r="G49" s="361" t="s">
        <v>108</v>
      </c>
      <c r="H49" s="120" t="s">
        <v>69</v>
      </c>
      <c r="I49" s="120" t="s">
        <v>69</v>
      </c>
      <c r="J49" s="131" t="s">
        <v>72</v>
      </c>
      <c r="K49" s="120" t="s">
        <v>69</v>
      </c>
      <c r="L49" s="120" t="s">
        <v>69</v>
      </c>
      <c r="M49" s="120" t="s">
        <v>69</v>
      </c>
      <c r="N49" s="361" t="s">
        <v>108</v>
      </c>
      <c r="O49" s="120" t="s">
        <v>69</v>
      </c>
      <c r="P49" s="120" t="s">
        <v>69</v>
      </c>
      <c r="Q49" s="120" t="s">
        <v>70</v>
      </c>
      <c r="R49" s="120" t="s">
        <v>69</v>
      </c>
      <c r="S49" s="120" t="s">
        <v>69</v>
      </c>
      <c r="T49" s="120" t="s">
        <v>69</v>
      </c>
      <c r="U49" s="361" t="s">
        <v>108</v>
      </c>
      <c r="V49" s="120" t="s">
        <v>69</v>
      </c>
      <c r="W49" s="120" t="s">
        <v>69</v>
      </c>
      <c r="X49" s="120" t="s">
        <v>69</v>
      </c>
      <c r="Y49" s="120" t="s">
        <v>69</v>
      </c>
      <c r="Z49" s="120" t="s">
        <v>69</v>
      </c>
      <c r="AA49" s="120" t="s">
        <v>69</v>
      </c>
      <c r="AB49" s="361" t="s">
        <v>108</v>
      </c>
      <c r="AC49" s="120" t="s">
        <v>69</v>
      </c>
      <c r="AD49" s="120" t="s">
        <v>69</v>
      </c>
      <c r="AE49" s="120" t="s">
        <v>69</v>
      </c>
      <c r="AF49" s="120" t="s">
        <v>69</v>
      </c>
      <c r="AG49" s="120" t="s">
        <v>69</v>
      </c>
      <c r="AH49" s="120" t="s">
        <v>69</v>
      </c>
      <c r="AI49" s="361" t="s">
        <v>108</v>
      </c>
      <c r="AJ49" s="296"/>
      <c r="AK49" s="296"/>
      <c r="AL49" s="296"/>
      <c r="AM49" s="296"/>
      <c r="AN49" s="296"/>
      <c r="AO49" s="296"/>
      <c r="AP49" s="296"/>
      <c r="AQ49" s="296"/>
      <c r="AR49" s="296"/>
      <c r="AS49" s="296"/>
      <c r="AT49" s="296"/>
      <c r="AU49" s="296"/>
    </row>
    <row r="50" spans="1:47" ht="18">
      <c r="A50" s="5">
        <v>49</v>
      </c>
      <c r="B50" s="383" t="s">
        <v>230</v>
      </c>
      <c r="C50" s="7">
        <v>6</v>
      </c>
      <c r="D50" s="7"/>
      <c r="E50" s="7">
        <f t="shared" si="0"/>
        <v>6</v>
      </c>
      <c r="F50" s="120"/>
      <c r="G50" s="361" t="s">
        <v>108</v>
      </c>
      <c r="H50" s="120"/>
      <c r="I50" s="120"/>
      <c r="J50" s="131"/>
      <c r="K50" s="120"/>
      <c r="L50" s="120" t="s">
        <v>69</v>
      </c>
      <c r="M50" s="120" t="s">
        <v>69</v>
      </c>
      <c r="N50" s="361" t="s">
        <v>108</v>
      </c>
      <c r="O50" s="120" t="s">
        <v>69</v>
      </c>
      <c r="P50" s="120" t="s">
        <v>69</v>
      </c>
      <c r="Q50" s="120" t="s">
        <v>69</v>
      </c>
      <c r="R50" s="120" t="s">
        <v>69</v>
      </c>
      <c r="S50" s="120" t="s">
        <v>69</v>
      </c>
      <c r="T50" s="120" t="s">
        <v>69</v>
      </c>
      <c r="U50" s="361" t="s">
        <v>108</v>
      </c>
      <c r="V50" s="120" t="s">
        <v>69</v>
      </c>
      <c r="W50" s="120" t="s">
        <v>69</v>
      </c>
      <c r="X50" s="120" t="s">
        <v>69</v>
      </c>
      <c r="Y50" s="120" t="s">
        <v>69</v>
      </c>
      <c r="Z50" s="120" t="s">
        <v>69</v>
      </c>
      <c r="AA50" s="120" t="s">
        <v>69</v>
      </c>
      <c r="AB50" s="361" t="s">
        <v>108</v>
      </c>
      <c r="AC50" s="120" t="s">
        <v>69</v>
      </c>
      <c r="AD50" s="120" t="s">
        <v>69</v>
      </c>
      <c r="AE50" s="120" t="s">
        <v>69</v>
      </c>
      <c r="AF50" s="120" t="s">
        <v>69</v>
      </c>
      <c r="AG50" s="120" t="s">
        <v>69</v>
      </c>
      <c r="AH50" s="120" t="s">
        <v>69</v>
      </c>
      <c r="AI50" s="361" t="s">
        <v>108</v>
      </c>
      <c r="AJ50" s="296"/>
      <c r="AK50" s="296"/>
      <c r="AL50" s="296"/>
      <c r="AM50" s="296"/>
      <c r="AN50" s="296"/>
      <c r="AO50" s="296"/>
      <c r="AP50" s="296"/>
      <c r="AQ50" s="296"/>
      <c r="AR50" s="296"/>
      <c r="AS50" s="296"/>
      <c r="AT50" s="296"/>
      <c r="AU50" s="296"/>
    </row>
    <row r="51" spans="1:47" ht="18">
      <c r="A51" s="5">
        <v>50</v>
      </c>
      <c r="B51" s="186" t="s">
        <v>161</v>
      </c>
      <c r="C51" s="7">
        <v>2.5</v>
      </c>
      <c r="D51" s="7">
        <v>1.5</v>
      </c>
      <c r="E51" s="7">
        <f t="shared" si="0"/>
        <v>1</v>
      </c>
      <c r="F51" s="120" t="s">
        <v>69</v>
      </c>
      <c r="G51" s="361" t="s">
        <v>108</v>
      </c>
      <c r="H51" s="120" t="s">
        <v>69</v>
      </c>
      <c r="I51" s="120" t="s">
        <v>69</v>
      </c>
      <c r="J51" s="120" t="s">
        <v>69</v>
      </c>
      <c r="K51" s="120" t="s">
        <v>69</v>
      </c>
      <c r="L51" s="120" t="s">
        <v>69</v>
      </c>
      <c r="M51" s="120" t="s">
        <v>69</v>
      </c>
      <c r="N51" s="361" t="s">
        <v>108</v>
      </c>
      <c r="O51" s="120" t="s">
        <v>69</v>
      </c>
      <c r="P51" s="120" t="s">
        <v>69</v>
      </c>
      <c r="Q51" s="120" t="s">
        <v>69</v>
      </c>
      <c r="R51" s="120" t="s">
        <v>69</v>
      </c>
      <c r="S51" s="120" t="s">
        <v>69</v>
      </c>
      <c r="T51" s="131" t="s">
        <v>207</v>
      </c>
      <c r="U51" s="361" t="s">
        <v>108</v>
      </c>
      <c r="V51" s="120" t="s">
        <v>69</v>
      </c>
      <c r="W51" s="120" t="s">
        <v>69</v>
      </c>
      <c r="X51" s="120" t="s">
        <v>69</v>
      </c>
      <c r="Y51" s="120" t="s">
        <v>69</v>
      </c>
      <c r="Z51" s="120" t="s">
        <v>69</v>
      </c>
      <c r="AA51" s="120" t="s">
        <v>69</v>
      </c>
      <c r="AB51" s="361" t="s">
        <v>108</v>
      </c>
      <c r="AC51" s="120" t="s">
        <v>69</v>
      </c>
      <c r="AD51" s="120" t="s">
        <v>69</v>
      </c>
      <c r="AE51" s="120" t="s">
        <v>69</v>
      </c>
      <c r="AF51" s="131" t="s">
        <v>72</v>
      </c>
      <c r="AG51" s="120" t="s">
        <v>69</v>
      </c>
      <c r="AH51" s="131" t="s">
        <v>72</v>
      </c>
      <c r="AI51" s="361" t="s">
        <v>108</v>
      </c>
      <c r="AJ51" s="296"/>
      <c r="AK51" s="296"/>
      <c r="AL51" s="296"/>
      <c r="AM51" s="296"/>
      <c r="AN51" s="296"/>
      <c r="AO51" s="296"/>
      <c r="AP51" s="296"/>
      <c r="AQ51" s="296"/>
      <c r="AR51" s="296"/>
      <c r="AS51" s="296"/>
      <c r="AT51" s="296"/>
      <c r="AU51" s="296"/>
    </row>
    <row r="52" spans="1:47" ht="18">
      <c r="A52" s="5">
        <v>51</v>
      </c>
      <c r="B52" s="254" t="s">
        <v>47</v>
      </c>
      <c r="C52" s="7">
        <v>4</v>
      </c>
      <c r="D52" s="7">
        <v>4</v>
      </c>
      <c r="E52" s="7">
        <f t="shared" si="0"/>
        <v>0</v>
      </c>
      <c r="F52" s="120" t="s">
        <v>69</v>
      </c>
      <c r="G52" s="361" t="s">
        <v>108</v>
      </c>
      <c r="H52" s="120" t="s">
        <v>69</v>
      </c>
      <c r="I52" s="120" t="s">
        <v>69</v>
      </c>
      <c r="J52" s="131" t="s">
        <v>72</v>
      </c>
      <c r="K52" s="131" t="s">
        <v>72</v>
      </c>
      <c r="L52" s="131" t="s">
        <v>72</v>
      </c>
      <c r="M52" s="131" t="s">
        <v>72</v>
      </c>
      <c r="N52" s="361" t="s">
        <v>108</v>
      </c>
      <c r="O52" s="120" t="s">
        <v>69</v>
      </c>
      <c r="P52" s="120" t="s">
        <v>69</v>
      </c>
      <c r="Q52" s="120" t="s">
        <v>69</v>
      </c>
      <c r="R52" s="120" t="s">
        <v>69</v>
      </c>
      <c r="S52" s="120" t="s">
        <v>69</v>
      </c>
      <c r="T52" s="120" t="s">
        <v>69</v>
      </c>
      <c r="U52" s="361" t="s">
        <v>108</v>
      </c>
      <c r="V52" s="120" t="s">
        <v>69</v>
      </c>
      <c r="W52" s="120" t="s">
        <v>69</v>
      </c>
      <c r="X52" s="120" t="s">
        <v>69</v>
      </c>
      <c r="Y52" s="120" t="s">
        <v>69</v>
      </c>
      <c r="Z52" s="120" t="s">
        <v>69</v>
      </c>
      <c r="AA52" s="120" t="s">
        <v>69</v>
      </c>
      <c r="AB52" s="361" t="s">
        <v>108</v>
      </c>
      <c r="AC52" s="120" t="s">
        <v>69</v>
      </c>
      <c r="AD52" s="120" t="s">
        <v>69</v>
      </c>
      <c r="AE52" s="120" t="s">
        <v>69</v>
      </c>
      <c r="AF52" s="120" t="s">
        <v>69</v>
      </c>
      <c r="AG52" s="120" t="s">
        <v>69</v>
      </c>
      <c r="AH52" s="120" t="s">
        <v>69</v>
      </c>
      <c r="AI52" s="361" t="s">
        <v>108</v>
      </c>
      <c r="AJ52" s="296"/>
      <c r="AK52" s="296"/>
      <c r="AL52" s="296"/>
      <c r="AM52" s="296"/>
      <c r="AN52" s="296"/>
      <c r="AO52" s="296"/>
      <c r="AP52" s="296"/>
      <c r="AQ52" s="296"/>
      <c r="AR52" s="296"/>
      <c r="AS52" s="296"/>
      <c r="AT52" s="296"/>
      <c r="AU52" s="296"/>
    </row>
    <row r="53" spans="1:47" ht="18">
      <c r="A53" s="5">
        <v>52</v>
      </c>
      <c r="B53" s="254" t="s">
        <v>48</v>
      </c>
      <c r="C53" s="7">
        <v>18</v>
      </c>
      <c r="D53" s="7">
        <v>5</v>
      </c>
      <c r="E53" s="7">
        <f t="shared" si="0"/>
        <v>13</v>
      </c>
      <c r="F53" s="131" t="s">
        <v>72</v>
      </c>
      <c r="G53" s="361" t="s">
        <v>108</v>
      </c>
      <c r="H53" s="131" t="s">
        <v>72</v>
      </c>
      <c r="I53" s="131" t="s">
        <v>72</v>
      </c>
      <c r="J53" s="131" t="s">
        <v>72</v>
      </c>
      <c r="K53" s="131" t="s">
        <v>72</v>
      </c>
      <c r="L53" s="131" t="s">
        <v>72</v>
      </c>
      <c r="M53" s="131" t="s">
        <v>72</v>
      </c>
      <c r="N53" s="361" t="s">
        <v>108</v>
      </c>
      <c r="O53" s="131" t="s">
        <v>72</v>
      </c>
      <c r="P53" s="131" t="s">
        <v>72</v>
      </c>
      <c r="Q53" s="131" t="s">
        <v>72</v>
      </c>
      <c r="R53" s="131" t="s">
        <v>72</v>
      </c>
      <c r="S53" s="131" t="s">
        <v>72</v>
      </c>
      <c r="T53" s="131" t="s">
        <v>72</v>
      </c>
      <c r="U53" s="361" t="s">
        <v>108</v>
      </c>
      <c r="V53" s="131" t="s">
        <v>72</v>
      </c>
      <c r="W53" s="131" t="s">
        <v>72</v>
      </c>
      <c r="X53" s="120" t="s">
        <v>69</v>
      </c>
      <c r="Y53" s="120" t="s">
        <v>69</v>
      </c>
      <c r="Z53" s="120" t="s">
        <v>69</v>
      </c>
      <c r="AA53" s="120" t="s">
        <v>69</v>
      </c>
      <c r="AB53" s="361" t="s">
        <v>108</v>
      </c>
      <c r="AC53" s="120" t="s">
        <v>69</v>
      </c>
      <c r="AD53" s="120" t="s">
        <v>69</v>
      </c>
      <c r="AE53" s="120" t="s">
        <v>69</v>
      </c>
      <c r="AF53" s="120" t="s">
        <v>69</v>
      </c>
      <c r="AG53" s="120" t="s">
        <v>69</v>
      </c>
      <c r="AH53" s="120" t="s">
        <v>69</v>
      </c>
      <c r="AI53" s="361" t="s">
        <v>108</v>
      </c>
      <c r="AJ53" s="296"/>
      <c r="AK53" s="296"/>
      <c r="AL53" s="296"/>
      <c r="AM53" s="296"/>
      <c r="AN53" s="296"/>
      <c r="AO53" s="296"/>
      <c r="AP53" s="296"/>
      <c r="AQ53" s="296"/>
      <c r="AR53" s="296"/>
      <c r="AS53" s="296"/>
      <c r="AT53" s="296"/>
      <c r="AU53" s="296"/>
    </row>
    <row r="54" spans="1:47" ht="18">
      <c r="A54" s="5">
        <v>53</v>
      </c>
      <c r="B54" s="254" t="s">
        <v>49</v>
      </c>
      <c r="C54" s="7">
        <v>1</v>
      </c>
      <c r="D54" s="7">
        <v>1</v>
      </c>
      <c r="E54" s="7">
        <f t="shared" si="0"/>
        <v>0</v>
      </c>
      <c r="F54" s="120" t="s">
        <v>69</v>
      </c>
      <c r="G54" s="361" t="s">
        <v>108</v>
      </c>
      <c r="H54" s="120" t="s">
        <v>69</v>
      </c>
      <c r="I54" s="120" t="s">
        <v>69</v>
      </c>
      <c r="J54" s="120" t="s">
        <v>69</v>
      </c>
      <c r="K54" s="120" t="s">
        <v>69</v>
      </c>
      <c r="L54" s="120" t="s">
        <v>69</v>
      </c>
      <c r="M54" s="120" t="s">
        <v>69</v>
      </c>
      <c r="N54" s="361" t="s">
        <v>108</v>
      </c>
      <c r="O54" s="120" t="s">
        <v>69</v>
      </c>
      <c r="P54" s="120" t="s">
        <v>69</v>
      </c>
      <c r="Q54" s="120" t="s">
        <v>69</v>
      </c>
      <c r="R54" s="131" t="s">
        <v>72</v>
      </c>
      <c r="S54" s="120" t="s">
        <v>69</v>
      </c>
      <c r="T54" s="120" t="s">
        <v>69</v>
      </c>
      <c r="U54" s="361" t="s">
        <v>108</v>
      </c>
      <c r="V54" s="120" t="s">
        <v>69</v>
      </c>
      <c r="W54" s="120" t="s">
        <v>69</v>
      </c>
      <c r="X54" s="120" t="s">
        <v>69</v>
      </c>
      <c r="Y54" s="120" t="s">
        <v>69</v>
      </c>
      <c r="Z54" s="120" t="s">
        <v>70</v>
      </c>
      <c r="AA54" s="120" t="s">
        <v>69</v>
      </c>
      <c r="AB54" s="361" t="s">
        <v>108</v>
      </c>
      <c r="AC54" s="120" t="s">
        <v>69</v>
      </c>
      <c r="AD54" s="120" t="s">
        <v>69</v>
      </c>
      <c r="AE54" s="120" t="s">
        <v>69</v>
      </c>
      <c r="AF54" s="120" t="s">
        <v>69</v>
      </c>
      <c r="AG54" s="120" t="s">
        <v>69</v>
      </c>
      <c r="AH54" s="120" t="s">
        <v>69</v>
      </c>
      <c r="AI54" s="361" t="s">
        <v>108</v>
      </c>
      <c r="AJ54" s="296"/>
      <c r="AK54" s="296"/>
      <c r="AL54" s="296"/>
      <c r="AM54" s="296"/>
      <c r="AN54" s="296"/>
      <c r="AO54" s="296"/>
      <c r="AP54" s="296"/>
      <c r="AQ54" s="296"/>
      <c r="AR54" s="296"/>
      <c r="AS54" s="296"/>
      <c r="AT54" s="296"/>
      <c r="AU54" s="296"/>
    </row>
    <row r="55" spans="1:47" ht="18">
      <c r="A55" s="5">
        <v>54</v>
      </c>
      <c r="B55" s="254" t="s">
        <v>203</v>
      </c>
      <c r="C55" s="7">
        <v>0</v>
      </c>
      <c r="D55" s="7">
        <v>0</v>
      </c>
      <c r="E55" s="7">
        <f t="shared" si="0"/>
        <v>0</v>
      </c>
      <c r="F55" s="120" t="s">
        <v>69</v>
      </c>
      <c r="G55" s="361" t="s">
        <v>108</v>
      </c>
      <c r="H55" s="120" t="s">
        <v>69</v>
      </c>
      <c r="I55" s="120" t="s">
        <v>69</v>
      </c>
      <c r="J55" s="120" t="s">
        <v>69</v>
      </c>
      <c r="K55" s="120" t="s">
        <v>69</v>
      </c>
      <c r="L55" s="120" t="s">
        <v>69</v>
      </c>
      <c r="M55" s="120" t="s">
        <v>69</v>
      </c>
      <c r="N55" s="361" t="s">
        <v>108</v>
      </c>
      <c r="O55" s="120" t="s">
        <v>69</v>
      </c>
      <c r="P55" s="120" t="s">
        <v>69</v>
      </c>
      <c r="Q55" s="120" t="s">
        <v>69</v>
      </c>
      <c r="R55" s="120" t="s">
        <v>69</v>
      </c>
      <c r="S55" s="120" t="s">
        <v>69</v>
      </c>
      <c r="T55" s="120" t="s">
        <v>69</v>
      </c>
      <c r="U55" s="361" t="s">
        <v>108</v>
      </c>
      <c r="V55" s="120" t="s">
        <v>69</v>
      </c>
      <c r="W55" s="120" t="s">
        <v>69</v>
      </c>
      <c r="X55" s="120" t="s">
        <v>69</v>
      </c>
      <c r="Y55" s="120" t="s">
        <v>69</v>
      </c>
      <c r="Z55" s="120" t="s">
        <v>69</v>
      </c>
      <c r="AA55" s="120" t="s">
        <v>69</v>
      </c>
      <c r="AB55" s="361" t="s">
        <v>108</v>
      </c>
      <c r="AC55" s="120" t="s">
        <v>69</v>
      </c>
      <c r="AD55" s="120" t="s">
        <v>69</v>
      </c>
      <c r="AE55" s="120" t="s">
        <v>69</v>
      </c>
      <c r="AF55" s="120" t="s">
        <v>69</v>
      </c>
      <c r="AG55" s="120" t="s">
        <v>69</v>
      </c>
      <c r="AH55" s="120" t="s">
        <v>69</v>
      </c>
      <c r="AI55" s="361" t="s">
        <v>108</v>
      </c>
      <c r="AJ55" s="296"/>
      <c r="AK55" s="296"/>
      <c r="AL55" s="296"/>
      <c r="AM55" s="296"/>
      <c r="AN55" s="296"/>
      <c r="AO55" s="296"/>
      <c r="AP55" s="296"/>
      <c r="AQ55" s="296"/>
      <c r="AR55" s="296"/>
      <c r="AS55" s="296"/>
      <c r="AT55" s="296"/>
      <c r="AU55" s="296"/>
    </row>
    <row r="56" spans="1:47" ht="18">
      <c r="A56" s="5">
        <v>55</v>
      </c>
      <c r="B56" s="254" t="s">
        <v>185</v>
      </c>
      <c r="C56" s="7">
        <v>1</v>
      </c>
      <c r="D56" s="7">
        <v>1</v>
      </c>
      <c r="E56" s="7">
        <f t="shared" si="0"/>
        <v>0</v>
      </c>
      <c r="F56" s="120" t="s">
        <v>69</v>
      </c>
      <c r="G56" s="361" t="s">
        <v>108</v>
      </c>
      <c r="H56" s="120" t="s">
        <v>69</v>
      </c>
      <c r="I56" s="120" t="s">
        <v>69</v>
      </c>
      <c r="J56" s="120" t="s">
        <v>69</v>
      </c>
      <c r="K56" s="131" t="s">
        <v>72</v>
      </c>
      <c r="L56" s="120" t="s">
        <v>69</v>
      </c>
      <c r="M56" s="120" t="s">
        <v>69</v>
      </c>
      <c r="N56" s="361" t="s">
        <v>108</v>
      </c>
      <c r="O56" s="120" t="s">
        <v>69</v>
      </c>
      <c r="P56" s="120" t="s">
        <v>69</v>
      </c>
      <c r="Q56" s="120" t="s">
        <v>69</v>
      </c>
      <c r="R56" s="120" t="s">
        <v>69</v>
      </c>
      <c r="S56" s="120" t="s">
        <v>69</v>
      </c>
      <c r="T56" s="120" t="s">
        <v>69</v>
      </c>
      <c r="U56" s="361" t="s">
        <v>108</v>
      </c>
      <c r="V56" s="120" t="s">
        <v>69</v>
      </c>
      <c r="W56" s="120" t="s">
        <v>69</v>
      </c>
      <c r="X56" s="120" t="s">
        <v>69</v>
      </c>
      <c r="Y56" s="120" t="s">
        <v>69</v>
      </c>
      <c r="Z56" s="120" t="s">
        <v>69</v>
      </c>
      <c r="AA56" s="120" t="s">
        <v>69</v>
      </c>
      <c r="AB56" s="361" t="s">
        <v>108</v>
      </c>
      <c r="AC56" s="120" t="s">
        <v>69</v>
      </c>
      <c r="AD56" s="120" t="s">
        <v>69</v>
      </c>
      <c r="AE56" s="120" t="s">
        <v>69</v>
      </c>
      <c r="AF56" s="120" t="s">
        <v>69</v>
      </c>
      <c r="AG56" s="120" t="s">
        <v>69</v>
      </c>
      <c r="AH56" s="120" t="s">
        <v>69</v>
      </c>
      <c r="AI56" s="361" t="s">
        <v>108</v>
      </c>
      <c r="AJ56" s="296"/>
      <c r="AK56" s="296"/>
      <c r="AL56" s="296"/>
      <c r="AM56" s="296"/>
      <c r="AN56" s="296"/>
      <c r="AO56" s="296"/>
      <c r="AP56" s="296"/>
      <c r="AQ56" s="296"/>
      <c r="AR56" s="296"/>
      <c r="AS56" s="296"/>
      <c r="AT56" s="296"/>
      <c r="AU56" s="296"/>
    </row>
    <row r="57" spans="1:47" ht="18">
      <c r="A57" s="5">
        <v>56</v>
      </c>
      <c r="B57" s="383" t="s">
        <v>231</v>
      </c>
      <c r="C57" s="7">
        <v>19</v>
      </c>
      <c r="D57" s="7"/>
      <c r="E57" s="7">
        <f t="shared" si="0"/>
        <v>19</v>
      </c>
      <c r="F57" s="120"/>
      <c r="G57" s="361" t="s">
        <v>108</v>
      </c>
      <c r="H57" s="120"/>
      <c r="I57" s="120"/>
      <c r="J57" s="120"/>
      <c r="K57" s="120"/>
      <c r="L57" s="120"/>
      <c r="M57" s="120"/>
      <c r="N57" s="361" t="s">
        <v>108</v>
      </c>
      <c r="O57" s="120"/>
      <c r="P57" s="120"/>
      <c r="Q57" s="120"/>
      <c r="R57" s="120"/>
      <c r="S57" s="120"/>
      <c r="T57" s="120"/>
      <c r="U57" s="361" t="s">
        <v>108</v>
      </c>
      <c r="V57" s="120"/>
      <c r="W57" s="120"/>
      <c r="X57" s="120"/>
      <c r="Y57" s="120" t="s">
        <v>69</v>
      </c>
      <c r="Z57" s="120" t="s">
        <v>69</v>
      </c>
      <c r="AA57" s="120" t="s">
        <v>69</v>
      </c>
      <c r="AB57" s="361" t="s">
        <v>108</v>
      </c>
      <c r="AC57" s="120" t="s">
        <v>69</v>
      </c>
      <c r="AD57" s="120" t="s">
        <v>69</v>
      </c>
      <c r="AE57" s="120" t="s">
        <v>69</v>
      </c>
      <c r="AF57" s="120" t="s">
        <v>69</v>
      </c>
      <c r="AG57" s="120" t="s">
        <v>69</v>
      </c>
      <c r="AH57" s="120" t="s">
        <v>69</v>
      </c>
      <c r="AI57" s="361" t="s">
        <v>108</v>
      </c>
      <c r="AJ57" s="296"/>
      <c r="AK57" s="296"/>
      <c r="AL57" s="296"/>
      <c r="AM57" s="296"/>
      <c r="AN57" s="296"/>
      <c r="AO57" s="296"/>
      <c r="AP57" s="296"/>
      <c r="AQ57" s="296"/>
      <c r="AR57" s="296"/>
      <c r="AS57" s="296"/>
      <c r="AT57" s="296"/>
      <c r="AU57" s="296"/>
    </row>
    <row r="58" spans="1:47" ht="18">
      <c r="A58" s="5">
        <v>57</v>
      </c>
      <c r="B58" s="254" t="s">
        <v>50</v>
      </c>
      <c r="C58" s="7">
        <v>2</v>
      </c>
      <c r="D58" s="7">
        <v>2</v>
      </c>
      <c r="E58" s="7">
        <f t="shared" si="0"/>
        <v>0</v>
      </c>
      <c r="F58" s="120" t="s">
        <v>69</v>
      </c>
      <c r="G58" s="361" t="s">
        <v>108</v>
      </c>
      <c r="H58" s="120" t="s">
        <v>69</v>
      </c>
      <c r="I58" s="120" t="s">
        <v>69</v>
      </c>
      <c r="J58" s="120" t="s">
        <v>69</v>
      </c>
      <c r="K58" s="120" t="s">
        <v>69</v>
      </c>
      <c r="L58" s="120" t="s">
        <v>69</v>
      </c>
      <c r="M58" s="120" t="s">
        <v>69</v>
      </c>
      <c r="N58" s="361" t="s">
        <v>108</v>
      </c>
      <c r="O58" s="120" t="s">
        <v>69</v>
      </c>
      <c r="P58" s="131" t="s">
        <v>72</v>
      </c>
      <c r="Q58" s="131" t="s">
        <v>72</v>
      </c>
      <c r="R58" s="120" t="s">
        <v>69</v>
      </c>
      <c r="S58" s="120" t="s">
        <v>69</v>
      </c>
      <c r="T58" s="120" t="s">
        <v>69</v>
      </c>
      <c r="U58" s="361" t="s">
        <v>108</v>
      </c>
      <c r="V58" s="120" t="s">
        <v>69</v>
      </c>
      <c r="W58" s="120" t="s">
        <v>69</v>
      </c>
      <c r="X58" s="120" t="s">
        <v>69</v>
      </c>
      <c r="Y58" s="120" t="s">
        <v>69</v>
      </c>
      <c r="Z58" s="120" t="s">
        <v>69</v>
      </c>
      <c r="AA58" s="120" t="s">
        <v>69</v>
      </c>
      <c r="AB58" s="361" t="s">
        <v>108</v>
      </c>
      <c r="AC58" s="120" t="s">
        <v>69</v>
      </c>
      <c r="AD58" s="120" t="s">
        <v>69</v>
      </c>
      <c r="AE58" s="120" t="s">
        <v>69</v>
      </c>
      <c r="AF58" s="120" t="s">
        <v>69</v>
      </c>
      <c r="AG58" s="120" t="s">
        <v>69</v>
      </c>
      <c r="AH58" s="120" t="s">
        <v>69</v>
      </c>
      <c r="AI58" s="361" t="s">
        <v>108</v>
      </c>
      <c r="AJ58" s="296"/>
      <c r="AK58" s="296"/>
      <c r="AL58" s="296"/>
      <c r="AM58" s="296"/>
      <c r="AN58" s="296"/>
      <c r="AO58" s="296"/>
      <c r="AP58" s="296"/>
      <c r="AQ58" s="296"/>
      <c r="AR58" s="296"/>
      <c r="AS58" s="296"/>
      <c r="AT58" s="296"/>
      <c r="AU58" s="296"/>
    </row>
    <row r="59" spans="1:47" ht="18">
      <c r="A59" s="5">
        <v>58</v>
      </c>
      <c r="B59" s="359" t="s">
        <v>186</v>
      </c>
      <c r="C59" s="7">
        <v>1</v>
      </c>
      <c r="D59" s="7">
        <v>1</v>
      </c>
      <c r="E59" s="7">
        <f t="shared" si="0"/>
        <v>0</v>
      </c>
      <c r="F59" s="120" t="s">
        <v>69</v>
      </c>
      <c r="G59" s="361" t="s">
        <v>108</v>
      </c>
      <c r="H59" s="120" t="s">
        <v>69</v>
      </c>
      <c r="I59" s="120" t="s">
        <v>69</v>
      </c>
      <c r="J59" s="120" t="s">
        <v>69</v>
      </c>
      <c r="K59" s="120" t="s">
        <v>69</v>
      </c>
      <c r="L59" s="120" t="s">
        <v>69</v>
      </c>
      <c r="M59" s="120" t="s">
        <v>69</v>
      </c>
      <c r="N59" s="361" t="s">
        <v>108</v>
      </c>
      <c r="O59" s="120" t="s">
        <v>69</v>
      </c>
      <c r="P59" s="120" t="s">
        <v>69</v>
      </c>
      <c r="Q59" s="120" t="s">
        <v>69</v>
      </c>
      <c r="R59" s="120" t="s">
        <v>69</v>
      </c>
      <c r="S59" s="120"/>
      <c r="T59" s="120" t="s">
        <v>69</v>
      </c>
      <c r="U59" s="361" t="s">
        <v>108</v>
      </c>
      <c r="V59" s="120" t="s">
        <v>69</v>
      </c>
      <c r="W59" s="120" t="s">
        <v>69</v>
      </c>
      <c r="X59" s="120" t="s">
        <v>69</v>
      </c>
      <c r="Y59" s="120" t="s">
        <v>69</v>
      </c>
      <c r="Z59" s="120" t="s">
        <v>69</v>
      </c>
      <c r="AA59" s="131" t="s">
        <v>72</v>
      </c>
      <c r="AB59" s="361" t="s">
        <v>108</v>
      </c>
      <c r="AC59" s="120" t="s">
        <v>69</v>
      </c>
      <c r="AD59" s="120" t="s">
        <v>69</v>
      </c>
      <c r="AE59" s="120" t="s">
        <v>69</v>
      </c>
      <c r="AF59" s="120" t="s">
        <v>69</v>
      </c>
      <c r="AG59" s="120" t="s">
        <v>69</v>
      </c>
      <c r="AH59" s="120" t="s">
        <v>69</v>
      </c>
      <c r="AI59" s="361" t="s">
        <v>108</v>
      </c>
      <c r="AJ59" s="296"/>
      <c r="AK59" s="296"/>
      <c r="AL59" s="296"/>
      <c r="AM59" s="296"/>
      <c r="AN59" s="296"/>
      <c r="AO59" s="296"/>
      <c r="AP59" s="296"/>
      <c r="AQ59" s="296"/>
      <c r="AR59" s="296"/>
      <c r="AS59" s="296"/>
      <c r="AT59" s="296"/>
      <c r="AU59" s="296"/>
    </row>
    <row r="60" spans="1:47" ht="18">
      <c r="A60" s="5">
        <v>59</v>
      </c>
      <c r="B60" s="385" t="s">
        <v>232</v>
      </c>
      <c r="C60" s="7">
        <v>6</v>
      </c>
      <c r="D60" s="7"/>
      <c r="E60" s="7">
        <f t="shared" si="0"/>
        <v>6</v>
      </c>
      <c r="F60" s="120"/>
      <c r="G60" s="361" t="s">
        <v>108</v>
      </c>
      <c r="H60" s="120"/>
      <c r="I60" s="120"/>
      <c r="J60" s="120"/>
      <c r="K60" s="120"/>
      <c r="L60" s="120" t="s">
        <v>69</v>
      </c>
      <c r="M60" s="120" t="s">
        <v>69</v>
      </c>
      <c r="N60" s="361" t="s">
        <v>108</v>
      </c>
      <c r="O60" s="120" t="s">
        <v>69</v>
      </c>
      <c r="P60" s="120" t="s">
        <v>69</v>
      </c>
      <c r="Q60" s="120" t="s">
        <v>70</v>
      </c>
      <c r="R60" s="120" t="s">
        <v>69</v>
      </c>
      <c r="S60" s="120" t="s">
        <v>69</v>
      </c>
      <c r="T60" s="120" t="s">
        <v>69</v>
      </c>
      <c r="U60" s="361" t="s">
        <v>108</v>
      </c>
      <c r="V60" s="120" t="s">
        <v>69</v>
      </c>
      <c r="W60" s="120" t="s">
        <v>69</v>
      </c>
      <c r="X60" s="120" t="s">
        <v>69</v>
      </c>
      <c r="Y60" s="120" t="s">
        <v>69</v>
      </c>
      <c r="Z60" s="120" t="s">
        <v>69</v>
      </c>
      <c r="AA60" s="120" t="s">
        <v>69</v>
      </c>
      <c r="AB60" s="361" t="s">
        <v>108</v>
      </c>
      <c r="AC60" s="120" t="s">
        <v>69</v>
      </c>
      <c r="AD60" s="120" t="s">
        <v>69</v>
      </c>
      <c r="AE60" s="120" t="s">
        <v>69</v>
      </c>
      <c r="AF60" s="120" t="s">
        <v>69</v>
      </c>
      <c r="AG60" s="120" t="s">
        <v>69</v>
      </c>
      <c r="AH60" s="120" t="s">
        <v>69</v>
      </c>
      <c r="AI60" s="361" t="s">
        <v>108</v>
      </c>
      <c r="AJ60" s="296"/>
      <c r="AK60" s="296"/>
      <c r="AL60" s="296"/>
      <c r="AM60" s="296"/>
      <c r="AN60" s="296"/>
      <c r="AO60" s="296"/>
      <c r="AP60" s="296"/>
      <c r="AQ60" s="296"/>
      <c r="AR60" s="296"/>
      <c r="AS60" s="296"/>
      <c r="AT60" s="296"/>
      <c r="AU60" s="296"/>
    </row>
    <row r="61" spans="1:47" ht="18">
      <c r="A61" s="5">
        <v>60</v>
      </c>
      <c r="B61" s="254" t="s">
        <v>187</v>
      </c>
      <c r="C61" s="7">
        <v>2</v>
      </c>
      <c r="D61" s="7">
        <v>1.5</v>
      </c>
      <c r="E61" s="7">
        <f t="shared" si="0"/>
        <v>0.5</v>
      </c>
      <c r="F61" s="120" t="s">
        <v>69</v>
      </c>
      <c r="G61" s="361" t="s">
        <v>108</v>
      </c>
      <c r="H61" s="120" t="s">
        <v>69</v>
      </c>
      <c r="I61" s="120" t="s">
        <v>69</v>
      </c>
      <c r="J61" s="120" t="s">
        <v>69</v>
      </c>
      <c r="K61" s="120" t="s">
        <v>69</v>
      </c>
      <c r="L61" s="120" t="s">
        <v>69</v>
      </c>
      <c r="M61" s="120" t="s">
        <v>69</v>
      </c>
      <c r="N61" s="361" t="s">
        <v>108</v>
      </c>
      <c r="O61" s="120" t="s">
        <v>69</v>
      </c>
      <c r="P61" s="120" t="s">
        <v>69</v>
      </c>
      <c r="Q61" s="120" t="s">
        <v>69</v>
      </c>
      <c r="R61" s="120" t="s">
        <v>69</v>
      </c>
      <c r="S61" s="120"/>
      <c r="T61" s="131" t="s">
        <v>72</v>
      </c>
      <c r="U61" s="361" t="s">
        <v>108</v>
      </c>
      <c r="V61" s="120" t="s">
        <v>69</v>
      </c>
      <c r="W61" s="120" t="s">
        <v>69</v>
      </c>
      <c r="X61" s="120" t="s">
        <v>69</v>
      </c>
      <c r="Y61" s="120" t="s">
        <v>69</v>
      </c>
      <c r="Z61" s="157" t="s">
        <v>69</v>
      </c>
      <c r="AA61" s="120" t="s">
        <v>69</v>
      </c>
      <c r="AB61" s="361" t="s">
        <v>108</v>
      </c>
      <c r="AC61" s="120" t="s">
        <v>69</v>
      </c>
      <c r="AD61" s="120" t="s">
        <v>69</v>
      </c>
      <c r="AE61" s="120" t="s">
        <v>69</v>
      </c>
      <c r="AF61" s="120" t="s">
        <v>69</v>
      </c>
      <c r="AG61" s="120" t="s">
        <v>69</v>
      </c>
      <c r="AH61" s="131" t="s">
        <v>72</v>
      </c>
      <c r="AI61" s="361" t="s">
        <v>108</v>
      </c>
      <c r="AJ61" s="296"/>
      <c r="AK61" s="296"/>
      <c r="AL61" s="296"/>
      <c r="AM61" s="296"/>
      <c r="AN61" s="296"/>
      <c r="AO61" s="296"/>
      <c r="AP61" s="296"/>
      <c r="AQ61" s="296"/>
      <c r="AR61" s="296"/>
      <c r="AS61" s="296"/>
      <c r="AT61" s="296"/>
      <c r="AU61" s="296"/>
    </row>
    <row r="62" spans="1:47" ht="18">
      <c r="A62" s="5">
        <v>61</v>
      </c>
      <c r="B62" s="254" t="s">
        <v>52</v>
      </c>
      <c r="C62" s="7">
        <v>1</v>
      </c>
      <c r="D62" s="7">
        <v>1</v>
      </c>
      <c r="E62" s="7">
        <f t="shared" si="0"/>
        <v>0</v>
      </c>
      <c r="F62" s="120" t="s">
        <v>69</v>
      </c>
      <c r="G62" s="361" t="s">
        <v>108</v>
      </c>
      <c r="H62" s="120" t="s">
        <v>69</v>
      </c>
      <c r="I62" s="120" t="s">
        <v>69</v>
      </c>
      <c r="J62" s="120" t="s">
        <v>69</v>
      </c>
      <c r="K62" s="120" t="s">
        <v>69</v>
      </c>
      <c r="L62" s="120" t="s">
        <v>69</v>
      </c>
      <c r="M62" s="120" t="s">
        <v>69</v>
      </c>
      <c r="N62" s="361" t="s">
        <v>108</v>
      </c>
      <c r="O62" s="120" t="s">
        <v>69</v>
      </c>
      <c r="P62" s="120" t="s">
        <v>69</v>
      </c>
      <c r="Q62" s="120" t="s">
        <v>69</v>
      </c>
      <c r="R62" s="120" t="s">
        <v>69</v>
      </c>
      <c r="S62" s="120" t="s">
        <v>69</v>
      </c>
      <c r="T62" s="120" t="s">
        <v>69</v>
      </c>
      <c r="U62" s="361" t="s">
        <v>108</v>
      </c>
      <c r="V62" s="120" t="s">
        <v>69</v>
      </c>
      <c r="W62" s="120" t="s">
        <v>70</v>
      </c>
      <c r="X62" s="120" t="s">
        <v>69</v>
      </c>
      <c r="Y62" s="140" t="s">
        <v>69</v>
      </c>
      <c r="Z62" s="140" t="s">
        <v>69</v>
      </c>
      <c r="AA62" s="140" t="s">
        <v>69</v>
      </c>
      <c r="AB62" s="361" t="s">
        <v>108</v>
      </c>
      <c r="AC62" s="120" t="s">
        <v>69</v>
      </c>
      <c r="AD62" s="120" t="s">
        <v>69</v>
      </c>
      <c r="AE62" s="120" t="s">
        <v>69</v>
      </c>
      <c r="AF62" s="120" t="s">
        <v>69</v>
      </c>
      <c r="AG62" s="120" t="s">
        <v>69</v>
      </c>
      <c r="AH62" s="120" t="s">
        <v>69</v>
      </c>
      <c r="AI62" s="361" t="s">
        <v>108</v>
      </c>
      <c r="AJ62" s="296"/>
      <c r="AK62" s="296"/>
      <c r="AL62" s="296"/>
      <c r="AM62" s="296"/>
      <c r="AN62" s="296"/>
      <c r="AO62" s="296"/>
      <c r="AP62" s="296"/>
      <c r="AQ62" s="296"/>
      <c r="AR62" s="296"/>
      <c r="AS62" s="296"/>
      <c r="AT62" s="296"/>
      <c r="AU62" s="296"/>
    </row>
    <row r="63" spans="1:47" ht="18">
      <c r="A63" s="5">
        <v>62</v>
      </c>
      <c r="B63" s="254" t="s">
        <v>53</v>
      </c>
      <c r="C63" s="7">
        <v>2</v>
      </c>
      <c r="D63" s="7">
        <v>2</v>
      </c>
      <c r="E63" s="7">
        <f t="shared" si="0"/>
        <v>0</v>
      </c>
      <c r="F63" s="120" t="s">
        <v>69</v>
      </c>
      <c r="G63" s="361" t="s">
        <v>108</v>
      </c>
      <c r="H63" s="120" t="s">
        <v>69</v>
      </c>
      <c r="I63" s="120" t="s">
        <v>69</v>
      </c>
      <c r="J63" s="131" t="s">
        <v>72</v>
      </c>
      <c r="K63" s="131" t="s">
        <v>72</v>
      </c>
      <c r="L63" s="120" t="s">
        <v>69</v>
      </c>
      <c r="M63" s="120" t="s">
        <v>69</v>
      </c>
      <c r="N63" s="361" t="s">
        <v>108</v>
      </c>
      <c r="O63" s="120" t="s">
        <v>69</v>
      </c>
      <c r="P63" s="120" t="s">
        <v>69</v>
      </c>
      <c r="Q63" s="120" t="s">
        <v>69</v>
      </c>
      <c r="R63" s="120" t="s">
        <v>69</v>
      </c>
      <c r="S63" s="120" t="s">
        <v>69</v>
      </c>
      <c r="T63" s="120" t="s">
        <v>69</v>
      </c>
      <c r="U63" s="361" t="s">
        <v>108</v>
      </c>
      <c r="V63" s="120" t="s">
        <v>69</v>
      </c>
      <c r="W63" s="131" t="s">
        <v>72</v>
      </c>
      <c r="X63" s="131" t="s">
        <v>72</v>
      </c>
      <c r="Y63" s="120" t="s">
        <v>69</v>
      </c>
      <c r="Z63" s="149" t="s">
        <v>69</v>
      </c>
      <c r="AA63" s="149" t="s">
        <v>69</v>
      </c>
      <c r="AB63" s="361" t="s">
        <v>108</v>
      </c>
      <c r="AC63" s="120" t="s">
        <v>69</v>
      </c>
      <c r="AD63" s="120" t="s">
        <v>69</v>
      </c>
      <c r="AE63" s="120" t="s">
        <v>69</v>
      </c>
      <c r="AF63" s="120" t="s">
        <v>69</v>
      </c>
      <c r="AG63" s="120" t="s">
        <v>69</v>
      </c>
      <c r="AH63" s="120" t="s">
        <v>69</v>
      </c>
      <c r="AI63" s="361" t="s">
        <v>108</v>
      </c>
      <c r="AJ63" s="296"/>
      <c r="AK63" s="296"/>
      <c r="AL63" s="296"/>
      <c r="AM63" s="296"/>
      <c r="AN63" s="296"/>
      <c r="AO63" s="296"/>
      <c r="AP63" s="296"/>
      <c r="AQ63" s="296"/>
      <c r="AR63" s="296"/>
      <c r="AS63" s="296"/>
      <c r="AT63" s="296"/>
      <c r="AU63" s="296"/>
    </row>
    <row r="64" spans="1:47" ht="18">
      <c r="A64" s="5">
        <v>63</v>
      </c>
      <c r="B64" s="254" t="s">
        <v>211</v>
      </c>
      <c r="C64" s="7">
        <v>0</v>
      </c>
      <c r="D64" s="7">
        <v>0</v>
      </c>
      <c r="E64" s="7">
        <f t="shared" si="0"/>
        <v>0</v>
      </c>
      <c r="F64" s="120" t="s">
        <v>69</v>
      </c>
      <c r="G64" s="361" t="s">
        <v>108</v>
      </c>
      <c r="H64" s="120" t="s">
        <v>69</v>
      </c>
      <c r="I64" s="120" t="s">
        <v>69</v>
      </c>
      <c r="J64" s="120" t="s">
        <v>69</v>
      </c>
      <c r="K64" s="120" t="s">
        <v>69</v>
      </c>
      <c r="L64" s="120" t="s">
        <v>69</v>
      </c>
      <c r="M64" s="120" t="s">
        <v>69</v>
      </c>
      <c r="N64" s="361" t="s">
        <v>108</v>
      </c>
      <c r="O64" s="120" t="s">
        <v>69</v>
      </c>
      <c r="P64" s="120" t="s">
        <v>70</v>
      </c>
      <c r="Q64" s="120" t="s">
        <v>69</v>
      </c>
      <c r="R64" s="120" t="s">
        <v>69</v>
      </c>
      <c r="S64" s="120" t="s">
        <v>69</v>
      </c>
      <c r="T64" s="120" t="s">
        <v>69</v>
      </c>
      <c r="U64" s="361" t="s">
        <v>108</v>
      </c>
      <c r="V64" s="120" t="s">
        <v>69</v>
      </c>
      <c r="W64" s="120" t="s">
        <v>69</v>
      </c>
      <c r="X64" s="120" t="s">
        <v>69</v>
      </c>
      <c r="Y64" s="120" t="s">
        <v>69</v>
      </c>
      <c r="Z64" s="120" t="s">
        <v>69</v>
      </c>
      <c r="AA64" s="120" t="s">
        <v>69</v>
      </c>
      <c r="AB64" s="361" t="s">
        <v>108</v>
      </c>
      <c r="AC64" s="120" t="s">
        <v>69</v>
      </c>
      <c r="AD64" s="120" t="s">
        <v>69</v>
      </c>
      <c r="AE64" s="120" t="s">
        <v>69</v>
      </c>
      <c r="AF64" s="120" t="s">
        <v>69</v>
      </c>
      <c r="AG64" s="120" t="s">
        <v>69</v>
      </c>
      <c r="AH64" s="120" t="s">
        <v>69</v>
      </c>
      <c r="AI64" s="361" t="s">
        <v>108</v>
      </c>
      <c r="AJ64" s="296"/>
      <c r="AK64" s="296"/>
      <c r="AL64" s="296"/>
      <c r="AM64" s="296"/>
      <c r="AN64" s="296"/>
      <c r="AO64" s="296"/>
      <c r="AP64" s="296"/>
      <c r="AQ64" s="296"/>
      <c r="AR64" s="296"/>
      <c r="AS64" s="296"/>
      <c r="AT64" s="296"/>
      <c r="AU64" s="296"/>
    </row>
    <row r="65" spans="1:47" ht="18">
      <c r="A65" s="5">
        <v>64</v>
      </c>
      <c r="B65" s="254" t="s">
        <v>204</v>
      </c>
      <c r="C65" s="7">
        <v>8</v>
      </c>
      <c r="D65" s="7">
        <v>1</v>
      </c>
      <c r="E65" s="7">
        <f t="shared" si="0"/>
        <v>7</v>
      </c>
      <c r="F65" s="120" t="s">
        <v>69</v>
      </c>
      <c r="G65" s="361" t="s">
        <v>108</v>
      </c>
      <c r="H65" s="120" t="s">
        <v>69</v>
      </c>
      <c r="I65" s="120" t="s">
        <v>69</v>
      </c>
      <c r="J65" s="120" t="s">
        <v>69</v>
      </c>
      <c r="K65" s="131" t="s">
        <v>72</v>
      </c>
      <c r="L65" s="131" t="s">
        <v>72</v>
      </c>
      <c r="M65" s="131" t="s">
        <v>72</v>
      </c>
      <c r="N65" s="361" t="s">
        <v>108</v>
      </c>
      <c r="O65" s="120" t="s">
        <v>69</v>
      </c>
      <c r="P65" s="120" t="s">
        <v>69</v>
      </c>
      <c r="Q65" s="120" t="s">
        <v>69</v>
      </c>
      <c r="R65" s="120" t="s">
        <v>69</v>
      </c>
      <c r="S65" s="120" t="s">
        <v>69</v>
      </c>
      <c r="T65" s="120" t="s">
        <v>69</v>
      </c>
      <c r="U65" s="361" t="s">
        <v>108</v>
      </c>
      <c r="V65" s="120" t="s">
        <v>69</v>
      </c>
      <c r="W65" s="120" t="s">
        <v>69</v>
      </c>
      <c r="X65" s="120" t="s">
        <v>69</v>
      </c>
      <c r="Y65" s="120" t="s">
        <v>69</v>
      </c>
      <c r="Z65" s="131" t="s">
        <v>72</v>
      </c>
      <c r="AA65" s="131" t="s">
        <v>72</v>
      </c>
      <c r="AB65" s="361" t="s">
        <v>108</v>
      </c>
      <c r="AC65" s="120" t="s">
        <v>69</v>
      </c>
      <c r="AD65" s="131" t="s">
        <v>72</v>
      </c>
      <c r="AE65" s="131" t="s">
        <v>72</v>
      </c>
      <c r="AF65" s="131" t="s">
        <v>72</v>
      </c>
      <c r="AG65" s="120" t="s">
        <v>69</v>
      </c>
      <c r="AH65" s="120" t="s">
        <v>69</v>
      </c>
      <c r="AI65" s="361" t="s">
        <v>108</v>
      </c>
      <c r="AJ65" s="296"/>
      <c r="AK65" s="296"/>
      <c r="AL65" s="296"/>
      <c r="AM65" s="296"/>
      <c r="AN65" s="296"/>
      <c r="AO65" s="296"/>
      <c r="AP65" s="296"/>
      <c r="AQ65" s="296"/>
      <c r="AR65" s="296"/>
      <c r="AS65" s="296"/>
      <c r="AT65" s="296"/>
      <c r="AU65" s="296"/>
    </row>
    <row r="66" spans="1:47" ht="18">
      <c r="A66" s="5">
        <v>65</v>
      </c>
      <c r="B66" s="254" t="s">
        <v>55</v>
      </c>
      <c r="C66" s="7">
        <v>0</v>
      </c>
      <c r="D66" s="7">
        <v>0</v>
      </c>
      <c r="E66" s="7">
        <f t="shared" si="0"/>
        <v>0</v>
      </c>
      <c r="F66" s="120" t="s">
        <v>69</v>
      </c>
      <c r="G66" s="361" t="s">
        <v>108</v>
      </c>
      <c r="H66" s="120" t="s">
        <v>69</v>
      </c>
      <c r="I66" s="120" t="s">
        <v>69</v>
      </c>
      <c r="J66" s="120" t="s">
        <v>69</v>
      </c>
      <c r="K66" s="120" t="s">
        <v>69</v>
      </c>
      <c r="L66" s="120" t="s">
        <v>69</v>
      </c>
      <c r="M66" s="120" t="s">
        <v>69</v>
      </c>
      <c r="N66" s="361" t="s">
        <v>108</v>
      </c>
      <c r="O66" s="120" t="s">
        <v>69</v>
      </c>
      <c r="P66" s="120" t="s">
        <v>69</v>
      </c>
      <c r="Q66" s="120" t="s">
        <v>69</v>
      </c>
      <c r="R66" s="120" t="s">
        <v>69</v>
      </c>
      <c r="S66" s="120" t="s">
        <v>69</v>
      </c>
      <c r="T66" s="120" t="s">
        <v>69</v>
      </c>
      <c r="U66" s="361" t="s">
        <v>108</v>
      </c>
      <c r="V66" s="120" t="s">
        <v>69</v>
      </c>
      <c r="W66" s="120" t="s">
        <v>69</v>
      </c>
      <c r="X66" s="120" t="s">
        <v>69</v>
      </c>
      <c r="Y66" s="120" t="s">
        <v>69</v>
      </c>
      <c r="Z66" s="120" t="s">
        <v>69</v>
      </c>
      <c r="AA66" s="120" t="s">
        <v>69</v>
      </c>
      <c r="AB66" s="361" t="s">
        <v>108</v>
      </c>
      <c r="AC66" s="120" t="s">
        <v>69</v>
      </c>
      <c r="AD66" s="120" t="s">
        <v>69</v>
      </c>
      <c r="AE66" s="120" t="s">
        <v>69</v>
      </c>
      <c r="AF66" s="120" t="s">
        <v>69</v>
      </c>
      <c r="AG66" s="120" t="s">
        <v>69</v>
      </c>
      <c r="AH66" s="120" t="s">
        <v>69</v>
      </c>
      <c r="AI66" s="361" t="s">
        <v>108</v>
      </c>
      <c r="AJ66" s="296"/>
      <c r="AK66" s="296"/>
      <c r="AL66" s="296"/>
      <c r="AM66" s="296"/>
      <c r="AN66" s="296"/>
      <c r="AO66" s="296"/>
      <c r="AP66" s="296"/>
      <c r="AQ66" s="296"/>
      <c r="AR66" s="296"/>
      <c r="AS66" s="296"/>
      <c r="AT66" s="296"/>
      <c r="AU66" s="296"/>
    </row>
    <row r="67" spans="1:47" ht="18">
      <c r="A67" s="5">
        <v>66</v>
      </c>
      <c r="B67" s="186" t="s">
        <v>233</v>
      </c>
      <c r="C67" s="7">
        <v>0</v>
      </c>
      <c r="D67" s="7">
        <v>0</v>
      </c>
      <c r="E67" s="7">
        <f t="shared" ref="E67:E81" si="1">C67-D67</f>
        <v>0</v>
      </c>
      <c r="F67" s="120" t="s">
        <v>69</v>
      </c>
      <c r="G67" s="361" t="s">
        <v>108</v>
      </c>
      <c r="H67" s="120" t="s">
        <v>69</v>
      </c>
      <c r="I67" s="120" t="s">
        <v>69</v>
      </c>
      <c r="J67" s="120" t="s">
        <v>69</v>
      </c>
      <c r="K67" s="120" t="s">
        <v>69</v>
      </c>
      <c r="L67" s="120" t="s">
        <v>69</v>
      </c>
      <c r="M67" s="120" t="s">
        <v>69</v>
      </c>
      <c r="N67" s="361" t="s">
        <v>108</v>
      </c>
      <c r="O67" s="120" t="s">
        <v>69</v>
      </c>
      <c r="P67" s="120" t="s">
        <v>69</v>
      </c>
      <c r="Q67" s="120" t="s">
        <v>69</v>
      </c>
      <c r="R67" s="120" t="s">
        <v>69</v>
      </c>
      <c r="S67" s="120" t="s">
        <v>69</v>
      </c>
      <c r="T67" s="120" t="s">
        <v>69</v>
      </c>
      <c r="U67" s="361" t="s">
        <v>108</v>
      </c>
      <c r="V67" s="120" t="s">
        <v>69</v>
      </c>
      <c r="W67" s="120" t="s">
        <v>69</v>
      </c>
      <c r="X67" s="120" t="s">
        <v>69</v>
      </c>
      <c r="Y67" s="120" t="s">
        <v>69</v>
      </c>
      <c r="Z67" s="120" t="s">
        <v>69</v>
      </c>
      <c r="AA67" s="120" t="s">
        <v>69</v>
      </c>
      <c r="AB67" s="361" t="s">
        <v>108</v>
      </c>
      <c r="AC67" s="120" t="s">
        <v>69</v>
      </c>
      <c r="AD67" s="120" t="s">
        <v>69</v>
      </c>
      <c r="AE67" s="120" t="s">
        <v>69</v>
      </c>
      <c r="AF67" s="120" t="s">
        <v>69</v>
      </c>
      <c r="AG67" s="120" t="s">
        <v>69</v>
      </c>
      <c r="AH67" s="120" t="s">
        <v>69</v>
      </c>
      <c r="AI67" s="361" t="s">
        <v>108</v>
      </c>
      <c r="AJ67" s="296"/>
      <c r="AK67" s="296"/>
      <c r="AL67" s="296"/>
      <c r="AM67" s="296"/>
      <c r="AN67" s="296"/>
      <c r="AO67" s="296"/>
      <c r="AP67" s="296"/>
      <c r="AQ67" s="296"/>
      <c r="AR67" s="296"/>
      <c r="AS67" s="296"/>
      <c r="AT67" s="296"/>
      <c r="AU67" s="296"/>
    </row>
    <row r="68" spans="1:47" ht="18">
      <c r="A68" s="5">
        <v>67</v>
      </c>
      <c r="B68" s="254" t="s">
        <v>57</v>
      </c>
      <c r="C68" s="7">
        <v>2</v>
      </c>
      <c r="D68" s="7">
        <v>2</v>
      </c>
      <c r="E68" s="7">
        <f t="shared" si="1"/>
        <v>0</v>
      </c>
      <c r="F68" s="120" t="s">
        <v>69</v>
      </c>
      <c r="G68" s="361" t="s">
        <v>108</v>
      </c>
      <c r="H68" s="131" t="s">
        <v>72</v>
      </c>
      <c r="I68" s="120" t="s">
        <v>69</v>
      </c>
      <c r="J68" s="120" t="s">
        <v>69</v>
      </c>
      <c r="K68" s="120" t="s">
        <v>69</v>
      </c>
      <c r="L68" s="120" t="s">
        <v>69</v>
      </c>
      <c r="M68" s="120" t="s">
        <v>69</v>
      </c>
      <c r="N68" s="361" t="s">
        <v>108</v>
      </c>
      <c r="O68" s="120" t="s">
        <v>69</v>
      </c>
      <c r="P68" s="120" t="s">
        <v>70</v>
      </c>
      <c r="Q68" s="120" t="s">
        <v>69</v>
      </c>
      <c r="R68" s="120" t="s">
        <v>69</v>
      </c>
      <c r="S68" s="120" t="s">
        <v>69</v>
      </c>
      <c r="T68" s="120" t="s">
        <v>69</v>
      </c>
      <c r="U68" s="361" t="s">
        <v>108</v>
      </c>
      <c r="V68" s="120" t="s">
        <v>69</v>
      </c>
      <c r="W68" s="120" t="s">
        <v>69</v>
      </c>
      <c r="X68" s="120" t="s">
        <v>69</v>
      </c>
      <c r="Y68" s="120" t="s">
        <v>69</v>
      </c>
      <c r="Z68" s="120" t="s">
        <v>69</v>
      </c>
      <c r="AA68" s="120" t="s">
        <v>69</v>
      </c>
      <c r="AB68" s="361" t="s">
        <v>108</v>
      </c>
      <c r="AC68" s="120" t="s">
        <v>69</v>
      </c>
      <c r="AD68" s="120" t="s">
        <v>69</v>
      </c>
      <c r="AE68" s="131" t="s">
        <v>72</v>
      </c>
      <c r="AF68" s="120" t="s">
        <v>69</v>
      </c>
      <c r="AG68" s="120" t="s">
        <v>69</v>
      </c>
      <c r="AH68" s="120" t="s">
        <v>69</v>
      </c>
      <c r="AI68" s="361" t="s">
        <v>108</v>
      </c>
      <c r="AJ68" s="296"/>
      <c r="AK68" s="296"/>
      <c r="AL68" s="296"/>
      <c r="AM68" s="296"/>
      <c r="AN68" s="296"/>
      <c r="AO68" s="296"/>
      <c r="AP68" s="296"/>
      <c r="AQ68" s="296"/>
      <c r="AR68" s="296"/>
      <c r="AS68" s="296"/>
      <c r="AT68" s="296"/>
      <c r="AU68" s="296"/>
    </row>
    <row r="69" spans="1:47" ht="18">
      <c r="A69" s="5">
        <v>68</v>
      </c>
      <c r="B69" s="386" t="s">
        <v>234</v>
      </c>
      <c r="C69" s="7">
        <v>7</v>
      </c>
      <c r="D69" s="7">
        <v>0</v>
      </c>
      <c r="E69" s="7">
        <f t="shared" si="1"/>
        <v>7</v>
      </c>
      <c r="F69" s="120"/>
      <c r="G69" s="361" t="s">
        <v>108</v>
      </c>
      <c r="H69" s="131"/>
      <c r="I69" s="120"/>
      <c r="J69" s="120"/>
      <c r="K69" s="120"/>
      <c r="L69" s="120" t="s">
        <v>69</v>
      </c>
      <c r="M69" s="120" t="s">
        <v>69</v>
      </c>
      <c r="N69" s="361" t="s">
        <v>108</v>
      </c>
      <c r="O69" s="120" t="s">
        <v>69</v>
      </c>
      <c r="P69" s="120" t="s">
        <v>69</v>
      </c>
      <c r="Q69" s="120" t="s">
        <v>69</v>
      </c>
      <c r="R69" s="120" t="s">
        <v>69</v>
      </c>
      <c r="S69" s="120" t="s">
        <v>69</v>
      </c>
      <c r="T69" s="120" t="s">
        <v>69</v>
      </c>
      <c r="U69" s="361" t="s">
        <v>220</v>
      </c>
      <c r="V69" s="120" t="s">
        <v>69</v>
      </c>
      <c r="W69" s="120" t="s">
        <v>69</v>
      </c>
      <c r="X69" s="120" t="s">
        <v>69</v>
      </c>
      <c r="Y69" s="120" t="s">
        <v>69</v>
      </c>
      <c r="Z69" s="120" t="s">
        <v>69</v>
      </c>
      <c r="AA69" s="120" t="s">
        <v>69</v>
      </c>
      <c r="AB69" s="361" t="s">
        <v>108</v>
      </c>
      <c r="AC69" s="120" t="s">
        <v>69</v>
      </c>
      <c r="AD69" s="120" t="s">
        <v>69</v>
      </c>
      <c r="AE69" s="120" t="s">
        <v>69</v>
      </c>
      <c r="AF69" s="131" t="s">
        <v>72</v>
      </c>
      <c r="AG69" s="120" t="s">
        <v>69</v>
      </c>
      <c r="AH69" s="145" t="s">
        <v>69</v>
      </c>
      <c r="AI69" s="361" t="s">
        <v>108</v>
      </c>
      <c r="AJ69" s="296"/>
      <c r="AK69" s="296"/>
      <c r="AL69" s="296"/>
      <c r="AM69" s="296"/>
      <c r="AN69" s="296"/>
      <c r="AO69" s="296"/>
      <c r="AP69" s="296"/>
      <c r="AQ69" s="296"/>
      <c r="AR69" s="296"/>
      <c r="AS69" s="296"/>
      <c r="AT69" s="296"/>
      <c r="AU69" s="296"/>
    </row>
    <row r="70" spans="1:47" ht="18">
      <c r="A70" s="5">
        <v>69</v>
      </c>
      <c r="B70" s="386" t="s">
        <v>80</v>
      </c>
      <c r="C70" s="7">
        <v>10.5</v>
      </c>
      <c r="D70" s="7"/>
      <c r="E70" s="7">
        <f t="shared" si="1"/>
        <v>10.5</v>
      </c>
      <c r="F70" s="120" t="s">
        <v>69</v>
      </c>
      <c r="G70" s="361" t="s">
        <v>108</v>
      </c>
      <c r="H70" s="120" t="s">
        <v>69</v>
      </c>
      <c r="I70" s="120" t="s">
        <v>69</v>
      </c>
      <c r="J70" s="120" t="s">
        <v>69</v>
      </c>
      <c r="K70" s="120" t="s">
        <v>69</v>
      </c>
      <c r="L70" s="120" t="s">
        <v>69</v>
      </c>
      <c r="M70" s="120" t="s">
        <v>69</v>
      </c>
      <c r="N70" s="361" t="s">
        <v>108</v>
      </c>
      <c r="O70" s="120" t="s">
        <v>69</v>
      </c>
      <c r="P70" s="120" t="s">
        <v>69</v>
      </c>
      <c r="Q70" s="120" t="s">
        <v>69</v>
      </c>
      <c r="R70" s="120" t="s">
        <v>94</v>
      </c>
      <c r="S70" s="120" t="s">
        <v>69</v>
      </c>
      <c r="T70" s="120" t="s">
        <v>69</v>
      </c>
      <c r="U70" s="361" t="s">
        <v>108</v>
      </c>
      <c r="V70" s="120" t="s">
        <v>69</v>
      </c>
      <c r="W70" s="120" t="s">
        <v>69</v>
      </c>
      <c r="X70" s="120" t="s">
        <v>69</v>
      </c>
      <c r="Y70" s="120" t="s">
        <v>69</v>
      </c>
      <c r="Z70" s="120" t="s">
        <v>69</v>
      </c>
      <c r="AA70" s="131" t="s">
        <v>72</v>
      </c>
      <c r="AB70" s="361" t="s">
        <v>108</v>
      </c>
      <c r="AC70" s="131" t="s">
        <v>76</v>
      </c>
      <c r="AD70" s="131" t="s">
        <v>76</v>
      </c>
      <c r="AE70" s="131" t="s">
        <v>76</v>
      </c>
      <c r="AF70" s="131" t="s">
        <v>76</v>
      </c>
      <c r="AG70" s="131" t="s">
        <v>76</v>
      </c>
      <c r="AH70" s="131" t="s">
        <v>76</v>
      </c>
      <c r="AI70" s="361" t="s">
        <v>108</v>
      </c>
      <c r="AJ70" s="296"/>
      <c r="AK70" s="296"/>
      <c r="AL70" s="296"/>
      <c r="AM70" s="296"/>
      <c r="AN70" s="296"/>
      <c r="AO70" s="296"/>
      <c r="AP70" s="296"/>
      <c r="AQ70" s="296"/>
      <c r="AR70" s="296"/>
      <c r="AS70" s="296"/>
      <c r="AT70" s="296"/>
      <c r="AU70" s="296"/>
    </row>
    <row r="71" spans="1:47" ht="18">
      <c r="A71" s="5">
        <v>70</v>
      </c>
      <c r="B71" s="383" t="s">
        <v>235</v>
      </c>
      <c r="C71" s="7">
        <v>26</v>
      </c>
      <c r="D71" s="7"/>
      <c r="E71" s="7">
        <f t="shared" si="1"/>
        <v>26</v>
      </c>
      <c r="F71" s="120"/>
      <c r="G71" s="361"/>
      <c r="H71" s="120"/>
      <c r="I71" s="120"/>
      <c r="J71" s="120"/>
      <c r="K71" s="120"/>
      <c r="L71" s="120"/>
      <c r="M71" s="120"/>
      <c r="N71" s="361"/>
      <c r="O71" s="120"/>
      <c r="P71" s="120"/>
      <c r="Q71" s="120"/>
      <c r="R71" s="120"/>
      <c r="S71" s="120"/>
      <c r="T71" s="120"/>
      <c r="U71" s="361"/>
      <c r="V71" s="120"/>
      <c r="W71" s="120"/>
      <c r="X71" s="120"/>
      <c r="Y71" s="120"/>
      <c r="Z71" s="120"/>
      <c r="AA71" s="120"/>
      <c r="AB71" s="361" t="s">
        <v>108</v>
      </c>
      <c r="AC71" s="131"/>
      <c r="AD71" s="131"/>
      <c r="AE71" s="131"/>
      <c r="AF71" s="120" t="s">
        <v>69</v>
      </c>
      <c r="AG71" s="120" t="s">
        <v>69</v>
      </c>
      <c r="AH71" s="120" t="s">
        <v>69</v>
      </c>
      <c r="AI71" s="361" t="s">
        <v>108</v>
      </c>
      <c r="AJ71" s="296"/>
      <c r="AK71" s="296"/>
      <c r="AL71" s="296"/>
      <c r="AM71" s="296"/>
      <c r="AN71" s="296"/>
      <c r="AO71" s="296"/>
      <c r="AP71" s="296"/>
      <c r="AQ71" s="296"/>
      <c r="AR71" s="296"/>
      <c r="AS71" s="296"/>
      <c r="AT71" s="296"/>
      <c r="AU71" s="296"/>
    </row>
    <row r="72" spans="1:47" ht="18">
      <c r="A72" s="5">
        <v>71</v>
      </c>
      <c r="B72" s="254" t="s">
        <v>58</v>
      </c>
      <c r="C72" s="7">
        <v>3</v>
      </c>
      <c r="D72" s="7">
        <v>3</v>
      </c>
      <c r="E72" s="7">
        <f t="shared" si="1"/>
        <v>0</v>
      </c>
      <c r="F72" s="120" t="s">
        <v>69</v>
      </c>
      <c r="G72" s="361" t="s">
        <v>108</v>
      </c>
      <c r="H72" s="131" t="s">
        <v>72</v>
      </c>
      <c r="I72" s="120" t="s">
        <v>69</v>
      </c>
      <c r="J72" s="120" t="s">
        <v>69</v>
      </c>
      <c r="K72" s="120" t="s">
        <v>69</v>
      </c>
      <c r="L72" s="120" t="s">
        <v>69</v>
      </c>
      <c r="M72" s="131" t="s">
        <v>72</v>
      </c>
      <c r="N72" s="361" t="s">
        <v>108</v>
      </c>
      <c r="O72" s="120"/>
      <c r="P72" s="120" t="s">
        <v>69</v>
      </c>
      <c r="Q72" s="120" t="s">
        <v>69</v>
      </c>
      <c r="R72" s="120" t="s">
        <v>69</v>
      </c>
      <c r="S72" s="120" t="s">
        <v>69</v>
      </c>
      <c r="T72" s="120" t="s">
        <v>69</v>
      </c>
      <c r="U72" s="361" t="s">
        <v>108</v>
      </c>
      <c r="V72" s="120" t="s">
        <v>69</v>
      </c>
      <c r="W72" s="120" t="s">
        <v>69</v>
      </c>
      <c r="X72" s="120" t="s">
        <v>69</v>
      </c>
      <c r="Y72" s="120" t="s">
        <v>69</v>
      </c>
      <c r="Z72" s="120" t="s">
        <v>69</v>
      </c>
      <c r="AA72" s="120" t="s">
        <v>69</v>
      </c>
      <c r="AB72" s="361" t="s">
        <v>108</v>
      </c>
      <c r="AC72" s="120" t="s">
        <v>69</v>
      </c>
      <c r="AD72" s="131" t="s">
        <v>72</v>
      </c>
      <c r="AE72" s="120" t="s">
        <v>69</v>
      </c>
      <c r="AF72" s="120" t="s">
        <v>69</v>
      </c>
      <c r="AG72" s="120" t="s">
        <v>69</v>
      </c>
      <c r="AH72" s="120" t="s">
        <v>69</v>
      </c>
      <c r="AI72" s="361" t="s">
        <v>108</v>
      </c>
      <c r="AJ72" s="296"/>
      <c r="AK72" s="296"/>
      <c r="AL72" s="296"/>
      <c r="AM72" s="296"/>
      <c r="AN72" s="296"/>
      <c r="AO72" s="296"/>
      <c r="AP72" s="296"/>
      <c r="AQ72" s="296"/>
      <c r="AR72" s="296"/>
      <c r="AS72" s="296"/>
      <c r="AT72" s="296"/>
      <c r="AU72" s="296"/>
    </row>
    <row r="73" spans="1:47" ht="18">
      <c r="A73" s="5">
        <v>72</v>
      </c>
      <c r="B73" s="254" t="s">
        <v>189</v>
      </c>
      <c r="C73" s="7">
        <v>5</v>
      </c>
      <c r="D73" s="7" t="s">
        <v>236</v>
      </c>
      <c r="E73" s="7" t="e">
        <f t="shared" si="1"/>
        <v>#VALUE!</v>
      </c>
      <c r="F73" s="131" t="s">
        <v>72</v>
      </c>
      <c r="G73" s="361" t="s">
        <v>108</v>
      </c>
      <c r="H73" s="120" t="s">
        <v>69</v>
      </c>
      <c r="I73" s="120" t="s">
        <v>69</v>
      </c>
      <c r="J73" s="120" t="s">
        <v>69</v>
      </c>
      <c r="K73" s="120" t="s">
        <v>69</v>
      </c>
      <c r="L73" s="120" t="s">
        <v>69</v>
      </c>
      <c r="M73" s="120" t="s">
        <v>69</v>
      </c>
      <c r="N73" s="361" t="s">
        <v>108</v>
      </c>
      <c r="O73" s="120" t="s">
        <v>69</v>
      </c>
      <c r="P73" s="120" t="s">
        <v>70</v>
      </c>
      <c r="Q73" s="120" t="s">
        <v>69</v>
      </c>
      <c r="R73" s="131" t="s">
        <v>72</v>
      </c>
      <c r="S73" s="131" t="s">
        <v>72</v>
      </c>
      <c r="T73" s="131" t="s">
        <v>72</v>
      </c>
      <c r="U73" s="361" t="s">
        <v>108</v>
      </c>
      <c r="V73" s="120" t="s">
        <v>69</v>
      </c>
      <c r="W73" s="120" t="s">
        <v>69</v>
      </c>
      <c r="X73" s="120" t="s">
        <v>69</v>
      </c>
      <c r="Y73" s="120" t="s">
        <v>69</v>
      </c>
      <c r="Z73" s="120" t="s">
        <v>69</v>
      </c>
      <c r="AA73" s="120" t="s">
        <v>69</v>
      </c>
      <c r="AB73" s="361" t="s">
        <v>108</v>
      </c>
      <c r="AC73" s="131" t="s">
        <v>72</v>
      </c>
      <c r="AD73" s="120" t="s">
        <v>69</v>
      </c>
      <c r="AE73" s="120" t="s">
        <v>69</v>
      </c>
      <c r="AF73" s="120" t="s">
        <v>69</v>
      </c>
      <c r="AG73" s="120" t="s">
        <v>69</v>
      </c>
      <c r="AH73" s="120" t="s">
        <v>69</v>
      </c>
      <c r="AI73" s="361" t="s">
        <v>108</v>
      </c>
      <c r="AJ73" s="296"/>
      <c r="AK73" s="296"/>
      <c r="AL73" s="296"/>
      <c r="AM73" s="296"/>
      <c r="AN73" s="296"/>
      <c r="AO73" s="296"/>
      <c r="AP73" s="296"/>
      <c r="AQ73" s="296"/>
      <c r="AR73" s="296"/>
      <c r="AS73" s="296"/>
      <c r="AT73" s="296"/>
      <c r="AU73" s="296"/>
    </row>
    <row r="74" spans="1:47" ht="18">
      <c r="A74" s="5">
        <v>73</v>
      </c>
      <c r="B74" s="186" t="s">
        <v>60</v>
      </c>
      <c r="C74" s="7">
        <v>3</v>
      </c>
      <c r="D74" s="7">
        <v>1.5</v>
      </c>
      <c r="E74" s="7">
        <f t="shared" si="1"/>
        <v>1.5</v>
      </c>
      <c r="F74" s="131" t="s">
        <v>72</v>
      </c>
      <c r="G74" s="361" t="s">
        <v>108</v>
      </c>
      <c r="H74" s="120" t="s">
        <v>69</v>
      </c>
      <c r="I74" s="120" t="s">
        <v>69</v>
      </c>
      <c r="J74" s="120" t="s">
        <v>69</v>
      </c>
      <c r="K74" s="120" t="s">
        <v>69</v>
      </c>
      <c r="L74" s="120" t="s">
        <v>69</v>
      </c>
      <c r="M74" s="120" t="s">
        <v>69</v>
      </c>
      <c r="N74" s="361" t="s">
        <v>108</v>
      </c>
      <c r="O74" s="120" t="s">
        <v>69</v>
      </c>
      <c r="P74" s="120" t="s">
        <v>69</v>
      </c>
      <c r="Q74" s="120" t="s">
        <v>69</v>
      </c>
      <c r="R74" s="120" t="s">
        <v>69</v>
      </c>
      <c r="S74" s="120" t="s">
        <v>69</v>
      </c>
      <c r="T74" s="131" t="s">
        <v>72</v>
      </c>
      <c r="U74" s="361" t="s">
        <v>108</v>
      </c>
      <c r="V74" s="120" t="s">
        <v>69</v>
      </c>
      <c r="W74" s="120" t="s">
        <v>69</v>
      </c>
      <c r="X74" s="120" t="s">
        <v>69</v>
      </c>
      <c r="Y74" s="131" t="s">
        <v>72</v>
      </c>
      <c r="Z74" s="120" t="s">
        <v>69</v>
      </c>
      <c r="AA74" s="120" t="s">
        <v>69</v>
      </c>
      <c r="AB74" s="361" t="s">
        <v>108</v>
      </c>
      <c r="AC74" s="120" t="s">
        <v>69</v>
      </c>
      <c r="AD74" s="120" t="s">
        <v>69</v>
      </c>
      <c r="AE74" s="120" t="s">
        <v>69</v>
      </c>
      <c r="AF74" s="120" t="s">
        <v>69</v>
      </c>
      <c r="AG74" s="120" t="s">
        <v>69</v>
      </c>
      <c r="AH74" s="120" t="s">
        <v>69</v>
      </c>
      <c r="AI74" s="361" t="s">
        <v>108</v>
      </c>
      <c r="AJ74" s="296"/>
      <c r="AK74" s="296"/>
      <c r="AL74" s="296"/>
      <c r="AM74" s="296"/>
      <c r="AN74" s="296"/>
      <c r="AO74" s="296"/>
      <c r="AP74" s="296"/>
      <c r="AQ74" s="296"/>
      <c r="AR74" s="296"/>
      <c r="AS74" s="296"/>
      <c r="AT74" s="296"/>
      <c r="AU74" s="296"/>
    </row>
    <row r="75" spans="1:47" ht="18">
      <c r="A75" s="5">
        <v>74</v>
      </c>
      <c r="B75" s="186" t="s">
        <v>106</v>
      </c>
      <c r="C75" s="7">
        <v>1</v>
      </c>
      <c r="D75" s="7">
        <v>1</v>
      </c>
      <c r="E75" s="7">
        <f t="shared" si="1"/>
        <v>0</v>
      </c>
      <c r="F75" s="120" t="s">
        <v>69</v>
      </c>
      <c r="G75" s="361" t="s">
        <v>108</v>
      </c>
      <c r="H75" s="120" t="s">
        <v>69</v>
      </c>
      <c r="I75" s="120" t="s">
        <v>69</v>
      </c>
      <c r="J75" s="120" t="s">
        <v>69</v>
      </c>
      <c r="K75" s="120" t="s">
        <v>69</v>
      </c>
      <c r="L75" s="120" t="s">
        <v>69</v>
      </c>
      <c r="M75" s="120" t="s">
        <v>69</v>
      </c>
      <c r="N75" s="361" t="s">
        <v>108</v>
      </c>
      <c r="O75" s="120" t="s">
        <v>69</v>
      </c>
      <c r="P75" s="120" t="s">
        <v>69</v>
      </c>
      <c r="Q75" s="120" t="s">
        <v>69</v>
      </c>
      <c r="R75" s="120" t="s">
        <v>69</v>
      </c>
      <c r="S75" s="120" t="s">
        <v>69</v>
      </c>
      <c r="T75" s="120" t="s">
        <v>69</v>
      </c>
      <c r="U75" s="361" t="s">
        <v>108</v>
      </c>
      <c r="V75" s="120" t="s">
        <v>69</v>
      </c>
      <c r="W75" s="120" t="s">
        <v>69</v>
      </c>
      <c r="X75" s="131" t="s">
        <v>72</v>
      </c>
      <c r="Y75" s="120" t="s">
        <v>69</v>
      </c>
      <c r="Z75" s="120" t="s">
        <v>69</v>
      </c>
      <c r="AA75" s="120" t="s">
        <v>69</v>
      </c>
      <c r="AB75" s="361" t="s">
        <v>108</v>
      </c>
      <c r="AC75" s="120" t="s">
        <v>69</v>
      </c>
      <c r="AD75" s="120" t="s">
        <v>69</v>
      </c>
      <c r="AE75" s="120" t="s">
        <v>69</v>
      </c>
      <c r="AF75" s="120" t="s">
        <v>69</v>
      </c>
      <c r="AG75" s="120" t="s">
        <v>69</v>
      </c>
      <c r="AH75" s="120" t="s">
        <v>69</v>
      </c>
      <c r="AI75" s="361" t="s">
        <v>108</v>
      </c>
      <c r="AJ75" s="296"/>
      <c r="AK75" s="296"/>
      <c r="AL75" s="296"/>
      <c r="AM75" s="296"/>
      <c r="AN75" s="296"/>
      <c r="AO75" s="296"/>
      <c r="AP75" s="296"/>
      <c r="AQ75" s="296"/>
      <c r="AR75" s="296"/>
      <c r="AS75" s="296"/>
      <c r="AT75" s="296"/>
      <c r="AU75" s="296"/>
    </row>
    <row r="76" spans="1:47" ht="18">
      <c r="A76" s="5">
        <v>75</v>
      </c>
      <c r="B76" s="254" t="s">
        <v>61</v>
      </c>
      <c r="C76" s="7">
        <v>0</v>
      </c>
      <c r="D76" s="7">
        <v>0</v>
      </c>
      <c r="E76" s="7">
        <f t="shared" si="1"/>
        <v>0</v>
      </c>
      <c r="F76" s="120" t="s">
        <v>69</v>
      </c>
      <c r="G76" s="361" t="s">
        <v>108</v>
      </c>
      <c r="H76" s="120" t="s">
        <v>69</v>
      </c>
      <c r="I76" s="120" t="s">
        <v>69</v>
      </c>
      <c r="J76" s="120" t="s">
        <v>69</v>
      </c>
      <c r="K76" s="120" t="s">
        <v>69</v>
      </c>
      <c r="L76" s="120" t="s">
        <v>69</v>
      </c>
      <c r="M76" s="120" t="s">
        <v>69</v>
      </c>
      <c r="N76" s="361" t="s">
        <v>108</v>
      </c>
      <c r="O76" s="120" t="s">
        <v>69</v>
      </c>
      <c r="P76" s="120" t="s">
        <v>69</v>
      </c>
      <c r="Q76" s="120" t="s">
        <v>69</v>
      </c>
      <c r="R76" s="120" t="s">
        <v>69</v>
      </c>
      <c r="S76" s="120" t="s">
        <v>69</v>
      </c>
      <c r="T76" s="120" t="s">
        <v>69</v>
      </c>
      <c r="U76" s="361" t="s">
        <v>108</v>
      </c>
      <c r="V76" s="120" t="s">
        <v>69</v>
      </c>
      <c r="W76" s="120" t="s">
        <v>69</v>
      </c>
      <c r="X76" s="120" t="s">
        <v>69</v>
      </c>
      <c r="Y76" s="120" t="s">
        <v>69</v>
      </c>
      <c r="Z76" s="120" t="s">
        <v>69</v>
      </c>
      <c r="AA76" s="120" t="s">
        <v>69</v>
      </c>
      <c r="AB76" s="361" t="s">
        <v>108</v>
      </c>
      <c r="AC76" s="120" t="s">
        <v>69</v>
      </c>
      <c r="AD76" s="120" t="s">
        <v>69</v>
      </c>
      <c r="AE76" s="120" t="s">
        <v>69</v>
      </c>
      <c r="AF76" s="120" t="s">
        <v>69</v>
      </c>
      <c r="AG76" s="120" t="s">
        <v>69</v>
      </c>
      <c r="AH76" s="120" t="s">
        <v>69</v>
      </c>
      <c r="AI76" s="361" t="s">
        <v>108</v>
      </c>
      <c r="AJ76" s="296"/>
      <c r="AK76" s="296"/>
      <c r="AL76" s="296"/>
      <c r="AM76" s="296"/>
      <c r="AN76" s="296"/>
      <c r="AO76" s="296"/>
      <c r="AP76" s="296"/>
      <c r="AQ76" s="296"/>
      <c r="AR76" s="296"/>
      <c r="AS76" s="296"/>
      <c r="AT76" s="296"/>
      <c r="AU76" s="296"/>
    </row>
    <row r="77" spans="1:47" ht="18">
      <c r="A77" s="5">
        <v>76</v>
      </c>
      <c r="B77" s="386" t="s">
        <v>205</v>
      </c>
      <c r="C77" s="7">
        <v>23</v>
      </c>
      <c r="D77" s="7"/>
      <c r="E77" s="7">
        <f t="shared" si="1"/>
        <v>23</v>
      </c>
      <c r="F77" s="120" t="s">
        <v>69</v>
      </c>
      <c r="G77" s="361" t="s">
        <v>108</v>
      </c>
      <c r="H77" s="120" t="s">
        <v>69</v>
      </c>
      <c r="I77" s="120" t="s">
        <v>69</v>
      </c>
      <c r="J77" s="131" t="s">
        <v>72</v>
      </c>
      <c r="K77" s="120" t="s">
        <v>69</v>
      </c>
      <c r="L77" s="120" t="s">
        <v>69</v>
      </c>
      <c r="M77" s="120" t="s">
        <v>69</v>
      </c>
      <c r="N77" s="361" t="s">
        <v>108</v>
      </c>
      <c r="O77" s="131" t="s">
        <v>76</v>
      </c>
      <c r="P77" s="131" t="s">
        <v>76</v>
      </c>
      <c r="Q77" s="131" t="s">
        <v>76</v>
      </c>
      <c r="R77" s="131" t="s">
        <v>76</v>
      </c>
      <c r="S77" s="131" t="s">
        <v>76</v>
      </c>
      <c r="T77" s="131" t="s">
        <v>76</v>
      </c>
      <c r="U77" s="361" t="s">
        <v>108</v>
      </c>
      <c r="V77" s="131" t="s">
        <v>76</v>
      </c>
      <c r="W77" s="131" t="s">
        <v>76</v>
      </c>
      <c r="X77" s="131" t="s">
        <v>76</v>
      </c>
      <c r="Y77" s="131" t="s">
        <v>76</v>
      </c>
      <c r="Z77" s="131" t="s">
        <v>76</v>
      </c>
      <c r="AA77" s="131" t="s">
        <v>76</v>
      </c>
      <c r="AB77" s="361" t="s">
        <v>108</v>
      </c>
      <c r="AC77" s="131" t="s">
        <v>76</v>
      </c>
      <c r="AD77" s="131" t="s">
        <v>76</v>
      </c>
      <c r="AE77" s="131" t="s">
        <v>76</v>
      </c>
      <c r="AF77" s="131" t="s">
        <v>76</v>
      </c>
      <c r="AG77" s="131" t="s">
        <v>76</v>
      </c>
      <c r="AH77" s="131" t="s">
        <v>76</v>
      </c>
      <c r="AI77" s="361" t="s">
        <v>108</v>
      </c>
      <c r="AJ77" s="296"/>
      <c r="AK77" s="296"/>
      <c r="AL77" s="296"/>
      <c r="AM77" s="296"/>
      <c r="AN77" s="296"/>
      <c r="AO77" s="296"/>
      <c r="AP77" s="296"/>
      <c r="AQ77" s="296"/>
      <c r="AR77" s="296"/>
      <c r="AS77" s="296"/>
      <c r="AT77" s="296"/>
      <c r="AU77" s="296"/>
    </row>
    <row r="78" spans="1:47" ht="18">
      <c r="A78" s="5">
        <v>77</v>
      </c>
      <c r="B78" s="254" t="s">
        <v>62</v>
      </c>
      <c r="C78" s="7">
        <v>2</v>
      </c>
      <c r="D78" s="7">
        <v>2</v>
      </c>
      <c r="E78" s="7">
        <f t="shared" si="1"/>
        <v>0</v>
      </c>
      <c r="F78" s="120" t="s">
        <v>69</v>
      </c>
      <c r="G78" s="361" t="s">
        <v>108</v>
      </c>
      <c r="H78" s="120" t="s">
        <v>69</v>
      </c>
      <c r="I78" s="120" t="s">
        <v>69</v>
      </c>
      <c r="J78" s="120" t="s">
        <v>69</v>
      </c>
      <c r="K78" s="120" t="s">
        <v>69</v>
      </c>
      <c r="L78" s="120" t="s">
        <v>69</v>
      </c>
      <c r="M78" s="120" t="s">
        <v>69</v>
      </c>
      <c r="N78" s="361" t="s">
        <v>108</v>
      </c>
      <c r="O78" s="120" t="s">
        <v>69</v>
      </c>
      <c r="P78" s="120" t="s">
        <v>69</v>
      </c>
      <c r="Q78" s="120" t="s">
        <v>69</v>
      </c>
      <c r="R78" s="120" t="s">
        <v>69</v>
      </c>
      <c r="S78" s="120" t="s">
        <v>69</v>
      </c>
      <c r="T78" s="131" t="s">
        <v>72</v>
      </c>
      <c r="U78" s="361" t="s">
        <v>108</v>
      </c>
      <c r="V78" s="120" t="s">
        <v>69</v>
      </c>
      <c r="W78" s="120" t="s">
        <v>69</v>
      </c>
      <c r="X78" s="120" t="s">
        <v>69</v>
      </c>
      <c r="Y78" s="120" t="s">
        <v>69</v>
      </c>
      <c r="Z78" s="120" t="s">
        <v>69</v>
      </c>
      <c r="AA78" s="120" t="s">
        <v>69</v>
      </c>
      <c r="AB78" s="361" t="s">
        <v>108</v>
      </c>
      <c r="AC78" s="120" t="s">
        <v>69</v>
      </c>
      <c r="AD78" s="120" t="s">
        <v>69</v>
      </c>
      <c r="AE78" s="131" t="s">
        <v>72</v>
      </c>
      <c r="AF78" s="120" t="s">
        <v>69</v>
      </c>
      <c r="AG78" s="120" t="s">
        <v>69</v>
      </c>
      <c r="AH78" s="120" t="s">
        <v>69</v>
      </c>
      <c r="AI78" s="361" t="s">
        <v>108</v>
      </c>
      <c r="AJ78" s="296"/>
      <c r="AK78" s="296"/>
      <c r="AL78" s="296"/>
      <c r="AM78" s="296"/>
      <c r="AN78" s="296"/>
      <c r="AO78" s="296"/>
      <c r="AP78" s="296"/>
      <c r="AQ78" s="296"/>
      <c r="AR78" s="296"/>
      <c r="AS78" s="296"/>
      <c r="AT78" s="296"/>
      <c r="AU78" s="296"/>
    </row>
    <row r="79" spans="1:47" ht="18">
      <c r="A79" s="5">
        <v>78</v>
      </c>
      <c r="B79" s="254" t="s">
        <v>171</v>
      </c>
      <c r="C79" s="7">
        <v>1</v>
      </c>
      <c r="D79" s="7">
        <v>1</v>
      </c>
      <c r="E79" s="7">
        <f t="shared" si="1"/>
        <v>0</v>
      </c>
      <c r="F79" s="120" t="s">
        <v>69</v>
      </c>
      <c r="G79" s="361" t="s">
        <v>108</v>
      </c>
      <c r="H79" s="120" t="s">
        <v>69</v>
      </c>
      <c r="I79" s="120" t="s">
        <v>69</v>
      </c>
      <c r="J79" s="120" t="s">
        <v>69</v>
      </c>
      <c r="K79" s="131" t="s">
        <v>72</v>
      </c>
      <c r="L79" s="120" t="s">
        <v>69</v>
      </c>
      <c r="M79" s="120" t="s">
        <v>69</v>
      </c>
      <c r="N79" s="361" t="s">
        <v>108</v>
      </c>
      <c r="O79" s="120" t="s">
        <v>69</v>
      </c>
      <c r="P79" s="120" t="s">
        <v>69</v>
      </c>
      <c r="Q79" s="120" t="s">
        <v>69</v>
      </c>
      <c r="R79" s="120" t="s">
        <v>69</v>
      </c>
      <c r="S79" s="120" t="s">
        <v>69</v>
      </c>
      <c r="T79" s="120" t="s">
        <v>69</v>
      </c>
      <c r="U79" s="361" t="s">
        <v>108</v>
      </c>
      <c r="V79" s="120" t="s">
        <v>69</v>
      </c>
      <c r="W79" s="120" t="s">
        <v>69</v>
      </c>
      <c r="X79" s="120" t="s">
        <v>69</v>
      </c>
      <c r="Y79" s="120" t="s">
        <v>69</v>
      </c>
      <c r="Z79" s="120" t="s">
        <v>69</v>
      </c>
      <c r="AA79" s="120" t="s">
        <v>69</v>
      </c>
      <c r="AB79" s="361" t="s">
        <v>108</v>
      </c>
      <c r="AC79" s="120" t="s">
        <v>69</v>
      </c>
      <c r="AD79" s="120" t="s">
        <v>69</v>
      </c>
      <c r="AE79" s="120" t="s">
        <v>69</v>
      </c>
      <c r="AF79" s="120" t="s">
        <v>69</v>
      </c>
      <c r="AG79" s="120" t="s">
        <v>69</v>
      </c>
      <c r="AH79" s="120" t="s">
        <v>69</v>
      </c>
      <c r="AI79" s="361" t="s">
        <v>108</v>
      </c>
      <c r="AJ79" s="296"/>
      <c r="AK79" s="296"/>
      <c r="AL79" s="296"/>
      <c r="AM79" s="296"/>
      <c r="AN79" s="296"/>
      <c r="AO79" s="296"/>
      <c r="AP79" s="296"/>
      <c r="AQ79" s="296"/>
      <c r="AR79" s="296"/>
      <c r="AS79" s="296"/>
      <c r="AT79" s="296"/>
      <c r="AU79" s="296"/>
    </row>
    <row r="80" spans="1:47" ht="18">
      <c r="A80" s="5">
        <v>79</v>
      </c>
      <c r="B80" s="386" t="s">
        <v>213</v>
      </c>
      <c r="C80" s="7">
        <v>0</v>
      </c>
      <c r="D80" s="7">
        <v>0</v>
      </c>
      <c r="E80" s="7">
        <f t="shared" si="1"/>
        <v>0</v>
      </c>
      <c r="F80" s="120" t="s">
        <v>69</v>
      </c>
      <c r="G80" s="361" t="s">
        <v>108</v>
      </c>
      <c r="H80" s="120" t="s">
        <v>69</v>
      </c>
      <c r="I80" s="120" t="s">
        <v>69</v>
      </c>
      <c r="J80" s="120" t="s">
        <v>69</v>
      </c>
      <c r="K80" s="120" t="s">
        <v>69</v>
      </c>
      <c r="L80" s="120" t="s">
        <v>69</v>
      </c>
      <c r="M80" s="120" t="s">
        <v>69</v>
      </c>
      <c r="N80" s="361" t="s">
        <v>108</v>
      </c>
      <c r="O80" s="120" t="s">
        <v>69</v>
      </c>
      <c r="P80" s="120" t="s">
        <v>70</v>
      </c>
      <c r="Q80" s="120" t="s">
        <v>69</v>
      </c>
      <c r="R80" s="120" t="s">
        <v>69</v>
      </c>
      <c r="S80" s="120" t="s">
        <v>69</v>
      </c>
      <c r="T80" s="120" t="s">
        <v>69</v>
      </c>
      <c r="U80" s="361" t="s">
        <v>108</v>
      </c>
      <c r="V80" s="120" t="s">
        <v>69</v>
      </c>
      <c r="W80" s="120" t="s">
        <v>69</v>
      </c>
      <c r="X80" s="120" t="s">
        <v>69</v>
      </c>
      <c r="Y80" s="120" t="s">
        <v>69</v>
      </c>
      <c r="Z80" s="120" t="s">
        <v>69</v>
      </c>
      <c r="AA80" s="120" t="s">
        <v>69</v>
      </c>
      <c r="AB80" s="361" t="s">
        <v>108</v>
      </c>
      <c r="AC80" s="120" t="s">
        <v>69</v>
      </c>
      <c r="AD80" s="120" t="s">
        <v>69</v>
      </c>
      <c r="AE80" s="120" t="s">
        <v>69</v>
      </c>
      <c r="AF80" s="120" t="s">
        <v>69</v>
      </c>
      <c r="AG80" s="120" t="s">
        <v>69</v>
      </c>
      <c r="AH80" s="120" t="s">
        <v>69</v>
      </c>
      <c r="AI80" s="361" t="s">
        <v>108</v>
      </c>
      <c r="AJ80" s="296"/>
      <c r="AK80" s="296"/>
      <c r="AL80" s="296"/>
      <c r="AM80" s="296"/>
      <c r="AN80" s="296"/>
      <c r="AO80" s="296"/>
      <c r="AP80" s="296"/>
      <c r="AQ80" s="296"/>
      <c r="AR80" s="296"/>
      <c r="AS80" s="296"/>
      <c r="AT80" s="296"/>
      <c r="AU80" s="296"/>
    </row>
    <row r="81" spans="2:35">
      <c r="E81" s="7">
        <f t="shared" si="1"/>
        <v>0</v>
      </c>
      <c r="G81" s="348" t="s">
        <v>108</v>
      </c>
      <c r="N81" s="348" t="s">
        <v>108</v>
      </c>
      <c r="U81" s="348" t="s">
        <v>108</v>
      </c>
      <c r="AB81" s="348" t="s">
        <v>108</v>
      </c>
      <c r="AI81" s="348" t="s">
        <v>108</v>
      </c>
    </row>
    <row r="84" spans="2:35">
      <c r="B84" s="155" t="s">
        <v>125</v>
      </c>
    </row>
    <row r="85" spans="2:35">
      <c r="B85" s="155" t="s">
        <v>126</v>
      </c>
    </row>
    <row r="86" spans="2:35">
      <c r="B86" s="42" t="s">
        <v>127</v>
      </c>
    </row>
    <row r="87" spans="2:35">
      <c r="B87" s="42" t="s">
        <v>128</v>
      </c>
    </row>
    <row r="88" spans="2:35">
      <c r="B88" s="42" t="s">
        <v>129</v>
      </c>
    </row>
    <row r="89" spans="2:35">
      <c r="B89" s="42" t="s">
        <v>130</v>
      </c>
    </row>
    <row r="90" spans="2:35">
      <c r="B90" s="42" t="s">
        <v>131</v>
      </c>
    </row>
    <row r="91" spans="2:35">
      <c r="B91" s="42" t="s">
        <v>132</v>
      </c>
    </row>
    <row r="92" spans="2:35">
      <c r="B92" t="s">
        <v>206</v>
      </c>
    </row>
  </sheetData>
  <autoFilter ref="A1:AU92" xr:uid="{FC832916-AB15-479E-9B2C-4899DB202470}"/>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6105-2BE2-4F3A-9F01-A65DACAD434B}">
  <dimension ref="A1:AK97"/>
  <sheetViews>
    <sheetView workbookViewId="0">
      <pane ySplit="1" topLeftCell="A72" activePane="bottomLeft" state="frozen"/>
      <selection pane="bottomLeft" activeCell="E21" sqref="E21"/>
    </sheetView>
  </sheetViews>
  <sheetFormatPr defaultRowHeight="14.25"/>
  <cols>
    <col min="2" max="2" width="26.3984375" customWidth="1"/>
    <col min="8" max="8" width="10.86328125" customWidth="1"/>
  </cols>
  <sheetData>
    <row r="1" spans="1:36" ht="18">
      <c r="A1" s="29" t="s">
        <v>64</v>
      </c>
      <c r="B1" s="29" t="s">
        <v>65</v>
      </c>
      <c r="C1" s="336" t="s">
        <v>68</v>
      </c>
      <c r="D1" s="336" t="s">
        <v>66</v>
      </c>
      <c r="E1" s="336" t="s">
        <v>67</v>
      </c>
      <c r="F1" s="165">
        <v>1</v>
      </c>
      <c r="G1" s="165">
        <v>2</v>
      </c>
      <c r="H1" s="165">
        <v>3</v>
      </c>
      <c r="I1" s="165">
        <v>4</v>
      </c>
      <c r="J1" s="165">
        <v>5</v>
      </c>
      <c r="K1" s="165">
        <v>6</v>
      </c>
      <c r="L1" s="165">
        <v>7</v>
      </c>
      <c r="M1" s="122">
        <v>8</v>
      </c>
      <c r="N1" s="165">
        <v>9</v>
      </c>
      <c r="O1" s="165">
        <v>10</v>
      </c>
      <c r="P1" s="165">
        <v>11</v>
      </c>
      <c r="Q1" s="165">
        <v>12</v>
      </c>
      <c r="R1" s="165">
        <v>13</v>
      </c>
      <c r="S1" s="165">
        <v>14</v>
      </c>
      <c r="T1" s="165">
        <v>15</v>
      </c>
      <c r="U1" s="165">
        <v>16</v>
      </c>
      <c r="V1" s="165">
        <v>17</v>
      </c>
      <c r="W1" s="165">
        <v>18</v>
      </c>
      <c r="X1" s="165">
        <v>19</v>
      </c>
      <c r="Y1" s="165">
        <v>20</v>
      </c>
      <c r="Z1" s="165">
        <v>21</v>
      </c>
      <c r="AA1" s="165">
        <v>22</v>
      </c>
      <c r="AB1" s="165">
        <v>23</v>
      </c>
      <c r="AC1" s="165">
        <v>24</v>
      </c>
      <c r="AD1" s="165">
        <v>25</v>
      </c>
      <c r="AE1" s="165">
        <v>26</v>
      </c>
      <c r="AF1" s="165">
        <v>27</v>
      </c>
      <c r="AG1" s="165">
        <v>28</v>
      </c>
      <c r="AH1" s="166">
        <v>29</v>
      </c>
      <c r="AI1" s="360">
        <v>30</v>
      </c>
      <c r="AJ1" s="167">
        <v>31</v>
      </c>
    </row>
    <row r="2" spans="1:36" ht="18">
      <c r="A2" s="5">
        <v>1</v>
      </c>
      <c r="B2" s="254" t="s">
        <v>6</v>
      </c>
      <c r="C2" s="410">
        <v>2</v>
      </c>
      <c r="D2" s="7">
        <v>2</v>
      </c>
      <c r="E2" s="7">
        <f t="shared" ref="E2:E33" si="0">C2-D2</f>
        <v>0</v>
      </c>
      <c r="F2" s="168" t="s">
        <v>69</v>
      </c>
      <c r="G2" s="168" t="s">
        <v>69</v>
      </c>
      <c r="H2" s="168" t="s">
        <v>69</v>
      </c>
      <c r="I2" s="120" t="s">
        <v>69</v>
      </c>
      <c r="J2" s="131" t="s">
        <v>72</v>
      </c>
      <c r="K2" s="120" t="s">
        <v>69</v>
      </c>
      <c r="L2" s="388" t="s">
        <v>108</v>
      </c>
      <c r="M2" s="120" t="s">
        <v>69</v>
      </c>
      <c r="N2" s="120" t="s">
        <v>69</v>
      </c>
      <c r="O2" s="120" t="s">
        <v>69</v>
      </c>
      <c r="P2" s="120" t="s">
        <v>69</v>
      </c>
      <c r="Q2" s="120" t="s">
        <v>69</v>
      </c>
      <c r="R2" s="120" t="s">
        <v>69</v>
      </c>
      <c r="S2" s="388" t="s">
        <v>108</v>
      </c>
      <c r="T2" s="120" t="s">
        <v>69</v>
      </c>
      <c r="U2" s="120" t="s">
        <v>69</v>
      </c>
      <c r="V2" s="120" t="s">
        <v>69</v>
      </c>
      <c r="W2" s="120" t="s">
        <v>69</v>
      </c>
      <c r="X2" s="120" t="s">
        <v>69</v>
      </c>
      <c r="Y2" s="120" t="s">
        <v>69</v>
      </c>
      <c r="Z2" s="388" t="s">
        <v>108</v>
      </c>
      <c r="AA2" s="120" t="s">
        <v>69</v>
      </c>
      <c r="AB2" s="120" t="s">
        <v>69</v>
      </c>
      <c r="AC2" s="120" t="s">
        <v>69</v>
      </c>
      <c r="AD2" s="121" t="s">
        <v>72</v>
      </c>
      <c r="AE2" s="120" t="s">
        <v>69</v>
      </c>
      <c r="AF2" s="120" t="s">
        <v>69</v>
      </c>
      <c r="AG2" s="388" t="s">
        <v>108</v>
      </c>
      <c r="AH2" s="120" t="s">
        <v>69</v>
      </c>
      <c r="AI2" s="120" t="s">
        <v>69</v>
      </c>
      <c r="AJ2" s="120" t="s">
        <v>69</v>
      </c>
    </row>
    <row r="3" spans="1:36" ht="18">
      <c r="A3" s="5">
        <v>2</v>
      </c>
      <c r="B3" s="254" t="s">
        <v>7</v>
      </c>
      <c r="C3" s="410">
        <v>0</v>
      </c>
      <c r="D3" s="7">
        <v>0</v>
      </c>
      <c r="E3" s="7">
        <f t="shared" si="0"/>
        <v>0</v>
      </c>
      <c r="F3" s="120" t="s">
        <v>69</v>
      </c>
      <c r="G3" s="120" t="s">
        <v>69</v>
      </c>
      <c r="H3" s="120" t="s">
        <v>69</v>
      </c>
      <c r="I3" s="120" t="s">
        <v>69</v>
      </c>
      <c r="J3" s="120" t="s">
        <v>69</v>
      </c>
      <c r="K3" s="120" t="s">
        <v>69</v>
      </c>
      <c r="L3" s="388" t="s">
        <v>108</v>
      </c>
      <c r="M3" s="120" t="s">
        <v>69</v>
      </c>
      <c r="N3" s="120" t="s">
        <v>69</v>
      </c>
      <c r="O3" s="120" t="s">
        <v>69</v>
      </c>
      <c r="P3" s="120" t="s">
        <v>69</v>
      </c>
      <c r="Q3" s="120" t="s">
        <v>69</v>
      </c>
      <c r="R3" s="120" t="s">
        <v>69</v>
      </c>
      <c r="S3" s="388" t="s">
        <v>108</v>
      </c>
      <c r="T3" s="120" t="s">
        <v>69</v>
      </c>
      <c r="U3" s="120" t="s">
        <v>69</v>
      </c>
      <c r="V3" s="120" t="s">
        <v>69</v>
      </c>
      <c r="W3" s="120" t="s">
        <v>69</v>
      </c>
      <c r="X3" s="120" t="s">
        <v>69</v>
      </c>
      <c r="Y3" s="120" t="s">
        <v>69</v>
      </c>
      <c r="Z3" s="388" t="s">
        <v>108</v>
      </c>
      <c r="AA3" s="120" t="s">
        <v>69</v>
      </c>
      <c r="AB3" s="120" t="s">
        <v>69</v>
      </c>
      <c r="AC3" s="120" t="s">
        <v>69</v>
      </c>
      <c r="AD3" s="120" t="s">
        <v>69</v>
      </c>
      <c r="AE3" s="120" t="s">
        <v>69</v>
      </c>
      <c r="AF3" s="120" t="s">
        <v>69</v>
      </c>
      <c r="AG3" s="329" t="s">
        <v>108</v>
      </c>
      <c r="AH3" s="120" t="s">
        <v>69</v>
      </c>
      <c r="AI3" s="120" t="s">
        <v>69</v>
      </c>
      <c r="AJ3" s="120" t="s">
        <v>69</v>
      </c>
    </row>
    <row r="4" spans="1:36" ht="18">
      <c r="A4" s="5">
        <v>3</v>
      </c>
      <c r="B4" s="254" t="s">
        <v>8</v>
      </c>
      <c r="C4" s="410">
        <v>1</v>
      </c>
      <c r="D4" s="7">
        <v>1</v>
      </c>
      <c r="E4" s="7">
        <f t="shared" si="0"/>
        <v>0</v>
      </c>
      <c r="F4" s="120" t="s">
        <v>69</v>
      </c>
      <c r="G4" s="120" t="s">
        <v>69</v>
      </c>
      <c r="H4" s="120" t="s">
        <v>69</v>
      </c>
      <c r="I4" s="120" t="s">
        <v>69</v>
      </c>
      <c r="J4" s="120" t="s">
        <v>69</v>
      </c>
      <c r="K4" s="132" t="s">
        <v>178</v>
      </c>
      <c r="L4" s="388" t="s">
        <v>108</v>
      </c>
      <c r="M4" s="120" t="s">
        <v>69</v>
      </c>
      <c r="N4" s="120" t="s">
        <v>69</v>
      </c>
      <c r="O4" s="120" t="s">
        <v>69</v>
      </c>
      <c r="P4" s="120" t="s">
        <v>69</v>
      </c>
      <c r="Q4" s="147" t="s">
        <v>92</v>
      </c>
      <c r="R4" s="121" t="s">
        <v>72</v>
      </c>
      <c r="S4" s="388" t="s">
        <v>108</v>
      </c>
      <c r="T4" s="120" t="s">
        <v>69</v>
      </c>
      <c r="U4" s="120" t="s">
        <v>69</v>
      </c>
      <c r="V4" s="120" t="s">
        <v>69</v>
      </c>
      <c r="W4" s="120" t="s">
        <v>69</v>
      </c>
      <c r="X4" s="120" t="s">
        <v>69</v>
      </c>
      <c r="Y4" s="396" t="s">
        <v>92</v>
      </c>
      <c r="Z4" s="388" t="s">
        <v>108</v>
      </c>
      <c r="AA4" s="120" t="s">
        <v>69</v>
      </c>
      <c r="AB4" s="120" t="s">
        <v>69</v>
      </c>
      <c r="AC4" s="120" t="s">
        <v>69</v>
      </c>
      <c r="AD4" s="120" t="s">
        <v>69</v>
      </c>
      <c r="AE4" s="120" t="s">
        <v>69</v>
      </c>
      <c r="AF4" s="120" t="s">
        <v>69</v>
      </c>
      <c r="AG4" s="388" t="s">
        <v>108</v>
      </c>
      <c r="AH4" s="120" t="s">
        <v>69</v>
      </c>
      <c r="AI4" s="120" t="s">
        <v>69</v>
      </c>
      <c r="AJ4" s="120" t="s">
        <v>69</v>
      </c>
    </row>
    <row r="5" spans="1:36" ht="18">
      <c r="A5" s="5">
        <v>4</v>
      </c>
      <c r="B5" s="254" t="s">
        <v>11</v>
      </c>
      <c r="C5" s="410">
        <v>5</v>
      </c>
      <c r="D5" s="7">
        <v>1.5</v>
      </c>
      <c r="E5" s="7">
        <f t="shared" si="0"/>
        <v>3.5</v>
      </c>
      <c r="F5" s="120" t="s">
        <v>69</v>
      </c>
      <c r="G5" s="120" t="s">
        <v>69</v>
      </c>
      <c r="H5" s="120" t="s">
        <v>69</v>
      </c>
      <c r="I5" s="120" t="s">
        <v>69</v>
      </c>
      <c r="J5" s="120" t="s">
        <v>69</v>
      </c>
      <c r="K5" s="134" t="s">
        <v>178</v>
      </c>
      <c r="L5" s="388" t="s">
        <v>108</v>
      </c>
      <c r="M5" s="120" t="s">
        <v>69</v>
      </c>
      <c r="N5" s="120" t="s">
        <v>69</v>
      </c>
      <c r="O5" s="120" t="s">
        <v>69</v>
      </c>
      <c r="P5" s="120" t="s">
        <v>69</v>
      </c>
      <c r="Q5" s="379" t="s">
        <v>72</v>
      </c>
      <c r="R5" s="382" t="s">
        <v>92</v>
      </c>
      <c r="S5" s="388" t="s">
        <v>108</v>
      </c>
      <c r="T5" s="120" t="s">
        <v>69</v>
      </c>
      <c r="U5" s="389" t="s">
        <v>69</v>
      </c>
      <c r="V5" s="389" t="s">
        <v>69</v>
      </c>
      <c r="W5" s="389" t="s">
        <v>69</v>
      </c>
      <c r="X5" s="382" t="s">
        <v>92</v>
      </c>
      <c r="Y5" s="378" t="s">
        <v>69</v>
      </c>
      <c r="Z5" s="388" t="s">
        <v>108</v>
      </c>
      <c r="AA5" s="120" t="s">
        <v>69</v>
      </c>
      <c r="AB5" s="120" t="s">
        <v>69</v>
      </c>
      <c r="AC5" s="379" t="s">
        <v>72</v>
      </c>
      <c r="AD5" s="379" t="s">
        <v>72</v>
      </c>
      <c r="AE5" s="379" t="s">
        <v>72</v>
      </c>
      <c r="AF5" s="379" t="s">
        <v>72</v>
      </c>
      <c r="AG5" s="329" t="s">
        <v>108</v>
      </c>
      <c r="AH5" s="120" t="s">
        <v>69</v>
      </c>
      <c r="AI5" s="120" t="s">
        <v>69</v>
      </c>
      <c r="AJ5" s="120" t="s">
        <v>69</v>
      </c>
    </row>
    <row r="6" spans="1:36" ht="18">
      <c r="A6" s="5">
        <v>5</v>
      </c>
      <c r="B6" s="254" t="s">
        <v>193</v>
      </c>
      <c r="C6" s="410">
        <v>1</v>
      </c>
      <c r="D6" s="7">
        <v>1</v>
      </c>
      <c r="E6" s="7">
        <f t="shared" si="0"/>
        <v>0</v>
      </c>
      <c r="F6" s="120" t="s">
        <v>69</v>
      </c>
      <c r="G6" s="120" t="s">
        <v>69</v>
      </c>
      <c r="H6" s="120" t="s">
        <v>69</v>
      </c>
      <c r="I6" s="120" t="s">
        <v>69</v>
      </c>
      <c r="J6" s="120" t="s">
        <v>69</v>
      </c>
      <c r="K6" s="672" t="s">
        <v>178</v>
      </c>
      <c r="L6" s="388" t="s">
        <v>108</v>
      </c>
      <c r="M6" s="120" t="s">
        <v>69</v>
      </c>
      <c r="N6" s="120" t="s">
        <v>69</v>
      </c>
      <c r="O6" s="120" t="s">
        <v>69</v>
      </c>
      <c r="P6" s="382" t="s">
        <v>92</v>
      </c>
      <c r="Q6" s="379" t="s">
        <v>72</v>
      </c>
      <c r="R6" s="382" t="s">
        <v>92</v>
      </c>
      <c r="S6" s="388" t="s">
        <v>108</v>
      </c>
      <c r="T6" s="378" t="s">
        <v>69</v>
      </c>
      <c r="U6" s="378" t="s">
        <v>69</v>
      </c>
      <c r="V6" s="378" t="s">
        <v>69</v>
      </c>
      <c r="W6" s="378" t="s">
        <v>69</v>
      </c>
      <c r="X6" s="378" t="s">
        <v>69</v>
      </c>
      <c r="Y6" s="378" t="s">
        <v>69</v>
      </c>
      <c r="Z6" s="388" t="s">
        <v>108</v>
      </c>
      <c r="AA6" s="120" t="s">
        <v>69</v>
      </c>
      <c r="AB6" s="120" t="s">
        <v>69</v>
      </c>
      <c r="AC6" s="120" t="s">
        <v>69</v>
      </c>
      <c r="AD6" s="120" t="s">
        <v>69</v>
      </c>
      <c r="AE6" s="120" t="s">
        <v>69</v>
      </c>
      <c r="AF6" s="378" t="s">
        <v>69</v>
      </c>
      <c r="AG6" s="388" t="s">
        <v>108</v>
      </c>
      <c r="AH6" s="120" t="s">
        <v>69</v>
      </c>
      <c r="AI6" s="120" t="s">
        <v>69</v>
      </c>
      <c r="AJ6" s="120" t="s">
        <v>69</v>
      </c>
    </row>
    <row r="7" spans="1:36" ht="18">
      <c r="A7" s="5">
        <v>6</v>
      </c>
      <c r="B7" s="254" t="s">
        <v>137</v>
      </c>
      <c r="C7" s="410">
        <v>2</v>
      </c>
      <c r="D7" s="7">
        <v>2</v>
      </c>
      <c r="E7" s="7">
        <f t="shared" si="0"/>
        <v>0</v>
      </c>
      <c r="F7" s="120" t="s">
        <v>69</v>
      </c>
      <c r="G7" s="120" t="s">
        <v>69</v>
      </c>
      <c r="H7" s="120" t="s">
        <v>69</v>
      </c>
      <c r="I7" s="120" t="s">
        <v>69</v>
      </c>
      <c r="J7" s="120" t="s">
        <v>69</v>
      </c>
      <c r="K7" s="132" t="s">
        <v>178</v>
      </c>
      <c r="L7" s="388" t="s">
        <v>108</v>
      </c>
      <c r="M7" s="120" t="s">
        <v>69</v>
      </c>
      <c r="N7" s="120" t="s">
        <v>69</v>
      </c>
      <c r="O7" s="120" t="s">
        <v>69</v>
      </c>
      <c r="P7" s="120" t="s">
        <v>69</v>
      </c>
      <c r="Q7" s="120" t="s">
        <v>69</v>
      </c>
      <c r="R7" s="120" t="s">
        <v>69</v>
      </c>
      <c r="S7" s="388" t="s">
        <v>108</v>
      </c>
      <c r="T7" s="378" t="s">
        <v>69</v>
      </c>
      <c r="U7" s="378" t="s">
        <v>69</v>
      </c>
      <c r="V7" s="378" t="s">
        <v>69</v>
      </c>
      <c r="W7" s="378" t="s">
        <v>69</v>
      </c>
      <c r="X7" s="378" t="s">
        <v>69</v>
      </c>
      <c r="Y7" s="378" t="s">
        <v>69</v>
      </c>
      <c r="Z7" s="388" t="s">
        <v>108</v>
      </c>
      <c r="AA7" s="120" t="s">
        <v>69</v>
      </c>
      <c r="AB7" s="120" t="s">
        <v>69</v>
      </c>
      <c r="AC7" s="379" t="s">
        <v>72</v>
      </c>
      <c r="AD7" s="379" t="s">
        <v>72</v>
      </c>
      <c r="AE7" s="120" t="s">
        <v>69</v>
      </c>
      <c r="AF7" s="378" t="s">
        <v>69</v>
      </c>
      <c r="AG7" s="329" t="s">
        <v>108</v>
      </c>
      <c r="AH7" s="378" t="s">
        <v>69</v>
      </c>
      <c r="AI7" s="378" t="s">
        <v>69</v>
      </c>
      <c r="AJ7" s="378" t="s">
        <v>69</v>
      </c>
    </row>
    <row r="8" spans="1:36" ht="18">
      <c r="A8" s="5">
        <v>7</v>
      </c>
      <c r="B8" s="254" t="s">
        <v>95</v>
      </c>
      <c r="C8" s="410">
        <v>1</v>
      </c>
      <c r="D8" s="7">
        <v>1</v>
      </c>
      <c r="E8" s="7">
        <f t="shared" si="0"/>
        <v>0</v>
      </c>
      <c r="F8" s="120" t="s">
        <v>69</v>
      </c>
      <c r="G8" s="120" t="s">
        <v>69</v>
      </c>
      <c r="H8" s="120" t="s">
        <v>69</v>
      </c>
      <c r="I8" s="120" t="s">
        <v>69</v>
      </c>
      <c r="J8" s="120" t="s">
        <v>69</v>
      </c>
      <c r="K8" s="131" t="s">
        <v>72</v>
      </c>
      <c r="L8" s="388" t="s">
        <v>108</v>
      </c>
      <c r="M8" s="120" t="s">
        <v>69</v>
      </c>
      <c r="N8" s="120" t="s">
        <v>69</v>
      </c>
      <c r="O8" s="147" t="s">
        <v>92</v>
      </c>
      <c r="P8" s="120" t="s">
        <v>69</v>
      </c>
      <c r="Q8" s="120" t="s">
        <v>69</v>
      </c>
      <c r="R8" s="120" t="s">
        <v>69</v>
      </c>
      <c r="S8" s="388" t="s">
        <v>108</v>
      </c>
      <c r="T8" s="378" t="s">
        <v>69</v>
      </c>
      <c r="U8" s="378" t="s">
        <v>69</v>
      </c>
      <c r="V8" s="378" t="s">
        <v>69</v>
      </c>
      <c r="W8" s="378" t="s">
        <v>69</v>
      </c>
      <c r="X8" s="378" t="s">
        <v>69</v>
      </c>
      <c r="Y8" s="378" t="s">
        <v>69</v>
      </c>
      <c r="Z8" s="388" t="s">
        <v>108</v>
      </c>
      <c r="AA8" s="120" t="s">
        <v>69</v>
      </c>
      <c r="AB8" s="120" t="s">
        <v>69</v>
      </c>
      <c r="AC8" s="120" t="s">
        <v>69</v>
      </c>
      <c r="AD8" s="400" t="s">
        <v>175</v>
      </c>
      <c r="AE8" s="120" t="s">
        <v>69</v>
      </c>
      <c r="AF8" s="378" t="s">
        <v>69</v>
      </c>
      <c r="AG8" s="388" t="s">
        <v>108</v>
      </c>
      <c r="AH8" s="378" t="s">
        <v>69</v>
      </c>
      <c r="AI8" s="378" t="s">
        <v>69</v>
      </c>
      <c r="AJ8" s="378" t="s">
        <v>69</v>
      </c>
    </row>
    <row r="9" spans="1:36" ht="18">
      <c r="A9" s="5">
        <v>8</v>
      </c>
      <c r="B9" s="254" t="s">
        <v>237</v>
      </c>
      <c r="C9" s="410">
        <v>6</v>
      </c>
      <c r="D9" s="7">
        <v>0</v>
      </c>
      <c r="E9" s="7">
        <f t="shared" si="0"/>
        <v>6</v>
      </c>
      <c r="F9" s="131" t="s">
        <v>72</v>
      </c>
      <c r="G9" s="131" t="s">
        <v>72</v>
      </c>
      <c r="H9" s="120" t="s">
        <v>69</v>
      </c>
      <c r="I9" s="120" t="s">
        <v>69</v>
      </c>
      <c r="J9" s="120" t="s">
        <v>69</v>
      </c>
      <c r="K9" s="120" t="s">
        <v>69</v>
      </c>
      <c r="L9" s="388" t="s">
        <v>108</v>
      </c>
      <c r="M9" s="120" t="s">
        <v>69</v>
      </c>
      <c r="N9" s="120" t="s">
        <v>69</v>
      </c>
      <c r="O9" s="120" t="s">
        <v>69</v>
      </c>
      <c r="P9" s="379" t="s">
        <v>72</v>
      </c>
      <c r="Q9" s="120" t="s">
        <v>69</v>
      </c>
      <c r="R9" s="120" t="s">
        <v>69</v>
      </c>
      <c r="S9" s="388" t="s">
        <v>108</v>
      </c>
      <c r="T9" s="378" t="s">
        <v>69</v>
      </c>
      <c r="U9" s="378" t="s">
        <v>69</v>
      </c>
      <c r="V9" s="378" t="s">
        <v>69</v>
      </c>
      <c r="W9" s="378" t="s">
        <v>69</v>
      </c>
      <c r="X9" s="379" t="s">
        <v>72</v>
      </c>
      <c r="Y9" s="379" t="s">
        <v>72</v>
      </c>
      <c r="Z9" s="388" t="s">
        <v>108</v>
      </c>
      <c r="AA9" s="379" t="s">
        <v>72</v>
      </c>
      <c r="AB9" s="120" t="s">
        <v>69</v>
      </c>
      <c r="AC9" s="120" t="s">
        <v>69</v>
      </c>
      <c r="AD9" s="120" t="s">
        <v>69</v>
      </c>
      <c r="AE9" s="120" t="s">
        <v>69</v>
      </c>
      <c r="AF9" s="378" t="s">
        <v>69</v>
      </c>
      <c r="AG9" s="329" t="s">
        <v>108</v>
      </c>
      <c r="AH9" s="378" t="s">
        <v>69</v>
      </c>
      <c r="AI9" s="378" t="s">
        <v>69</v>
      </c>
      <c r="AJ9" s="378" t="s">
        <v>69</v>
      </c>
    </row>
    <row r="10" spans="1:36" ht="18">
      <c r="A10" s="5">
        <v>9</v>
      </c>
      <c r="B10" s="254" t="s">
        <v>13</v>
      </c>
      <c r="C10" s="410">
        <v>0</v>
      </c>
      <c r="D10" s="7">
        <v>0</v>
      </c>
      <c r="E10" s="7">
        <f t="shared" si="0"/>
        <v>0</v>
      </c>
      <c r="F10" s="120" t="s">
        <v>69</v>
      </c>
      <c r="G10" s="120" t="s">
        <v>69</v>
      </c>
      <c r="H10" s="120" t="s">
        <v>69</v>
      </c>
      <c r="I10" s="120" t="s">
        <v>69</v>
      </c>
      <c r="J10" s="120" t="s">
        <v>69</v>
      </c>
      <c r="K10" s="120" t="s">
        <v>69</v>
      </c>
      <c r="L10" s="388" t="s">
        <v>108</v>
      </c>
      <c r="M10" s="120" t="s">
        <v>69</v>
      </c>
      <c r="N10" s="120" t="s">
        <v>69</v>
      </c>
      <c r="O10" s="120" t="s">
        <v>69</v>
      </c>
      <c r="P10" s="120" t="s">
        <v>69</v>
      </c>
      <c r="Q10" s="120" t="s">
        <v>69</v>
      </c>
      <c r="R10" s="120" t="s">
        <v>69</v>
      </c>
      <c r="S10" s="388" t="s">
        <v>108</v>
      </c>
      <c r="T10" s="378" t="s">
        <v>69</v>
      </c>
      <c r="U10" s="361" t="s">
        <v>92</v>
      </c>
      <c r="V10" s="378" t="s">
        <v>69</v>
      </c>
      <c r="W10" s="378" t="s">
        <v>69</v>
      </c>
      <c r="X10" s="378" t="s">
        <v>69</v>
      </c>
      <c r="Y10" s="378" t="s">
        <v>69</v>
      </c>
      <c r="Z10" s="388" t="s">
        <v>108</v>
      </c>
      <c r="AA10" s="378" t="s">
        <v>69</v>
      </c>
      <c r="AB10" s="378" t="s">
        <v>69</v>
      </c>
      <c r="AC10" s="378" t="s">
        <v>69</v>
      </c>
      <c r="AD10" s="378" t="s">
        <v>69</v>
      </c>
      <c r="AE10" s="120" t="s">
        <v>69</v>
      </c>
      <c r="AF10" s="378" t="s">
        <v>69</v>
      </c>
      <c r="AG10" s="388" t="s">
        <v>108</v>
      </c>
      <c r="AH10" s="378" t="s">
        <v>69</v>
      </c>
      <c r="AI10" s="378" t="s">
        <v>69</v>
      </c>
      <c r="AJ10" s="378" t="s">
        <v>69</v>
      </c>
    </row>
    <row r="11" spans="1:36" ht="18">
      <c r="A11" s="5">
        <v>10</v>
      </c>
      <c r="B11" s="254" t="s">
        <v>194</v>
      </c>
      <c r="C11" s="410">
        <v>3</v>
      </c>
      <c r="D11" s="7">
        <v>2.5</v>
      </c>
      <c r="E11" s="7">
        <f t="shared" si="0"/>
        <v>0.5</v>
      </c>
      <c r="F11" s="120" t="s">
        <v>69</v>
      </c>
      <c r="G11" s="120" t="s">
        <v>69</v>
      </c>
      <c r="H11" s="120" t="s">
        <v>69</v>
      </c>
      <c r="I11" s="131" t="s">
        <v>72</v>
      </c>
      <c r="J11" s="131" t="s">
        <v>72</v>
      </c>
      <c r="K11" s="120" t="s">
        <v>69</v>
      </c>
      <c r="L11" s="388" t="s">
        <v>108</v>
      </c>
      <c r="M11" s="120" t="s">
        <v>69</v>
      </c>
      <c r="N11" s="120" t="s">
        <v>69</v>
      </c>
      <c r="O11" s="120" t="s">
        <v>69</v>
      </c>
      <c r="P11" s="120" t="s">
        <v>69</v>
      </c>
      <c r="Q11" s="120" t="s">
        <v>69</v>
      </c>
      <c r="R11" s="120" t="s">
        <v>69</v>
      </c>
      <c r="S11" s="388" t="s">
        <v>108</v>
      </c>
      <c r="T11" s="378" t="s">
        <v>69</v>
      </c>
      <c r="U11" s="378" t="s">
        <v>69</v>
      </c>
      <c r="V11" s="378" t="s">
        <v>69</v>
      </c>
      <c r="W11" s="378" t="s">
        <v>69</v>
      </c>
      <c r="X11" s="379" t="s">
        <v>72</v>
      </c>
      <c r="Y11" s="378" t="s">
        <v>69</v>
      </c>
      <c r="Z11" s="388" t="s">
        <v>108</v>
      </c>
      <c r="AA11" s="378" t="s">
        <v>69</v>
      </c>
      <c r="AB11" s="378" t="s">
        <v>69</v>
      </c>
      <c r="AC11" s="391" t="s">
        <v>92</v>
      </c>
      <c r="AD11" s="378" t="s">
        <v>69</v>
      </c>
      <c r="AE11" s="378" t="s">
        <v>69</v>
      </c>
      <c r="AF11" s="378" t="s">
        <v>69</v>
      </c>
      <c r="AG11" s="329" t="s">
        <v>108</v>
      </c>
      <c r="AH11" s="378" t="s">
        <v>69</v>
      </c>
      <c r="AI11" s="378" t="s">
        <v>69</v>
      </c>
      <c r="AJ11" s="378" t="s">
        <v>69</v>
      </c>
    </row>
    <row r="12" spans="1:36" ht="18">
      <c r="A12" s="5">
        <v>11</v>
      </c>
      <c r="B12" s="254" t="s">
        <v>177</v>
      </c>
      <c r="C12" s="410">
        <v>0</v>
      </c>
      <c r="D12" s="7">
        <v>0</v>
      </c>
      <c r="E12" s="7">
        <f t="shared" si="0"/>
        <v>0</v>
      </c>
      <c r="F12" s="120" t="s">
        <v>69</v>
      </c>
      <c r="G12" s="120" t="s">
        <v>69</v>
      </c>
      <c r="H12" s="120" t="s">
        <v>69</v>
      </c>
      <c r="I12" s="120" t="s">
        <v>69</v>
      </c>
      <c r="J12" s="120" t="s">
        <v>69</v>
      </c>
      <c r="K12" s="120" t="s">
        <v>69</v>
      </c>
      <c r="L12" s="388" t="s">
        <v>108</v>
      </c>
      <c r="M12" s="147" t="s">
        <v>92</v>
      </c>
      <c r="N12" s="120" t="s">
        <v>69</v>
      </c>
      <c r="O12" s="120" t="s">
        <v>69</v>
      </c>
      <c r="P12" s="120" t="s">
        <v>69</v>
      </c>
      <c r="Q12" s="120" t="s">
        <v>69</v>
      </c>
      <c r="R12" s="120" t="s">
        <v>69</v>
      </c>
      <c r="S12" s="388" t="s">
        <v>108</v>
      </c>
      <c r="T12" s="378" t="s">
        <v>69</v>
      </c>
      <c r="U12" s="378" t="s">
        <v>69</v>
      </c>
      <c r="V12" s="378" t="s">
        <v>69</v>
      </c>
      <c r="W12" s="378" t="s">
        <v>69</v>
      </c>
      <c r="X12" s="378" t="s">
        <v>69</v>
      </c>
      <c r="Y12" s="378" t="s">
        <v>69</v>
      </c>
      <c r="Z12" s="388" t="s">
        <v>108</v>
      </c>
      <c r="AA12" s="378" t="s">
        <v>69</v>
      </c>
      <c r="AB12" s="378" t="s">
        <v>69</v>
      </c>
      <c r="AC12" s="378" t="s">
        <v>69</v>
      </c>
      <c r="AD12" s="378" t="s">
        <v>69</v>
      </c>
      <c r="AE12" s="378" t="s">
        <v>69</v>
      </c>
      <c r="AF12" s="378" t="s">
        <v>69</v>
      </c>
      <c r="AG12" s="388" t="s">
        <v>108</v>
      </c>
      <c r="AH12" s="378" t="s">
        <v>69</v>
      </c>
      <c r="AI12" s="378" t="s">
        <v>69</v>
      </c>
      <c r="AJ12" s="378" t="s">
        <v>69</v>
      </c>
    </row>
    <row r="13" spans="1:36" ht="18">
      <c r="A13" s="5">
        <v>12</v>
      </c>
      <c r="B13" s="254" t="s">
        <v>154</v>
      </c>
      <c r="C13" s="410">
        <v>1</v>
      </c>
      <c r="D13" s="7">
        <v>1</v>
      </c>
      <c r="E13" s="7">
        <f t="shared" si="0"/>
        <v>0</v>
      </c>
      <c r="F13" s="120" t="s">
        <v>69</v>
      </c>
      <c r="G13" s="120" t="s">
        <v>69</v>
      </c>
      <c r="H13" s="120" t="s">
        <v>69</v>
      </c>
      <c r="I13" s="120" t="s">
        <v>69</v>
      </c>
      <c r="J13" s="120" t="s">
        <v>69</v>
      </c>
      <c r="K13" s="132" t="s">
        <v>178</v>
      </c>
      <c r="L13" s="388" t="s">
        <v>108</v>
      </c>
      <c r="M13" s="120" t="s">
        <v>69</v>
      </c>
      <c r="N13" s="120" t="s">
        <v>69</v>
      </c>
      <c r="O13" s="132" t="s">
        <v>73</v>
      </c>
      <c r="P13" s="120" t="s">
        <v>69</v>
      </c>
      <c r="Q13" s="120" t="s">
        <v>69</v>
      </c>
      <c r="R13" s="120" t="s">
        <v>69</v>
      </c>
      <c r="S13" s="388" t="s">
        <v>108</v>
      </c>
      <c r="T13" s="389" t="s">
        <v>69</v>
      </c>
      <c r="U13" s="389" t="s">
        <v>69</v>
      </c>
      <c r="V13" s="389" t="s">
        <v>69</v>
      </c>
      <c r="W13" s="389" t="s">
        <v>69</v>
      </c>
      <c r="X13" s="389" t="s">
        <v>69</v>
      </c>
      <c r="Y13" s="389" t="s">
        <v>69</v>
      </c>
      <c r="Z13" s="388" t="s">
        <v>108</v>
      </c>
      <c r="AA13" s="378" t="s">
        <v>69</v>
      </c>
      <c r="AB13" s="378" t="s">
        <v>69</v>
      </c>
      <c r="AC13" s="378" t="s">
        <v>69</v>
      </c>
      <c r="AD13" s="399" t="s">
        <v>94</v>
      </c>
      <c r="AE13" s="378" t="s">
        <v>69</v>
      </c>
      <c r="AF13" s="378" t="s">
        <v>69</v>
      </c>
      <c r="AG13" s="329" t="s">
        <v>108</v>
      </c>
      <c r="AH13" s="378" t="s">
        <v>69</v>
      </c>
      <c r="AI13" s="378" t="s">
        <v>69</v>
      </c>
      <c r="AJ13" s="378" t="s">
        <v>69</v>
      </c>
    </row>
    <row r="14" spans="1:36" ht="18">
      <c r="A14" s="5">
        <v>13</v>
      </c>
      <c r="B14" s="254" t="s">
        <v>16</v>
      </c>
      <c r="C14" s="410">
        <v>6</v>
      </c>
      <c r="D14" s="7">
        <v>3</v>
      </c>
      <c r="E14" s="7">
        <f t="shared" si="0"/>
        <v>3</v>
      </c>
      <c r="F14" s="120" t="s">
        <v>69</v>
      </c>
      <c r="G14" s="361" t="s">
        <v>92</v>
      </c>
      <c r="H14" s="120" t="s">
        <v>69</v>
      </c>
      <c r="I14" s="131" t="s">
        <v>72</v>
      </c>
      <c r="J14" s="131" t="s">
        <v>72</v>
      </c>
      <c r="K14" s="120" t="s">
        <v>69</v>
      </c>
      <c r="L14" s="388" t="s">
        <v>108</v>
      </c>
      <c r="M14" s="120" t="s">
        <v>69</v>
      </c>
      <c r="N14" s="120" t="s">
        <v>69</v>
      </c>
      <c r="O14" s="120" t="s">
        <v>69</v>
      </c>
      <c r="P14" s="120" t="s">
        <v>69</v>
      </c>
      <c r="Q14" s="379" t="s">
        <v>72</v>
      </c>
      <c r="R14" s="379" t="s">
        <v>72</v>
      </c>
      <c r="S14" s="388" t="s">
        <v>108</v>
      </c>
      <c r="T14" s="389" t="s">
        <v>69</v>
      </c>
      <c r="U14" s="389" t="s">
        <v>69</v>
      </c>
      <c r="V14" s="389" t="s">
        <v>69</v>
      </c>
      <c r="W14" s="389" t="s">
        <v>69</v>
      </c>
      <c r="X14" s="389" t="s">
        <v>69</v>
      </c>
      <c r="Y14" s="379" t="s">
        <v>72</v>
      </c>
      <c r="Z14" s="388" t="s">
        <v>108</v>
      </c>
      <c r="AA14" s="378" t="s">
        <v>69</v>
      </c>
      <c r="AB14" s="378" t="s">
        <v>69</v>
      </c>
      <c r="AC14" s="378" t="s">
        <v>69</v>
      </c>
      <c r="AD14" s="379" t="s">
        <v>72</v>
      </c>
      <c r="AE14" s="378" t="s">
        <v>69</v>
      </c>
      <c r="AF14" s="378" t="s">
        <v>69</v>
      </c>
      <c r="AG14" s="388" t="s">
        <v>108</v>
      </c>
      <c r="AH14" s="378" t="s">
        <v>69</v>
      </c>
      <c r="AI14" s="378" t="s">
        <v>69</v>
      </c>
      <c r="AJ14" s="378" t="s">
        <v>69</v>
      </c>
    </row>
    <row r="15" spans="1:36" ht="18">
      <c r="A15" s="5">
        <v>14</v>
      </c>
      <c r="B15" s="254" t="s">
        <v>17</v>
      </c>
      <c r="C15" s="410">
        <v>1</v>
      </c>
      <c r="D15" s="7">
        <v>1</v>
      </c>
      <c r="E15" s="7">
        <f t="shared" si="0"/>
        <v>0</v>
      </c>
      <c r="F15" s="120" t="s">
        <v>69</v>
      </c>
      <c r="G15" s="361" t="s">
        <v>92</v>
      </c>
      <c r="H15" s="120" t="s">
        <v>69</v>
      </c>
      <c r="I15" s="120" t="s">
        <v>69</v>
      </c>
      <c r="J15" s="120" t="s">
        <v>69</v>
      </c>
      <c r="K15" s="121" t="s">
        <v>121</v>
      </c>
      <c r="L15" s="388" t="s">
        <v>108</v>
      </c>
      <c r="M15" s="120" t="s">
        <v>69</v>
      </c>
      <c r="N15" s="120" t="s">
        <v>69</v>
      </c>
      <c r="O15" s="120" t="s">
        <v>69</v>
      </c>
      <c r="P15" s="120" t="s">
        <v>69</v>
      </c>
      <c r="Q15" s="120" t="s">
        <v>69</v>
      </c>
      <c r="R15" s="120" t="s">
        <v>69</v>
      </c>
      <c r="S15" s="388" t="s">
        <v>108</v>
      </c>
      <c r="T15" s="378" t="s">
        <v>69</v>
      </c>
      <c r="U15" s="378" t="s">
        <v>69</v>
      </c>
      <c r="V15" s="378" t="s">
        <v>69</v>
      </c>
      <c r="W15" s="378" t="s">
        <v>69</v>
      </c>
      <c r="X15" s="378" t="s">
        <v>69</v>
      </c>
      <c r="Y15" s="378" t="s">
        <v>69</v>
      </c>
      <c r="Z15" s="388" t="s">
        <v>108</v>
      </c>
      <c r="AA15" s="378" t="s">
        <v>69</v>
      </c>
      <c r="AB15" s="378" t="s">
        <v>69</v>
      </c>
      <c r="AC15" s="379" t="s">
        <v>72</v>
      </c>
      <c r="AD15" s="397" t="s">
        <v>175</v>
      </c>
      <c r="AE15" s="378" t="s">
        <v>69</v>
      </c>
      <c r="AF15" s="378" t="s">
        <v>69</v>
      </c>
      <c r="AG15" s="329" t="s">
        <v>108</v>
      </c>
      <c r="AH15" s="378" t="s">
        <v>69</v>
      </c>
      <c r="AI15" s="378" t="s">
        <v>69</v>
      </c>
      <c r="AJ15" s="378" t="s">
        <v>69</v>
      </c>
    </row>
    <row r="16" spans="1:36" ht="18">
      <c r="A16" s="5">
        <v>15</v>
      </c>
      <c r="B16" s="254" t="s">
        <v>219</v>
      </c>
      <c r="C16" s="410">
        <v>2</v>
      </c>
      <c r="D16" s="7">
        <v>1</v>
      </c>
      <c r="E16" s="7">
        <f t="shared" si="0"/>
        <v>1</v>
      </c>
      <c r="F16" s="120" t="s">
        <v>69</v>
      </c>
      <c r="G16" s="378" t="s">
        <v>69</v>
      </c>
      <c r="H16" s="378" t="s">
        <v>69</v>
      </c>
      <c r="I16" s="120" t="s">
        <v>69</v>
      </c>
      <c r="J16" s="120" t="s">
        <v>69</v>
      </c>
      <c r="K16" s="120" t="s">
        <v>69</v>
      </c>
      <c r="L16" s="388" t="s">
        <v>108</v>
      </c>
      <c r="M16" s="131" t="s">
        <v>72</v>
      </c>
      <c r="N16" s="131" t="s">
        <v>72</v>
      </c>
      <c r="O16" s="120" t="s">
        <v>69</v>
      </c>
      <c r="P16" s="120" t="s">
        <v>69</v>
      </c>
      <c r="Q16" s="120" t="s">
        <v>69</v>
      </c>
      <c r="R16" s="120" t="s">
        <v>69</v>
      </c>
      <c r="S16" s="388" t="s">
        <v>108</v>
      </c>
      <c r="T16" s="378" t="s">
        <v>69</v>
      </c>
      <c r="U16" s="378" t="s">
        <v>69</v>
      </c>
      <c r="V16" s="378" t="s">
        <v>69</v>
      </c>
      <c r="W16" s="378" t="s">
        <v>69</v>
      </c>
      <c r="X16" s="378" t="s">
        <v>69</v>
      </c>
      <c r="Y16" s="378" t="s">
        <v>69</v>
      </c>
      <c r="Z16" s="388" t="s">
        <v>108</v>
      </c>
      <c r="AA16" s="378" t="s">
        <v>69</v>
      </c>
      <c r="AB16" s="378" t="s">
        <v>69</v>
      </c>
      <c r="AC16" s="378" t="s">
        <v>69</v>
      </c>
      <c r="AD16" s="378" t="s">
        <v>69</v>
      </c>
      <c r="AE16" s="378" t="s">
        <v>69</v>
      </c>
      <c r="AF16" s="378" t="s">
        <v>69</v>
      </c>
      <c r="AG16" s="388" t="s">
        <v>108</v>
      </c>
      <c r="AH16" s="378" t="s">
        <v>69</v>
      </c>
      <c r="AI16" s="378" t="s">
        <v>69</v>
      </c>
      <c r="AJ16" s="378" t="s">
        <v>69</v>
      </c>
    </row>
    <row r="17" spans="1:36" ht="18">
      <c r="A17" s="5">
        <v>16</v>
      </c>
      <c r="B17" s="186" t="s">
        <v>155</v>
      </c>
      <c r="C17" s="410">
        <v>1</v>
      </c>
      <c r="D17" s="7">
        <v>1</v>
      </c>
      <c r="E17" s="7">
        <f t="shared" si="0"/>
        <v>0</v>
      </c>
      <c r="F17" s="120" t="s">
        <v>69</v>
      </c>
      <c r="G17" s="120" t="s">
        <v>69</v>
      </c>
      <c r="H17" s="120" t="s">
        <v>69</v>
      </c>
      <c r="I17" s="120" t="s">
        <v>69</v>
      </c>
      <c r="J17" s="120" t="s">
        <v>69</v>
      </c>
      <c r="K17" s="130" t="s">
        <v>92</v>
      </c>
      <c r="L17" s="388" t="s">
        <v>108</v>
      </c>
      <c r="M17" s="120" t="s">
        <v>69</v>
      </c>
      <c r="N17" s="120" t="s">
        <v>69</v>
      </c>
      <c r="O17" s="120" t="s">
        <v>69</v>
      </c>
      <c r="P17" s="120" t="s">
        <v>69</v>
      </c>
      <c r="Q17" s="120" t="s">
        <v>69</v>
      </c>
      <c r="R17" s="120" t="s">
        <v>69</v>
      </c>
      <c r="S17" s="388" t="s">
        <v>108</v>
      </c>
      <c r="T17" s="389" t="s">
        <v>69</v>
      </c>
      <c r="U17" s="389" t="s">
        <v>69</v>
      </c>
      <c r="V17" s="389" t="s">
        <v>69</v>
      </c>
      <c r="W17" s="389" t="s">
        <v>69</v>
      </c>
      <c r="X17" s="389" t="s">
        <v>69</v>
      </c>
      <c r="Y17" s="389" t="s">
        <v>69</v>
      </c>
      <c r="Z17" s="388" t="s">
        <v>108</v>
      </c>
      <c r="AA17" s="378" t="s">
        <v>69</v>
      </c>
      <c r="AB17" s="378" t="s">
        <v>69</v>
      </c>
      <c r="AC17" s="379" t="s">
        <v>72</v>
      </c>
      <c r="AD17" s="397" t="s">
        <v>175</v>
      </c>
      <c r="AE17" s="378" t="s">
        <v>69</v>
      </c>
      <c r="AF17" s="378" t="s">
        <v>69</v>
      </c>
      <c r="AG17" s="329" t="s">
        <v>108</v>
      </c>
      <c r="AH17" s="378" t="s">
        <v>69</v>
      </c>
      <c r="AI17" s="362" t="s">
        <v>92</v>
      </c>
      <c r="AJ17" s="120" t="s">
        <v>69</v>
      </c>
    </row>
    <row r="18" spans="1:36" ht="18">
      <c r="A18" s="5">
        <v>17</v>
      </c>
      <c r="B18" s="186" t="s">
        <v>238</v>
      </c>
      <c r="C18" s="410">
        <v>2</v>
      </c>
      <c r="D18" s="7">
        <v>0</v>
      </c>
      <c r="E18" s="7">
        <f t="shared" si="0"/>
        <v>2</v>
      </c>
      <c r="F18" s="121" t="s">
        <v>72</v>
      </c>
      <c r="G18" s="121" t="s">
        <v>72</v>
      </c>
      <c r="H18" s="120" t="s">
        <v>69</v>
      </c>
      <c r="I18" s="120" t="s">
        <v>69</v>
      </c>
      <c r="J18" s="120" t="s">
        <v>69</v>
      </c>
      <c r="K18" s="120" t="s">
        <v>69</v>
      </c>
      <c r="L18" s="388" t="s">
        <v>108</v>
      </c>
      <c r="M18" s="120" t="s">
        <v>69</v>
      </c>
      <c r="N18" s="120" t="s">
        <v>69</v>
      </c>
      <c r="O18" s="120" t="s">
        <v>69</v>
      </c>
      <c r="P18" s="120" t="s">
        <v>69</v>
      </c>
      <c r="Q18" s="120" t="s">
        <v>69</v>
      </c>
      <c r="R18" s="120" t="s">
        <v>69</v>
      </c>
      <c r="S18" s="388" t="s">
        <v>108</v>
      </c>
      <c r="T18" s="389" t="s">
        <v>69</v>
      </c>
      <c r="U18" s="389" t="s">
        <v>69</v>
      </c>
      <c r="V18" s="389" t="s">
        <v>69</v>
      </c>
      <c r="W18" s="389" t="s">
        <v>69</v>
      </c>
      <c r="X18" s="389" t="s">
        <v>69</v>
      </c>
      <c r="Y18" s="389" t="s">
        <v>69</v>
      </c>
      <c r="Z18" s="388" t="s">
        <v>108</v>
      </c>
      <c r="AA18" s="378" t="s">
        <v>69</v>
      </c>
      <c r="AB18" s="378" t="s">
        <v>69</v>
      </c>
      <c r="AC18" s="378" t="s">
        <v>69</v>
      </c>
      <c r="AD18" s="378" t="s">
        <v>69</v>
      </c>
      <c r="AE18" s="378" t="s">
        <v>69</v>
      </c>
      <c r="AF18" s="378" t="s">
        <v>69</v>
      </c>
      <c r="AG18" s="388" t="s">
        <v>108</v>
      </c>
      <c r="AH18" s="378" t="s">
        <v>69</v>
      </c>
      <c r="AI18" s="378" t="s">
        <v>69</v>
      </c>
      <c r="AJ18" s="378" t="s">
        <v>69</v>
      </c>
    </row>
    <row r="19" spans="1:36" ht="18">
      <c r="A19" s="5">
        <v>18</v>
      </c>
      <c r="B19" s="254" t="s">
        <v>22</v>
      </c>
      <c r="C19" s="410">
        <v>1</v>
      </c>
      <c r="D19" s="7">
        <v>1</v>
      </c>
      <c r="E19" s="7">
        <f t="shared" si="0"/>
        <v>0</v>
      </c>
      <c r="F19" s="120" t="s">
        <v>69</v>
      </c>
      <c r="G19" s="120" t="s">
        <v>69</v>
      </c>
      <c r="H19" s="120" t="s">
        <v>69</v>
      </c>
      <c r="I19" s="120" t="s">
        <v>69</v>
      </c>
      <c r="J19" s="120" t="s">
        <v>69</v>
      </c>
      <c r="K19" s="382" t="s">
        <v>92</v>
      </c>
      <c r="L19" s="388" t="s">
        <v>108</v>
      </c>
      <c r="M19" s="121" t="s">
        <v>72</v>
      </c>
      <c r="N19" s="120" t="s">
        <v>69</v>
      </c>
      <c r="O19" s="120" t="s">
        <v>69</v>
      </c>
      <c r="P19" s="120" t="s">
        <v>69</v>
      </c>
      <c r="Q19" s="120" t="s">
        <v>69</v>
      </c>
      <c r="R19" s="120" t="s">
        <v>69</v>
      </c>
      <c r="S19" s="388" t="s">
        <v>108</v>
      </c>
      <c r="T19" s="389" t="s">
        <v>69</v>
      </c>
      <c r="U19" s="389" t="s">
        <v>69</v>
      </c>
      <c r="V19" s="389" t="s">
        <v>69</v>
      </c>
      <c r="W19" s="389" t="s">
        <v>69</v>
      </c>
      <c r="X19" s="389" t="s">
        <v>69</v>
      </c>
      <c r="Y19" s="389" t="s">
        <v>69</v>
      </c>
      <c r="Z19" s="388" t="s">
        <v>108</v>
      </c>
      <c r="AA19" s="378" t="s">
        <v>69</v>
      </c>
      <c r="AB19" s="378" t="s">
        <v>69</v>
      </c>
      <c r="AC19" s="378" t="s">
        <v>69</v>
      </c>
      <c r="AD19" s="378" t="s">
        <v>69</v>
      </c>
      <c r="AE19" s="378" t="s">
        <v>69</v>
      </c>
      <c r="AF19" s="378" t="s">
        <v>69</v>
      </c>
      <c r="AG19" s="329" t="s">
        <v>108</v>
      </c>
      <c r="AH19" s="378" t="s">
        <v>69</v>
      </c>
      <c r="AI19" s="378" t="s">
        <v>69</v>
      </c>
      <c r="AJ19" s="378" t="s">
        <v>69</v>
      </c>
    </row>
    <row r="20" spans="1:36" ht="18">
      <c r="A20" s="5">
        <v>19</v>
      </c>
      <c r="B20" s="254" t="s">
        <v>221</v>
      </c>
      <c r="C20" s="410">
        <v>0</v>
      </c>
      <c r="D20" s="7">
        <v>0</v>
      </c>
      <c r="E20" s="7">
        <f t="shared" si="0"/>
        <v>0</v>
      </c>
      <c r="F20" s="120" t="s">
        <v>70</v>
      </c>
      <c r="G20" s="120" t="s">
        <v>70</v>
      </c>
      <c r="H20" s="120" t="s">
        <v>70</v>
      </c>
      <c r="I20" s="120" t="s">
        <v>69</v>
      </c>
      <c r="J20" s="120" t="s">
        <v>69</v>
      </c>
      <c r="K20" s="378" t="s">
        <v>69</v>
      </c>
      <c r="L20" s="388" t="s">
        <v>108</v>
      </c>
      <c r="M20" s="389" t="s">
        <v>69</v>
      </c>
      <c r="N20" s="389" t="s">
        <v>69</v>
      </c>
      <c r="O20" s="389" t="s">
        <v>69</v>
      </c>
      <c r="P20" s="382" t="s">
        <v>92</v>
      </c>
      <c r="Q20" s="120" t="s">
        <v>69</v>
      </c>
      <c r="R20" s="120" t="s">
        <v>69</v>
      </c>
      <c r="S20" s="388" t="s">
        <v>108</v>
      </c>
      <c r="T20" s="389" t="s">
        <v>69</v>
      </c>
      <c r="U20" s="389" t="s">
        <v>69</v>
      </c>
      <c r="V20" s="389" t="s">
        <v>69</v>
      </c>
      <c r="W20" s="389" t="s">
        <v>69</v>
      </c>
      <c r="X20" s="389" t="s">
        <v>69</v>
      </c>
      <c r="Y20" s="389" t="s">
        <v>69</v>
      </c>
      <c r="Z20" s="388" t="s">
        <v>108</v>
      </c>
      <c r="AA20" s="378" t="s">
        <v>69</v>
      </c>
      <c r="AB20" s="378" t="s">
        <v>69</v>
      </c>
      <c r="AC20" s="378" t="s">
        <v>69</v>
      </c>
      <c r="AD20" s="397" t="s">
        <v>175</v>
      </c>
      <c r="AE20" s="378" t="s">
        <v>69</v>
      </c>
      <c r="AF20" s="378" t="s">
        <v>69</v>
      </c>
      <c r="AG20" s="388" t="s">
        <v>108</v>
      </c>
      <c r="AH20" s="378" t="s">
        <v>69</v>
      </c>
      <c r="AI20" s="378" t="s">
        <v>69</v>
      </c>
      <c r="AJ20" s="378" t="s">
        <v>69</v>
      </c>
    </row>
    <row r="21" spans="1:36" ht="18">
      <c r="A21" s="5">
        <v>20</v>
      </c>
      <c r="B21" s="254" t="s">
        <v>179</v>
      </c>
      <c r="C21" s="410">
        <v>1</v>
      </c>
      <c r="D21" s="7">
        <v>1</v>
      </c>
      <c r="E21" s="7">
        <f t="shared" si="0"/>
        <v>0</v>
      </c>
      <c r="F21" s="120" t="s">
        <v>69</v>
      </c>
      <c r="G21" s="120" t="s">
        <v>69</v>
      </c>
      <c r="H21" s="120" t="s">
        <v>69</v>
      </c>
      <c r="I21" s="120" t="s">
        <v>69</v>
      </c>
      <c r="J21" s="120" t="s">
        <v>69</v>
      </c>
      <c r="K21" s="382" t="s">
        <v>92</v>
      </c>
      <c r="L21" s="388" t="s">
        <v>108</v>
      </c>
      <c r="M21" s="389" t="s">
        <v>69</v>
      </c>
      <c r="N21" s="389" t="s">
        <v>69</v>
      </c>
      <c r="O21" s="389" t="s">
        <v>69</v>
      </c>
      <c r="P21" s="389" t="s">
        <v>69</v>
      </c>
      <c r="Q21" s="389" t="s">
        <v>69</v>
      </c>
      <c r="R21" s="389" t="s">
        <v>69</v>
      </c>
      <c r="S21" s="388" t="s">
        <v>108</v>
      </c>
      <c r="T21" s="389" t="s">
        <v>69</v>
      </c>
      <c r="U21" s="389" t="s">
        <v>69</v>
      </c>
      <c r="V21" s="389" t="s">
        <v>69</v>
      </c>
      <c r="W21" s="389" t="s">
        <v>69</v>
      </c>
      <c r="X21" s="389" t="s">
        <v>69</v>
      </c>
      <c r="Y21" s="389" t="s">
        <v>69</v>
      </c>
      <c r="Z21" s="388" t="s">
        <v>108</v>
      </c>
      <c r="AA21" s="378" t="s">
        <v>69</v>
      </c>
      <c r="AB21" s="378" t="s">
        <v>69</v>
      </c>
      <c r="AC21" s="378" t="s">
        <v>69</v>
      </c>
      <c r="AD21" s="379" t="s">
        <v>72</v>
      </c>
      <c r="AE21" s="378" t="s">
        <v>69</v>
      </c>
      <c r="AF21" s="378" t="s">
        <v>69</v>
      </c>
      <c r="AG21" s="329" t="s">
        <v>108</v>
      </c>
      <c r="AH21" s="378" t="s">
        <v>69</v>
      </c>
      <c r="AI21" s="378" t="s">
        <v>69</v>
      </c>
      <c r="AJ21" s="378" t="s">
        <v>69</v>
      </c>
    </row>
    <row r="22" spans="1:36" ht="18">
      <c r="A22" s="5">
        <v>21</v>
      </c>
      <c r="B22" s="254" t="s">
        <v>140</v>
      </c>
      <c r="C22" s="410">
        <v>4</v>
      </c>
      <c r="D22" s="7">
        <v>4</v>
      </c>
      <c r="E22" s="7">
        <f t="shared" si="0"/>
        <v>0</v>
      </c>
      <c r="F22" s="120" t="s">
        <v>69</v>
      </c>
      <c r="G22" s="120" t="s">
        <v>69</v>
      </c>
      <c r="H22" s="120" t="s">
        <v>69</v>
      </c>
      <c r="I22" s="120" t="s">
        <v>69</v>
      </c>
      <c r="J22" s="120" t="s">
        <v>69</v>
      </c>
      <c r="K22" s="378" t="s">
        <v>69</v>
      </c>
      <c r="L22" s="388" t="s">
        <v>108</v>
      </c>
      <c r="M22" s="389" t="s">
        <v>69</v>
      </c>
      <c r="N22" s="389" t="s">
        <v>69</v>
      </c>
      <c r="O22" s="389" t="s">
        <v>69</v>
      </c>
      <c r="P22" s="389" t="s">
        <v>69</v>
      </c>
      <c r="Q22" s="389" t="s">
        <v>69</v>
      </c>
      <c r="R22" s="389" t="s">
        <v>69</v>
      </c>
      <c r="S22" s="388" t="s">
        <v>108</v>
      </c>
      <c r="T22" s="379" t="s">
        <v>72</v>
      </c>
      <c r="U22" s="379" t="s">
        <v>72</v>
      </c>
      <c r="V22" s="379" t="s">
        <v>72</v>
      </c>
      <c r="W22" s="379" t="s">
        <v>72</v>
      </c>
      <c r="X22" s="389" t="s">
        <v>69</v>
      </c>
      <c r="Y22" s="389" t="s">
        <v>69</v>
      </c>
      <c r="Z22" s="388" t="s">
        <v>108</v>
      </c>
      <c r="AA22" s="378" t="s">
        <v>69</v>
      </c>
      <c r="AB22" s="378" t="s">
        <v>69</v>
      </c>
      <c r="AC22" s="378" t="s">
        <v>69</v>
      </c>
      <c r="AD22" s="397" t="s">
        <v>175</v>
      </c>
      <c r="AE22" s="378" t="s">
        <v>69</v>
      </c>
      <c r="AF22" s="378" t="s">
        <v>69</v>
      </c>
      <c r="AG22" s="388" t="s">
        <v>108</v>
      </c>
      <c r="AH22" s="378" t="s">
        <v>69</v>
      </c>
      <c r="AI22" s="378" t="s">
        <v>69</v>
      </c>
      <c r="AJ22" s="378" t="s">
        <v>69</v>
      </c>
    </row>
    <row r="23" spans="1:36" ht="18">
      <c r="A23" s="5">
        <v>22</v>
      </c>
      <c r="B23" s="254" t="s">
        <v>222</v>
      </c>
      <c r="C23" s="410">
        <v>1</v>
      </c>
      <c r="D23" s="7">
        <v>1</v>
      </c>
      <c r="E23" s="7">
        <f t="shared" si="0"/>
        <v>0</v>
      </c>
      <c r="F23" s="120" t="s">
        <v>69</v>
      </c>
      <c r="G23" s="120" t="s">
        <v>69</v>
      </c>
      <c r="H23" s="120" t="s">
        <v>69</v>
      </c>
      <c r="I23" s="120" t="s">
        <v>69</v>
      </c>
      <c r="J23" s="120" t="s">
        <v>69</v>
      </c>
      <c r="K23" s="378" t="s">
        <v>69</v>
      </c>
      <c r="L23" s="388" t="s">
        <v>108</v>
      </c>
      <c r="M23" s="389" t="s">
        <v>69</v>
      </c>
      <c r="N23" s="389" t="s">
        <v>69</v>
      </c>
      <c r="O23" s="389" t="s">
        <v>69</v>
      </c>
      <c r="P23" s="389" t="s">
        <v>69</v>
      </c>
      <c r="Q23" s="389" t="s">
        <v>69</v>
      </c>
      <c r="R23" s="389" t="s">
        <v>69</v>
      </c>
      <c r="S23" s="388" t="s">
        <v>108</v>
      </c>
      <c r="T23" s="379" t="s">
        <v>72</v>
      </c>
      <c r="U23" s="394" t="s">
        <v>69</v>
      </c>
      <c r="V23" s="394" t="s">
        <v>69</v>
      </c>
      <c r="W23" s="394" t="s">
        <v>69</v>
      </c>
      <c r="X23" s="394" t="s">
        <v>69</v>
      </c>
      <c r="Y23" s="394" t="s">
        <v>69</v>
      </c>
      <c r="Z23" s="388" t="s">
        <v>108</v>
      </c>
      <c r="AA23" s="378" t="s">
        <v>69</v>
      </c>
      <c r="AB23" s="378" t="s">
        <v>69</v>
      </c>
      <c r="AC23" s="378" t="s">
        <v>69</v>
      </c>
      <c r="AD23" s="397" t="s">
        <v>175</v>
      </c>
      <c r="AE23" s="378" t="s">
        <v>69</v>
      </c>
      <c r="AF23" s="378" t="s">
        <v>69</v>
      </c>
      <c r="AG23" s="329" t="s">
        <v>108</v>
      </c>
      <c r="AH23" s="378" t="s">
        <v>69</v>
      </c>
      <c r="AI23" s="378" t="s">
        <v>69</v>
      </c>
      <c r="AJ23" s="378" t="s">
        <v>69</v>
      </c>
    </row>
    <row r="24" spans="1:36" ht="18">
      <c r="A24" s="5">
        <v>23</v>
      </c>
      <c r="B24" s="254" t="s">
        <v>114</v>
      </c>
      <c r="C24" s="410">
        <v>1</v>
      </c>
      <c r="D24" s="7">
        <v>1</v>
      </c>
      <c r="E24" s="7">
        <f t="shared" si="0"/>
        <v>0</v>
      </c>
      <c r="F24" s="120" t="s">
        <v>69</v>
      </c>
      <c r="G24" s="120" t="s">
        <v>69</v>
      </c>
      <c r="H24" s="120" t="s">
        <v>69</v>
      </c>
      <c r="I24" s="120" t="s">
        <v>69</v>
      </c>
      <c r="J24" s="120" t="s">
        <v>69</v>
      </c>
      <c r="K24" s="382" t="s">
        <v>92</v>
      </c>
      <c r="L24" s="388" t="s">
        <v>108</v>
      </c>
      <c r="M24" s="389" t="s">
        <v>69</v>
      </c>
      <c r="N24" s="389" t="s">
        <v>69</v>
      </c>
      <c r="O24" s="379" t="s">
        <v>72</v>
      </c>
      <c r="P24" s="389" t="s">
        <v>69</v>
      </c>
      <c r="Q24" s="389" t="s">
        <v>69</v>
      </c>
      <c r="R24" s="389" t="s">
        <v>69</v>
      </c>
      <c r="S24" s="388" t="s">
        <v>108</v>
      </c>
      <c r="T24" s="378" t="s">
        <v>69</v>
      </c>
      <c r="U24" s="378" t="s">
        <v>69</v>
      </c>
      <c r="V24" s="378" t="s">
        <v>69</v>
      </c>
      <c r="W24" s="378" t="s">
        <v>69</v>
      </c>
      <c r="X24" s="378" t="s">
        <v>69</v>
      </c>
      <c r="Y24" s="378" t="s">
        <v>69</v>
      </c>
      <c r="Z24" s="388" t="s">
        <v>108</v>
      </c>
      <c r="AA24" s="378" t="s">
        <v>69</v>
      </c>
      <c r="AB24" s="378" t="s">
        <v>69</v>
      </c>
      <c r="AC24" s="378" t="s">
        <v>69</v>
      </c>
      <c r="AD24" s="397" t="s">
        <v>175</v>
      </c>
      <c r="AE24" s="378" t="s">
        <v>69</v>
      </c>
      <c r="AF24" s="378" t="s">
        <v>69</v>
      </c>
      <c r="AG24" s="388" t="s">
        <v>108</v>
      </c>
      <c r="AH24" s="378" t="s">
        <v>69</v>
      </c>
      <c r="AI24" s="378" t="s">
        <v>69</v>
      </c>
      <c r="AJ24" s="378" t="s">
        <v>69</v>
      </c>
    </row>
    <row r="25" spans="1:36" ht="18">
      <c r="A25" s="5">
        <v>24</v>
      </c>
      <c r="B25" s="254" t="s">
        <v>26</v>
      </c>
      <c r="C25" s="410">
        <v>6</v>
      </c>
      <c r="D25" s="7">
        <v>6</v>
      </c>
      <c r="E25" s="7">
        <f t="shared" si="0"/>
        <v>0</v>
      </c>
      <c r="F25" s="120" t="s">
        <v>69</v>
      </c>
      <c r="G25" s="120" t="s">
        <v>69</v>
      </c>
      <c r="H25" s="120" t="s">
        <v>69</v>
      </c>
      <c r="I25" s="120" t="s">
        <v>69</v>
      </c>
      <c r="J25" s="120" t="s">
        <v>69</v>
      </c>
      <c r="K25" s="378" t="s">
        <v>69</v>
      </c>
      <c r="L25" s="388" t="s">
        <v>108</v>
      </c>
      <c r="M25" s="389" t="s">
        <v>69</v>
      </c>
      <c r="N25" s="389" t="s">
        <v>69</v>
      </c>
      <c r="O25" s="389" t="s">
        <v>69</v>
      </c>
      <c r="P25" s="389" t="s">
        <v>69</v>
      </c>
      <c r="Q25" s="389" t="s">
        <v>69</v>
      </c>
      <c r="R25" s="389" t="s">
        <v>69</v>
      </c>
      <c r="S25" s="388" t="s">
        <v>108</v>
      </c>
      <c r="T25" s="378" t="s">
        <v>69</v>
      </c>
      <c r="U25" s="378" t="s">
        <v>69</v>
      </c>
      <c r="V25" s="378" t="s">
        <v>69</v>
      </c>
      <c r="W25" s="378" t="s">
        <v>69</v>
      </c>
      <c r="X25" s="378" t="s">
        <v>69</v>
      </c>
      <c r="Y25" s="378" t="s">
        <v>69</v>
      </c>
      <c r="Z25" s="388" t="s">
        <v>108</v>
      </c>
      <c r="AA25" s="378" t="s">
        <v>69</v>
      </c>
      <c r="AB25" s="378" t="s">
        <v>69</v>
      </c>
      <c r="AC25" s="379" t="s">
        <v>72</v>
      </c>
      <c r="AD25" s="397" t="s">
        <v>175</v>
      </c>
      <c r="AE25" s="379" t="s">
        <v>72</v>
      </c>
      <c r="AF25" s="379" t="s">
        <v>72</v>
      </c>
      <c r="AG25" s="329" t="s">
        <v>108</v>
      </c>
      <c r="AH25" s="379" t="s">
        <v>72</v>
      </c>
      <c r="AI25" s="401" t="s">
        <v>72</v>
      </c>
      <c r="AJ25" s="379" t="s">
        <v>72</v>
      </c>
    </row>
    <row r="26" spans="1:36" ht="18">
      <c r="A26" s="5">
        <v>25</v>
      </c>
      <c r="B26" s="254" t="s">
        <v>27</v>
      </c>
      <c r="C26" s="410">
        <v>8</v>
      </c>
      <c r="D26" s="7">
        <v>4.5</v>
      </c>
      <c r="E26" s="7">
        <f t="shared" si="0"/>
        <v>3.5</v>
      </c>
      <c r="F26" s="120" t="s">
        <v>69</v>
      </c>
      <c r="G26" s="380" t="s">
        <v>69</v>
      </c>
      <c r="H26" s="380" t="s">
        <v>69</v>
      </c>
      <c r="I26" s="120" t="s">
        <v>69</v>
      </c>
      <c r="J26" s="120" t="s">
        <v>69</v>
      </c>
      <c r="K26" s="378" t="s">
        <v>69</v>
      </c>
      <c r="L26" s="388" t="s">
        <v>108</v>
      </c>
      <c r="M26" s="389" t="s">
        <v>69</v>
      </c>
      <c r="N26" s="389" t="s">
        <v>69</v>
      </c>
      <c r="O26" s="389" t="s">
        <v>69</v>
      </c>
      <c r="P26" s="379" t="s">
        <v>72</v>
      </c>
      <c r="Q26" s="379" t="s">
        <v>72</v>
      </c>
      <c r="R26" s="379" t="s">
        <v>72</v>
      </c>
      <c r="S26" s="388" t="s">
        <v>108</v>
      </c>
      <c r="T26" s="378" t="s">
        <v>69</v>
      </c>
      <c r="U26" s="378" t="s">
        <v>69</v>
      </c>
      <c r="V26" s="379" t="s">
        <v>72</v>
      </c>
      <c r="W26" s="379" t="s">
        <v>72</v>
      </c>
      <c r="X26" s="379" t="s">
        <v>72</v>
      </c>
      <c r="Y26" s="379" t="s">
        <v>72</v>
      </c>
      <c r="Z26" s="388" t="s">
        <v>108</v>
      </c>
      <c r="AA26" s="378" t="s">
        <v>69</v>
      </c>
      <c r="AB26" s="378" t="s">
        <v>69</v>
      </c>
      <c r="AC26" s="382" t="s">
        <v>92</v>
      </c>
      <c r="AD26" s="397" t="s">
        <v>175</v>
      </c>
      <c r="AE26" s="378" t="s">
        <v>69</v>
      </c>
      <c r="AF26" s="379" t="s">
        <v>72</v>
      </c>
      <c r="AG26" s="388" t="s">
        <v>108</v>
      </c>
      <c r="AH26" s="378" t="s">
        <v>69</v>
      </c>
      <c r="AI26" s="378" t="s">
        <v>69</v>
      </c>
      <c r="AJ26" s="378" t="s">
        <v>69</v>
      </c>
    </row>
    <row r="27" spans="1:36" ht="18">
      <c r="A27" s="5">
        <v>26</v>
      </c>
      <c r="B27" s="254" t="s">
        <v>28</v>
      </c>
      <c r="C27" s="410">
        <v>1</v>
      </c>
      <c r="D27" s="7">
        <v>1</v>
      </c>
      <c r="E27" s="7">
        <f t="shared" si="0"/>
        <v>0</v>
      </c>
      <c r="F27" s="120" t="s">
        <v>69</v>
      </c>
      <c r="G27" s="120" t="s">
        <v>69</v>
      </c>
      <c r="H27" s="120" t="s">
        <v>69</v>
      </c>
      <c r="I27" s="120" t="s">
        <v>69</v>
      </c>
      <c r="J27" s="379" t="s">
        <v>72</v>
      </c>
      <c r="K27" s="391" t="s">
        <v>200</v>
      </c>
      <c r="L27" s="388" t="s">
        <v>108</v>
      </c>
      <c r="M27" s="389" t="s">
        <v>69</v>
      </c>
      <c r="N27" s="389" t="s">
        <v>69</v>
      </c>
      <c r="O27" s="389" t="s">
        <v>69</v>
      </c>
      <c r="P27" s="389" t="s">
        <v>69</v>
      </c>
      <c r="Q27" s="389" t="s">
        <v>69</v>
      </c>
      <c r="R27" s="389" t="s">
        <v>69</v>
      </c>
      <c r="S27" s="388" t="s">
        <v>108</v>
      </c>
      <c r="T27" s="378" t="s">
        <v>69</v>
      </c>
      <c r="U27" s="378" t="s">
        <v>69</v>
      </c>
      <c r="V27" s="378" t="s">
        <v>69</v>
      </c>
      <c r="W27" s="378" t="s">
        <v>69</v>
      </c>
      <c r="X27" s="378" t="s">
        <v>69</v>
      </c>
      <c r="Y27" s="378" t="s">
        <v>69</v>
      </c>
      <c r="Z27" s="388" t="s">
        <v>108</v>
      </c>
      <c r="AA27" s="378" t="s">
        <v>69</v>
      </c>
      <c r="AB27" s="378" t="s">
        <v>69</v>
      </c>
      <c r="AC27" s="378" t="s">
        <v>69</v>
      </c>
      <c r="AD27" s="378" t="s">
        <v>69</v>
      </c>
      <c r="AE27" s="378" t="s">
        <v>69</v>
      </c>
      <c r="AF27" s="378" t="s">
        <v>69</v>
      </c>
      <c r="AG27" s="329" t="s">
        <v>108</v>
      </c>
      <c r="AH27" s="378" t="s">
        <v>69</v>
      </c>
      <c r="AI27" s="378" t="s">
        <v>69</v>
      </c>
      <c r="AJ27" s="378" t="s">
        <v>69</v>
      </c>
    </row>
    <row r="28" spans="1:36" ht="18">
      <c r="A28" s="5">
        <v>27</v>
      </c>
      <c r="B28" s="254" t="s">
        <v>29</v>
      </c>
      <c r="C28" s="410">
        <v>0</v>
      </c>
      <c r="D28" s="7">
        <v>0</v>
      </c>
      <c r="E28" s="7">
        <f t="shared" si="0"/>
        <v>0</v>
      </c>
      <c r="F28" s="120" t="s">
        <v>69</v>
      </c>
      <c r="G28" s="120" t="s">
        <v>69</v>
      </c>
      <c r="H28" s="120" t="s">
        <v>69</v>
      </c>
      <c r="I28" s="120" t="s">
        <v>69</v>
      </c>
      <c r="J28" s="120" t="s">
        <v>69</v>
      </c>
      <c r="K28" s="389" t="s">
        <v>69</v>
      </c>
      <c r="L28" s="388" t="s">
        <v>108</v>
      </c>
      <c r="M28" s="389" t="s">
        <v>69</v>
      </c>
      <c r="N28" s="389" t="s">
        <v>69</v>
      </c>
      <c r="O28" s="389" t="s">
        <v>69</v>
      </c>
      <c r="P28" s="389" t="s">
        <v>69</v>
      </c>
      <c r="Q28" s="389" t="s">
        <v>69</v>
      </c>
      <c r="R28" s="389" t="s">
        <v>69</v>
      </c>
      <c r="S28" s="388" t="s">
        <v>108</v>
      </c>
      <c r="T28" s="378" t="s">
        <v>69</v>
      </c>
      <c r="U28" s="378" t="s">
        <v>69</v>
      </c>
      <c r="V28" s="378" t="s">
        <v>69</v>
      </c>
      <c r="W28" s="378" t="s">
        <v>69</v>
      </c>
      <c r="X28" s="378" t="s">
        <v>69</v>
      </c>
      <c r="Y28" s="378" t="s">
        <v>69</v>
      </c>
      <c r="Z28" s="388" t="s">
        <v>108</v>
      </c>
      <c r="AA28" s="378" t="s">
        <v>69</v>
      </c>
      <c r="AB28" s="378" t="s">
        <v>69</v>
      </c>
      <c r="AC28" s="378" t="s">
        <v>69</v>
      </c>
      <c r="AD28" s="397" t="s">
        <v>175</v>
      </c>
      <c r="AE28" s="378" t="s">
        <v>69</v>
      </c>
      <c r="AF28" s="378" t="s">
        <v>69</v>
      </c>
      <c r="AG28" s="388" t="s">
        <v>108</v>
      </c>
      <c r="AH28" s="378" t="s">
        <v>69</v>
      </c>
      <c r="AI28" s="378" t="s">
        <v>69</v>
      </c>
      <c r="AJ28" s="404" t="s">
        <v>92</v>
      </c>
    </row>
    <row r="29" spans="1:36" ht="18">
      <c r="A29" s="5">
        <v>28</v>
      </c>
      <c r="B29" s="254" t="s">
        <v>181</v>
      </c>
      <c r="C29" s="410">
        <v>0</v>
      </c>
      <c r="D29" s="7">
        <v>0</v>
      </c>
      <c r="E29" s="7">
        <f t="shared" si="0"/>
        <v>0</v>
      </c>
      <c r="F29" s="120" t="s">
        <v>69</v>
      </c>
      <c r="G29" s="120" t="s">
        <v>69</v>
      </c>
      <c r="H29" s="120" t="s">
        <v>69</v>
      </c>
      <c r="I29" s="120" t="s">
        <v>69</v>
      </c>
      <c r="J29" s="120" t="s">
        <v>69</v>
      </c>
      <c r="K29" s="389" t="s">
        <v>200</v>
      </c>
      <c r="L29" s="388" t="s">
        <v>108</v>
      </c>
      <c r="M29" s="382" t="s">
        <v>92</v>
      </c>
      <c r="N29" s="389" t="s">
        <v>69</v>
      </c>
      <c r="O29" s="389" t="s">
        <v>69</v>
      </c>
      <c r="P29" s="389" t="s">
        <v>69</v>
      </c>
      <c r="Q29" s="389" t="s">
        <v>69</v>
      </c>
      <c r="R29" s="389" t="s">
        <v>69</v>
      </c>
      <c r="S29" s="388" t="s">
        <v>108</v>
      </c>
      <c r="T29" s="378" t="s">
        <v>69</v>
      </c>
      <c r="U29" s="378" t="s">
        <v>69</v>
      </c>
      <c r="V29" s="378" t="s">
        <v>69</v>
      </c>
      <c r="W29" s="378" t="s">
        <v>69</v>
      </c>
      <c r="X29" s="378" t="s">
        <v>69</v>
      </c>
      <c r="Y29" s="378" t="s">
        <v>69</v>
      </c>
      <c r="Z29" s="388" t="s">
        <v>108</v>
      </c>
      <c r="AA29" s="378" t="s">
        <v>69</v>
      </c>
      <c r="AB29" s="391" t="s">
        <v>92</v>
      </c>
      <c r="AC29" s="378" t="s">
        <v>69</v>
      </c>
      <c r="AD29" s="378" t="s">
        <v>69</v>
      </c>
      <c r="AE29" s="378" t="s">
        <v>69</v>
      </c>
      <c r="AF29" s="378" t="s">
        <v>69</v>
      </c>
      <c r="AG29" s="329" t="s">
        <v>108</v>
      </c>
      <c r="AH29" s="378" t="s">
        <v>69</v>
      </c>
      <c r="AI29" s="378" t="s">
        <v>69</v>
      </c>
      <c r="AJ29" s="378" t="s">
        <v>69</v>
      </c>
    </row>
    <row r="30" spans="1:36" ht="18">
      <c r="A30" s="5">
        <v>29</v>
      </c>
      <c r="B30" s="254" t="s">
        <v>30</v>
      </c>
      <c r="C30" s="410">
        <v>2</v>
      </c>
      <c r="D30" s="7">
        <v>2</v>
      </c>
      <c r="E30" s="7">
        <f t="shared" si="0"/>
        <v>0</v>
      </c>
      <c r="F30" s="120" t="s">
        <v>69</v>
      </c>
      <c r="G30" s="120" t="s">
        <v>69</v>
      </c>
      <c r="H30" s="120" t="s">
        <v>69</v>
      </c>
      <c r="I30" s="120" t="s">
        <v>69</v>
      </c>
      <c r="J30" s="120" t="s">
        <v>69</v>
      </c>
      <c r="K30" s="389" t="s">
        <v>200</v>
      </c>
      <c r="L30" s="388" t="s">
        <v>108</v>
      </c>
      <c r="M30" s="389" t="s">
        <v>69</v>
      </c>
      <c r="N30" s="389" t="s">
        <v>69</v>
      </c>
      <c r="O30" s="389" t="s">
        <v>69</v>
      </c>
      <c r="P30" s="379" t="s">
        <v>72</v>
      </c>
      <c r="Q30" s="389" t="s">
        <v>69</v>
      </c>
      <c r="R30" s="389" t="s">
        <v>69</v>
      </c>
      <c r="S30" s="388" t="s">
        <v>108</v>
      </c>
      <c r="T30" s="378" t="s">
        <v>69</v>
      </c>
      <c r="U30" s="378" t="s">
        <v>69</v>
      </c>
      <c r="V30" s="378" t="s">
        <v>69</v>
      </c>
      <c r="W30" s="378" t="s">
        <v>69</v>
      </c>
      <c r="X30" s="378" t="s">
        <v>69</v>
      </c>
      <c r="Y30" s="378" t="s">
        <v>69</v>
      </c>
      <c r="Z30" s="388" t="s">
        <v>108</v>
      </c>
      <c r="AA30" s="378" t="s">
        <v>69</v>
      </c>
      <c r="AB30" s="378" t="s">
        <v>69</v>
      </c>
      <c r="AC30" s="378" t="s">
        <v>69</v>
      </c>
      <c r="AD30" s="397" t="s">
        <v>175</v>
      </c>
      <c r="AE30" s="379" t="s">
        <v>72</v>
      </c>
      <c r="AF30" s="378" t="s">
        <v>69</v>
      </c>
      <c r="AG30" s="388" t="s">
        <v>108</v>
      </c>
      <c r="AH30" s="378" t="s">
        <v>69</v>
      </c>
      <c r="AI30" s="378" t="s">
        <v>69</v>
      </c>
      <c r="AJ30" s="378" t="s">
        <v>69</v>
      </c>
    </row>
    <row r="31" spans="1:36" ht="18">
      <c r="A31" s="5">
        <v>30</v>
      </c>
      <c r="B31" s="254" t="s">
        <v>183</v>
      </c>
      <c r="C31" s="410">
        <v>1</v>
      </c>
      <c r="D31" s="7">
        <v>1</v>
      </c>
      <c r="E31" s="7">
        <f t="shared" si="0"/>
        <v>0</v>
      </c>
      <c r="F31" s="120" t="s">
        <v>69</v>
      </c>
      <c r="G31" s="120" t="s">
        <v>69</v>
      </c>
      <c r="H31" s="120" t="s">
        <v>69</v>
      </c>
      <c r="I31" s="120" t="s">
        <v>69</v>
      </c>
      <c r="J31" s="120" t="s">
        <v>69</v>
      </c>
      <c r="K31" s="389" t="s">
        <v>200</v>
      </c>
      <c r="L31" s="388" t="s">
        <v>108</v>
      </c>
      <c r="M31" s="389" t="s">
        <v>69</v>
      </c>
      <c r="N31" s="389" t="s">
        <v>69</v>
      </c>
      <c r="O31" s="389" t="s">
        <v>69</v>
      </c>
      <c r="P31" s="389" t="s">
        <v>69</v>
      </c>
      <c r="Q31" s="389" t="s">
        <v>69</v>
      </c>
      <c r="R31" s="389" t="s">
        <v>69</v>
      </c>
      <c r="S31" s="388" t="s">
        <v>108</v>
      </c>
      <c r="T31" s="378" t="s">
        <v>69</v>
      </c>
      <c r="U31" s="378" t="s">
        <v>69</v>
      </c>
      <c r="V31" s="378" t="s">
        <v>69</v>
      </c>
      <c r="W31" s="379" t="s">
        <v>72</v>
      </c>
      <c r="X31" s="378" t="s">
        <v>69</v>
      </c>
      <c r="Y31" s="378" t="s">
        <v>69</v>
      </c>
      <c r="Z31" s="388" t="s">
        <v>108</v>
      </c>
      <c r="AA31" s="378" t="s">
        <v>69</v>
      </c>
      <c r="AB31" s="391" t="s">
        <v>92</v>
      </c>
      <c r="AC31" s="378" t="s">
        <v>69</v>
      </c>
      <c r="AD31" s="397" t="s">
        <v>175</v>
      </c>
      <c r="AE31" s="378" t="s">
        <v>69</v>
      </c>
      <c r="AF31" s="378" t="s">
        <v>69</v>
      </c>
      <c r="AG31" s="329" t="s">
        <v>108</v>
      </c>
      <c r="AH31" s="378" t="s">
        <v>69</v>
      </c>
      <c r="AI31" s="378" t="s">
        <v>69</v>
      </c>
      <c r="AJ31" s="378" t="s">
        <v>69</v>
      </c>
    </row>
    <row r="32" spans="1:36" ht="18">
      <c r="A32" s="5">
        <v>31</v>
      </c>
      <c r="B32" s="254" t="s">
        <v>31</v>
      </c>
      <c r="C32" s="410">
        <v>2</v>
      </c>
      <c r="D32" s="7">
        <v>2</v>
      </c>
      <c r="E32" s="7">
        <f t="shared" si="0"/>
        <v>0</v>
      </c>
      <c r="F32" s="121" t="s">
        <v>72</v>
      </c>
      <c r="G32" s="121" t="s">
        <v>72</v>
      </c>
      <c r="H32" s="120" t="s">
        <v>69</v>
      </c>
      <c r="I32" s="120" t="s">
        <v>69</v>
      </c>
      <c r="J32" s="120" t="s">
        <v>69</v>
      </c>
      <c r="K32" s="389" t="s">
        <v>69</v>
      </c>
      <c r="L32" s="388" t="s">
        <v>108</v>
      </c>
      <c r="M32" s="389" t="s">
        <v>69</v>
      </c>
      <c r="N32" s="389" t="s">
        <v>69</v>
      </c>
      <c r="O32" s="389" t="s">
        <v>69</v>
      </c>
      <c r="P32" s="389" t="s">
        <v>69</v>
      </c>
      <c r="Q32" s="389" t="s">
        <v>69</v>
      </c>
      <c r="R32" s="389" t="s">
        <v>69</v>
      </c>
      <c r="S32" s="388" t="s">
        <v>108</v>
      </c>
      <c r="T32" s="378" t="s">
        <v>69</v>
      </c>
      <c r="U32" s="378" t="s">
        <v>69</v>
      </c>
      <c r="V32" s="378" t="s">
        <v>69</v>
      </c>
      <c r="W32" s="378" t="s">
        <v>69</v>
      </c>
      <c r="X32" s="378" t="s">
        <v>69</v>
      </c>
      <c r="Y32" s="378" t="s">
        <v>69</v>
      </c>
      <c r="Z32" s="388" t="s">
        <v>108</v>
      </c>
      <c r="AA32" s="378" t="s">
        <v>69</v>
      </c>
      <c r="AB32" s="378" t="s">
        <v>69</v>
      </c>
      <c r="AC32" s="378" t="s">
        <v>69</v>
      </c>
      <c r="AD32" s="378" t="s">
        <v>69</v>
      </c>
      <c r="AE32" s="378" t="s">
        <v>69</v>
      </c>
      <c r="AF32" s="378" t="s">
        <v>69</v>
      </c>
      <c r="AG32" s="388" t="s">
        <v>108</v>
      </c>
      <c r="AH32" s="378" t="s">
        <v>69</v>
      </c>
      <c r="AI32" s="378" t="s">
        <v>69</v>
      </c>
      <c r="AJ32" s="378" t="s">
        <v>69</v>
      </c>
    </row>
    <row r="33" spans="1:36" ht="18">
      <c r="A33" s="5">
        <v>32</v>
      </c>
      <c r="B33" s="186" t="s">
        <v>142</v>
      </c>
      <c r="C33" s="410">
        <v>1</v>
      </c>
      <c r="D33" s="7">
        <v>1</v>
      </c>
      <c r="E33" s="7">
        <f t="shared" si="0"/>
        <v>0</v>
      </c>
      <c r="F33" s="120" t="s">
        <v>69</v>
      </c>
      <c r="G33" s="381" t="s">
        <v>69</v>
      </c>
      <c r="H33" s="381" t="s">
        <v>69</v>
      </c>
      <c r="I33" s="120" t="s">
        <v>69</v>
      </c>
      <c r="J33" s="120" t="s">
        <v>69</v>
      </c>
      <c r="K33" s="389" t="s">
        <v>69</v>
      </c>
      <c r="L33" s="388" t="s">
        <v>108</v>
      </c>
      <c r="M33" s="389" t="s">
        <v>69</v>
      </c>
      <c r="N33" s="389" t="s">
        <v>69</v>
      </c>
      <c r="O33" s="391" t="s">
        <v>92</v>
      </c>
      <c r="P33" s="389" t="s">
        <v>69</v>
      </c>
      <c r="Q33" s="389" t="s">
        <v>69</v>
      </c>
      <c r="R33" s="389" t="s">
        <v>69</v>
      </c>
      <c r="S33" s="388" t="s">
        <v>108</v>
      </c>
      <c r="T33" s="378" t="s">
        <v>69</v>
      </c>
      <c r="U33" s="378" t="s">
        <v>69</v>
      </c>
      <c r="V33" s="379" t="s">
        <v>72</v>
      </c>
      <c r="W33" s="378" t="s">
        <v>69</v>
      </c>
      <c r="X33" s="378" t="s">
        <v>69</v>
      </c>
      <c r="Y33" s="378" t="s">
        <v>69</v>
      </c>
      <c r="Z33" s="388" t="s">
        <v>108</v>
      </c>
      <c r="AA33" s="378" t="s">
        <v>69</v>
      </c>
      <c r="AB33" s="378" t="s">
        <v>69</v>
      </c>
      <c r="AC33" s="378" t="s">
        <v>69</v>
      </c>
      <c r="AD33" s="378" t="s">
        <v>69</v>
      </c>
      <c r="AE33" s="378" t="s">
        <v>69</v>
      </c>
      <c r="AF33" s="378" t="s">
        <v>69</v>
      </c>
      <c r="AG33" s="329" t="s">
        <v>108</v>
      </c>
      <c r="AH33" s="378" t="s">
        <v>69</v>
      </c>
      <c r="AI33" s="378" t="s">
        <v>69</v>
      </c>
      <c r="AJ33" s="378" t="s">
        <v>69</v>
      </c>
    </row>
    <row r="34" spans="1:36" ht="18">
      <c r="A34" s="5">
        <v>33</v>
      </c>
      <c r="B34" s="186" t="s">
        <v>33</v>
      </c>
      <c r="C34" s="410">
        <v>1</v>
      </c>
      <c r="D34" s="7">
        <v>1</v>
      </c>
      <c r="E34" s="7">
        <f t="shared" ref="E34:E65" si="1">C34-D34</f>
        <v>0</v>
      </c>
      <c r="F34" s="120" t="s">
        <v>69</v>
      </c>
      <c r="G34" s="120" t="s">
        <v>69</v>
      </c>
      <c r="H34" s="130" t="s">
        <v>74</v>
      </c>
      <c r="I34" s="120" t="s">
        <v>69</v>
      </c>
      <c r="J34" s="120" t="s">
        <v>69</v>
      </c>
      <c r="K34" s="389" t="s">
        <v>70</v>
      </c>
      <c r="L34" s="388" t="s">
        <v>108</v>
      </c>
      <c r="M34" s="389" t="s">
        <v>69</v>
      </c>
      <c r="N34" s="389" t="s">
        <v>69</v>
      </c>
      <c r="O34" s="389" t="s">
        <v>69</v>
      </c>
      <c r="P34" s="389" t="s">
        <v>69</v>
      </c>
      <c r="Q34" s="389" t="s">
        <v>69</v>
      </c>
      <c r="R34" s="389" t="s">
        <v>69</v>
      </c>
      <c r="S34" s="388" t="s">
        <v>108</v>
      </c>
      <c r="T34" s="378" t="s">
        <v>69</v>
      </c>
      <c r="U34" s="378" t="s">
        <v>69</v>
      </c>
      <c r="V34" s="378" t="s">
        <v>69</v>
      </c>
      <c r="W34" s="378" t="s">
        <v>69</v>
      </c>
      <c r="X34" s="378" t="s">
        <v>69</v>
      </c>
      <c r="Y34" s="378" t="s">
        <v>69</v>
      </c>
      <c r="Z34" s="388" t="s">
        <v>108</v>
      </c>
      <c r="AA34" s="378" t="s">
        <v>69</v>
      </c>
      <c r="AB34" s="378" t="s">
        <v>69</v>
      </c>
      <c r="AC34" s="379" t="s">
        <v>72</v>
      </c>
      <c r="AD34" s="397" t="s">
        <v>175</v>
      </c>
      <c r="AE34" s="378" t="s">
        <v>69</v>
      </c>
      <c r="AF34" s="378" t="s">
        <v>69</v>
      </c>
      <c r="AG34" s="388" t="s">
        <v>108</v>
      </c>
      <c r="AH34" s="389" t="s">
        <v>69</v>
      </c>
      <c r="AI34" s="389" t="s">
        <v>69</v>
      </c>
      <c r="AJ34" s="389" t="s">
        <v>69</v>
      </c>
    </row>
    <row r="35" spans="1:36" ht="18">
      <c r="A35" s="5">
        <v>34</v>
      </c>
      <c r="B35" s="186" t="s">
        <v>35</v>
      </c>
      <c r="C35" s="410">
        <v>3</v>
      </c>
      <c r="D35" s="7">
        <v>1.5</v>
      </c>
      <c r="E35" s="7">
        <f t="shared" si="1"/>
        <v>1.5</v>
      </c>
      <c r="F35" s="120" t="s">
        <v>69</v>
      </c>
      <c r="G35" s="120" t="s">
        <v>69</v>
      </c>
      <c r="H35" s="120" t="s">
        <v>69</v>
      </c>
      <c r="I35" s="120" t="s">
        <v>69</v>
      </c>
      <c r="J35" s="120" t="s">
        <v>69</v>
      </c>
      <c r="K35" s="379" t="s">
        <v>72</v>
      </c>
      <c r="L35" s="388" t="s">
        <v>108</v>
      </c>
      <c r="M35" s="389" t="s">
        <v>69</v>
      </c>
      <c r="N35" s="389" t="s">
        <v>69</v>
      </c>
      <c r="O35" s="389" t="s">
        <v>69</v>
      </c>
      <c r="P35" s="389" t="s">
        <v>69</v>
      </c>
      <c r="Q35" s="389" t="s">
        <v>69</v>
      </c>
      <c r="R35" s="389" t="s">
        <v>69</v>
      </c>
      <c r="S35" s="388" t="s">
        <v>108</v>
      </c>
      <c r="T35" s="378" t="s">
        <v>69</v>
      </c>
      <c r="U35" s="378" t="s">
        <v>69</v>
      </c>
      <c r="V35" s="378" t="s">
        <v>69</v>
      </c>
      <c r="W35" s="379" t="s">
        <v>72</v>
      </c>
      <c r="X35" s="379" t="s">
        <v>72</v>
      </c>
      <c r="Y35" s="378" t="s">
        <v>69</v>
      </c>
      <c r="Z35" s="388" t="s">
        <v>108</v>
      </c>
      <c r="AA35" s="378" t="s">
        <v>69</v>
      </c>
      <c r="AB35" s="378" t="s">
        <v>69</v>
      </c>
      <c r="AC35" s="378" t="s">
        <v>69</v>
      </c>
      <c r="AD35" s="397" t="s">
        <v>175</v>
      </c>
      <c r="AE35" s="378" t="s">
        <v>69</v>
      </c>
      <c r="AF35" s="378" t="s">
        <v>69</v>
      </c>
      <c r="AG35" s="329" t="s">
        <v>108</v>
      </c>
      <c r="AH35" s="389" t="s">
        <v>69</v>
      </c>
      <c r="AI35" s="389" t="s">
        <v>69</v>
      </c>
      <c r="AJ35" s="389" t="s">
        <v>69</v>
      </c>
    </row>
    <row r="36" spans="1:36" ht="18">
      <c r="A36" s="5">
        <v>35</v>
      </c>
      <c r="B36" s="186" t="s">
        <v>118</v>
      </c>
      <c r="C36" s="410">
        <v>0</v>
      </c>
      <c r="D36" s="7">
        <v>0</v>
      </c>
      <c r="E36" s="7">
        <f t="shared" si="1"/>
        <v>0</v>
      </c>
      <c r="F36" s="120" t="s">
        <v>69</v>
      </c>
      <c r="G36" s="120" t="s">
        <v>69</v>
      </c>
      <c r="H36" s="120" t="s">
        <v>69</v>
      </c>
      <c r="I36" s="120" t="s">
        <v>69</v>
      </c>
      <c r="J36" s="120" t="s">
        <v>69</v>
      </c>
      <c r="K36" s="378" t="s">
        <v>69</v>
      </c>
      <c r="L36" s="388" t="s">
        <v>108</v>
      </c>
      <c r="M36" s="389" t="s">
        <v>69</v>
      </c>
      <c r="N36" s="389" t="s">
        <v>69</v>
      </c>
      <c r="O36" s="389" t="s">
        <v>69</v>
      </c>
      <c r="P36" s="389" t="s">
        <v>69</v>
      </c>
      <c r="Q36" s="389" t="s">
        <v>69</v>
      </c>
      <c r="R36" s="389" t="s">
        <v>69</v>
      </c>
      <c r="S36" s="388" t="s">
        <v>108</v>
      </c>
      <c r="T36" s="378" t="s">
        <v>69</v>
      </c>
      <c r="U36" s="378" t="s">
        <v>69</v>
      </c>
      <c r="V36" s="378" t="s">
        <v>69</v>
      </c>
      <c r="W36" s="378" t="s">
        <v>69</v>
      </c>
      <c r="X36" s="378" t="s">
        <v>69</v>
      </c>
      <c r="Y36" s="378" t="s">
        <v>69</v>
      </c>
      <c r="Z36" s="388" t="s">
        <v>108</v>
      </c>
      <c r="AA36" s="378" t="s">
        <v>69</v>
      </c>
      <c r="AB36" s="378" t="s">
        <v>69</v>
      </c>
      <c r="AC36" s="378" t="s">
        <v>69</v>
      </c>
      <c r="AD36" s="397" t="s">
        <v>175</v>
      </c>
      <c r="AE36" s="378" t="s">
        <v>69</v>
      </c>
      <c r="AF36" s="378" t="s">
        <v>69</v>
      </c>
      <c r="AG36" s="388" t="s">
        <v>108</v>
      </c>
      <c r="AH36" s="389" t="s">
        <v>69</v>
      </c>
      <c r="AI36" s="389" t="s">
        <v>69</v>
      </c>
      <c r="AJ36" s="389" t="s">
        <v>69</v>
      </c>
    </row>
    <row r="37" spans="1:36" ht="18">
      <c r="A37" s="5">
        <v>36</v>
      </c>
      <c r="B37" s="186" t="s">
        <v>223</v>
      </c>
      <c r="C37" s="410">
        <v>2</v>
      </c>
      <c r="D37" s="7">
        <v>1</v>
      </c>
      <c r="E37" s="7">
        <f t="shared" si="1"/>
        <v>1</v>
      </c>
      <c r="F37" s="120" t="s">
        <v>69</v>
      </c>
      <c r="G37" s="120" t="s">
        <v>69</v>
      </c>
      <c r="H37" s="120" t="s">
        <v>69</v>
      </c>
      <c r="I37" s="120" t="s">
        <v>69</v>
      </c>
      <c r="J37" s="120" t="s">
        <v>69</v>
      </c>
      <c r="K37" s="392" t="s">
        <v>200</v>
      </c>
      <c r="L37" s="388" t="s">
        <v>108</v>
      </c>
      <c r="M37" s="379" t="s">
        <v>72</v>
      </c>
      <c r="N37" s="361" t="s">
        <v>92</v>
      </c>
      <c r="O37" s="389" t="s">
        <v>69</v>
      </c>
      <c r="P37" s="389" t="s">
        <v>69</v>
      </c>
      <c r="Q37" s="389" t="s">
        <v>69</v>
      </c>
      <c r="R37" s="389" t="s">
        <v>69</v>
      </c>
      <c r="S37" s="388" t="s">
        <v>108</v>
      </c>
      <c r="T37" s="378" t="s">
        <v>69</v>
      </c>
      <c r="U37" s="378" t="s">
        <v>69</v>
      </c>
      <c r="V37" s="378" t="s">
        <v>69</v>
      </c>
      <c r="W37" s="378" t="s">
        <v>69</v>
      </c>
      <c r="X37" s="378" t="s">
        <v>69</v>
      </c>
      <c r="Y37" s="378" t="s">
        <v>69</v>
      </c>
      <c r="Z37" s="388" t="s">
        <v>108</v>
      </c>
      <c r="AA37" s="378" t="s">
        <v>69</v>
      </c>
      <c r="AB37" s="378" t="s">
        <v>69</v>
      </c>
      <c r="AC37" s="378" t="s">
        <v>69</v>
      </c>
      <c r="AD37" s="378" t="s">
        <v>69</v>
      </c>
      <c r="AE37" s="378" t="s">
        <v>69</v>
      </c>
      <c r="AF37" s="378" t="s">
        <v>69</v>
      </c>
      <c r="AG37" s="329" t="s">
        <v>108</v>
      </c>
      <c r="AH37" s="378" t="s">
        <v>69</v>
      </c>
      <c r="AI37" s="378" t="s">
        <v>69</v>
      </c>
      <c r="AJ37" s="121" t="s">
        <v>72</v>
      </c>
    </row>
    <row r="38" spans="1:36" ht="18">
      <c r="A38" s="5">
        <v>37</v>
      </c>
      <c r="B38" s="186" t="s">
        <v>36</v>
      </c>
      <c r="C38" s="410">
        <v>1</v>
      </c>
      <c r="D38" s="7">
        <v>1</v>
      </c>
      <c r="E38" s="7">
        <f t="shared" si="1"/>
        <v>0</v>
      </c>
      <c r="F38" s="120" t="s">
        <v>69</v>
      </c>
      <c r="G38" s="120" t="s">
        <v>69</v>
      </c>
      <c r="H38" s="120" t="s">
        <v>69</v>
      </c>
      <c r="I38" s="120" t="s">
        <v>69</v>
      </c>
      <c r="J38" s="120" t="s">
        <v>69</v>
      </c>
      <c r="K38" s="120" t="s">
        <v>69</v>
      </c>
      <c r="L38" s="388" t="s">
        <v>108</v>
      </c>
      <c r="M38" s="379" t="s">
        <v>72</v>
      </c>
      <c r="N38" s="380" t="s">
        <v>69</v>
      </c>
      <c r="O38" s="380" t="s">
        <v>69</v>
      </c>
      <c r="P38" s="380" t="s">
        <v>69</v>
      </c>
      <c r="Q38" s="380" t="s">
        <v>69</v>
      </c>
      <c r="R38" s="380" t="s">
        <v>69</v>
      </c>
      <c r="S38" s="388" t="s">
        <v>108</v>
      </c>
      <c r="T38" s="378" t="s">
        <v>69</v>
      </c>
      <c r="U38" s="361" t="s">
        <v>92</v>
      </c>
      <c r="V38" s="378" t="s">
        <v>69</v>
      </c>
      <c r="W38" s="378" t="s">
        <v>69</v>
      </c>
      <c r="X38" s="378" t="s">
        <v>69</v>
      </c>
      <c r="Y38" s="378" t="s">
        <v>69</v>
      </c>
      <c r="Z38" s="388" t="s">
        <v>108</v>
      </c>
      <c r="AA38" s="378" t="s">
        <v>69</v>
      </c>
      <c r="AB38" s="378" t="s">
        <v>69</v>
      </c>
      <c r="AC38" s="378" t="s">
        <v>69</v>
      </c>
      <c r="AD38" s="397" t="s">
        <v>175</v>
      </c>
      <c r="AE38" s="378" t="s">
        <v>69</v>
      </c>
      <c r="AF38" s="378" t="s">
        <v>69</v>
      </c>
      <c r="AG38" s="388" t="s">
        <v>108</v>
      </c>
      <c r="AH38" s="378" t="s">
        <v>69</v>
      </c>
      <c r="AI38" s="378" t="s">
        <v>69</v>
      </c>
      <c r="AJ38" s="378" t="s">
        <v>69</v>
      </c>
    </row>
    <row r="39" spans="1:36" ht="18">
      <c r="A39" s="5">
        <v>38</v>
      </c>
      <c r="B39" s="186" t="s">
        <v>239</v>
      </c>
      <c r="C39" s="410">
        <v>17</v>
      </c>
      <c r="D39" s="7">
        <v>0</v>
      </c>
      <c r="E39" s="7">
        <f t="shared" si="1"/>
        <v>17</v>
      </c>
      <c r="F39" s="131" t="s">
        <v>72</v>
      </c>
      <c r="G39" s="131" t="s">
        <v>72</v>
      </c>
      <c r="H39" s="131" t="s">
        <v>72</v>
      </c>
      <c r="I39" s="131" t="s">
        <v>72</v>
      </c>
      <c r="J39" s="131" t="s">
        <v>72</v>
      </c>
      <c r="K39" s="131" t="s">
        <v>72</v>
      </c>
      <c r="L39" s="388" t="s">
        <v>108</v>
      </c>
      <c r="M39" s="131" t="s">
        <v>72</v>
      </c>
      <c r="N39" s="131" t="s">
        <v>72</v>
      </c>
      <c r="O39" s="131" t="s">
        <v>72</v>
      </c>
      <c r="P39" s="131" t="s">
        <v>72</v>
      </c>
      <c r="Q39" s="131" t="s">
        <v>72</v>
      </c>
      <c r="R39" s="131" t="s">
        <v>72</v>
      </c>
      <c r="S39" s="388" t="s">
        <v>108</v>
      </c>
      <c r="T39" s="131" t="s">
        <v>72</v>
      </c>
      <c r="U39" s="131" t="s">
        <v>72</v>
      </c>
      <c r="V39" s="131" t="s">
        <v>72</v>
      </c>
      <c r="W39" s="378" t="s">
        <v>69</v>
      </c>
      <c r="X39" s="378" t="s">
        <v>69</v>
      </c>
      <c r="Y39" s="378" t="s">
        <v>69</v>
      </c>
      <c r="Z39" s="388" t="s">
        <v>108</v>
      </c>
      <c r="AA39" s="378" t="s">
        <v>69</v>
      </c>
      <c r="AB39" s="378" t="s">
        <v>69</v>
      </c>
      <c r="AC39" s="378" t="s">
        <v>69</v>
      </c>
      <c r="AD39" s="378" t="s">
        <v>69</v>
      </c>
      <c r="AE39" s="378" t="s">
        <v>69</v>
      </c>
      <c r="AF39" s="378" t="s">
        <v>69</v>
      </c>
      <c r="AG39" s="329" t="s">
        <v>108</v>
      </c>
      <c r="AH39" s="378" t="s">
        <v>69</v>
      </c>
      <c r="AI39" s="378" t="s">
        <v>69</v>
      </c>
      <c r="AJ39" s="378" t="s">
        <v>69</v>
      </c>
    </row>
    <row r="40" spans="1:36" ht="18">
      <c r="A40" s="5">
        <v>39</v>
      </c>
      <c r="B40" s="186" t="s">
        <v>143</v>
      </c>
      <c r="C40" s="410">
        <v>2</v>
      </c>
      <c r="D40" s="7">
        <v>1.5</v>
      </c>
      <c r="E40" s="7">
        <f t="shared" si="1"/>
        <v>0.5</v>
      </c>
      <c r="F40" s="120" t="s">
        <v>69</v>
      </c>
      <c r="G40" s="120" t="s">
        <v>69</v>
      </c>
      <c r="H40" s="120" t="s">
        <v>69</v>
      </c>
      <c r="I40" s="120" t="s">
        <v>69</v>
      </c>
      <c r="J40" s="120" t="s">
        <v>69</v>
      </c>
      <c r="K40" s="378" t="s">
        <v>69</v>
      </c>
      <c r="L40" s="388" t="s">
        <v>108</v>
      </c>
      <c r="M40" s="378" t="s">
        <v>69</v>
      </c>
      <c r="N40" s="378" t="s">
        <v>69</v>
      </c>
      <c r="O40" s="378" t="s">
        <v>69</v>
      </c>
      <c r="P40" s="378" t="s">
        <v>69</v>
      </c>
      <c r="Q40" s="378" t="s">
        <v>69</v>
      </c>
      <c r="R40" s="379" t="s">
        <v>72</v>
      </c>
      <c r="S40" s="388" t="s">
        <v>108</v>
      </c>
      <c r="T40" s="379" t="s">
        <v>72</v>
      </c>
      <c r="U40" s="378" t="s">
        <v>69</v>
      </c>
      <c r="V40" s="378" t="s">
        <v>69</v>
      </c>
      <c r="W40" s="378" t="s">
        <v>69</v>
      </c>
      <c r="X40" s="378" t="s">
        <v>69</v>
      </c>
      <c r="Y40" s="378" t="s">
        <v>69</v>
      </c>
      <c r="Z40" s="388" t="s">
        <v>108</v>
      </c>
      <c r="AA40" s="378" t="s">
        <v>69</v>
      </c>
      <c r="AB40" s="378" t="s">
        <v>69</v>
      </c>
      <c r="AC40" s="378" t="s">
        <v>69</v>
      </c>
      <c r="AD40" s="397" t="s">
        <v>175</v>
      </c>
      <c r="AE40" s="378" t="s">
        <v>69</v>
      </c>
      <c r="AF40" s="378" t="s">
        <v>69</v>
      </c>
      <c r="AG40" s="388" t="s">
        <v>108</v>
      </c>
      <c r="AH40" s="378" t="s">
        <v>69</v>
      </c>
      <c r="AI40" s="378" t="s">
        <v>69</v>
      </c>
      <c r="AJ40" s="378" t="s">
        <v>69</v>
      </c>
    </row>
    <row r="41" spans="1:36" ht="18">
      <c r="A41" s="5">
        <v>40</v>
      </c>
      <c r="B41" s="186" t="s">
        <v>225</v>
      </c>
      <c r="C41" s="410">
        <v>4</v>
      </c>
      <c r="D41" s="7">
        <v>1</v>
      </c>
      <c r="E41" s="7">
        <f t="shared" si="1"/>
        <v>3</v>
      </c>
      <c r="F41" s="120" t="s">
        <v>69</v>
      </c>
      <c r="G41" s="120" t="s">
        <v>69</v>
      </c>
      <c r="H41" s="120" t="s">
        <v>69</v>
      </c>
      <c r="I41" s="120" t="s">
        <v>69</v>
      </c>
      <c r="J41" s="120" t="s">
        <v>69</v>
      </c>
      <c r="K41" s="378" t="s">
        <v>69</v>
      </c>
      <c r="L41" s="388" t="s">
        <v>108</v>
      </c>
      <c r="M41" s="378" t="s">
        <v>69</v>
      </c>
      <c r="N41" s="378" t="s">
        <v>69</v>
      </c>
      <c r="O41" s="391" t="s">
        <v>92</v>
      </c>
      <c r="P41" s="378" t="s">
        <v>69</v>
      </c>
      <c r="Q41" s="379" t="s">
        <v>72</v>
      </c>
      <c r="R41" s="378" t="s">
        <v>69</v>
      </c>
      <c r="S41" s="388" t="s">
        <v>108</v>
      </c>
      <c r="T41" s="378" t="s">
        <v>69</v>
      </c>
      <c r="U41" s="378" t="s">
        <v>69</v>
      </c>
      <c r="V41" s="378" t="s">
        <v>69</v>
      </c>
      <c r="W41" s="378" t="s">
        <v>69</v>
      </c>
      <c r="X41" s="378" t="s">
        <v>69</v>
      </c>
      <c r="Y41" s="378" t="s">
        <v>69</v>
      </c>
      <c r="Z41" s="388" t="s">
        <v>108</v>
      </c>
      <c r="AA41" s="378" t="s">
        <v>69</v>
      </c>
      <c r="AB41" s="378" t="s">
        <v>69</v>
      </c>
      <c r="AC41" s="378" t="s">
        <v>69</v>
      </c>
      <c r="AD41" s="379" t="s">
        <v>72</v>
      </c>
      <c r="AE41" s="379" t="s">
        <v>72</v>
      </c>
      <c r="AF41" s="379" t="s">
        <v>72</v>
      </c>
      <c r="AG41" s="329" t="s">
        <v>108</v>
      </c>
      <c r="AH41" s="378" t="s">
        <v>69</v>
      </c>
      <c r="AI41" s="378" t="s">
        <v>69</v>
      </c>
      <c r="AJ41" s="378" t="s">
        <v>69</v>
      </c>
    </row>
    <row r="42" spans="1:36" ht="18">
      <c r="A42" s="5">
        <v>41</v>
      </c>
      <c r="B42" s="254" t="s">
        <v>38</v>
      </c>
      <c r="C42" s="410">
        <v>1</v>
      </c>
      <c r="D42" s="7">
        <v>1</v>
      </c>
      <c r="E42" s="7">
        <f t="shared" si="1"/>
        <v>0</v>
      </c>
      <c r="F42" s="121" t="s">
        <v>72</v>
      </c>
      <c r="G42" s="380" t="s">
        <v>69</v>
      </c>
      <c r="H42" s="380" t="s">
        <v>69</v>
      </c>
      <c r="I42" s="120" t="s">
        <v>69</v>
      </c>
      <c r="J42" s="120" t="s">
        <v>69</v>
      </c>
      <c r="K42" s="378" t="s">
        <v>70</v>
      </c>
      <c r="L42" s="388" t="s">
        <v>108</v>
      </c>
      <c r="M42" s="378" t="s">
        <v>69</v>
      </c>
      <c r="N42" s="378" t="s">
        <v>69</v>
      </c>
      <c r="O42" s="378" t="s">
        <v>69</v>
      </c>
      <c r="P42" s="378" t="s">
        <v>69</v>
      </c>
      <c r="Q42" s="378" t="s">
        <v>69</v>
      </c>
      <c r="R42" s="378" t="s">
        <v>69</v>
      </c>
      <c r="S42" s="388" t="s">
        <v>108</v>
      </c>
      <c r="T42" s="378" t="s">
        <v>69</v>
      </c>
      <c r="U42" s="378" t="s">
        <v>69</v>
      </c>
      <c r="V42" s="378" t="s">
        <v>69</v>
      </c>
      <c r="W42" s="378" t="s">
        <v>69</v>
      </c>
      <c r="X42" s="378" t="s">
        <v>69</v>
      </c>
      <c r="Y42" s="378" t="s">
        <v>69</v>
      </c>
      <c r="Z42" s="388" t="s">
        <v>108</v>
      </c>
      <c r="AA42" s="378" t="s">
        <v>69</v>
      </c>
      <c r="AB42" s="378" t="s">
        <v>69</v>
      </c>
      <c r="AC42" s="378" t="s">
        <v>69</v>
      </c>
      <c r="AD42" s="378" t="s">
        <v>69</v>
      </c>
      <c r="AE42" s="378" t="s">
        <v>69</v>
      </c>
      <c r="AF42" s="378" t="s">
        <v>69</v>
      </c>
      <c r="AG42" s="388" t="s">
        <v>108</v>
      </c>
      <c r="AH42" s="378" t="s">
        <v>69</v>
      </c>
      <c r="AI42" s="378" t="s">
        <v>69</v>
      </c>
      <c r="AJ42" s="378" t="s">
        <v>69</v>
      </c>
    </row>
    <row r="43" spans="1:36" ht="18">
      <c r="A43" s="5">
        <v>42</v>
      </c>
      <c r="B43" s="254" t="s">
        <v>39</v>
      </c>
      <c r="C43" s="410">
        <v>0</v>
      </c>
      <c r="D43" s="7">
        <v>0</v>
      </c>
      <c r="E43" s="7">
        <f t="shared" si="1"/>
        <v>0</v>
      </c>
      <c r="F43" s="120" t="s">
        <v>69</v>
      </c>
      <c r="G43" s="120" t="s">
        <v>69</v>
      </c>
      <c r="H43" s="120" t="s">
        <v>69</v>
      </c>
      <c r="I43" s="120" t="s">
        <v>69</v>
      </c>
      <c r="J43" s="120" t="s">
        <v>69</v>
      </c>
      <c r="K43" s="382" t="s">
        <v>69</v>
      </c>
      <c r="L43" s="388" t="s">
        <v>108</v>
      </c>
      <c r="M43" s="378" t="s">
        <v>69</v>
      </c>
      <c r="N43" s="378" t="s">
        <v>69</v>
      </c>
      <c r="O43" s="378" t="s">
        <v>69</v>
      </c>
      <c r="P43" s="378" t="s">
        <v>69</v>
      </c>
      <c r="Q43" s="378" t="s">
        <v>69</v>
      </c>
      <c r="R43" s="378" t="s">
        <v>69</v>
      </c>
      <c r="S43" s="388" t="s">
        <v>108</v>
      </c>
      <c r="T43" s="378" t="s">
        <v>69</v>
      </c>
      <c r="U43" s="378" t="s">
        <v>69</v>
      </c>
      <c r="V43" s="378" t="s">
        <v>69</v>
      </c>
      <c r="W43" s="378" t="s">
        <v>69</v>
      </c>
      <c r="X43" s="378" t="s">
        <v>69</v>
      </c>
      <c r="Y43" s="378" t="s">
        <v>69</v>
      </c>
      <c r="Z43" s="388" t="s">
        <v>108</v>
      </c>
      <c r="AA43" s="378" t="s">
        <v>69</v>
      </c>
      <c r="AB43" s="378" t="s">
        <v>69</v>
      </c>
      <c r="AC43" s="378" t="s">
        <v>69</v>
      </c>
      <c r="AD43" s="378" t="s">
        <v>69</v>
      </c>
      <c r="AE43" s="378" t="s">
        <v>69</v>
      </c>
      <c r="AF43" s="378" t="s">
        <v>69</v>
      </c>
      <c r="AG43" s="329" t="s">
        <v>108</v>
      </c>
      <c r="AH43" s="378" t="s">
        <v>69</v>
      </c>
      <c r="AI43" s="378" t="s">
        <v>69</v>
      </c>
      <c r="AJ43" s="378" t="s">
        <v>69</v>
      </c>
    </row>
    <row r="44" spans="1:36" ht="18">
      <c r="A44" s="5">
        <v>43</v>
      </c>
      <c r="B44" s="255" t="s">
        <v>240</v>
      </c>
      <c r="C44" s="7">
        <v>5</v>
      </c>
      <c r="D44" s="7">
        <v>0</v>
      </c>
      <c r="E44" s="7">
        <f t="shared" si="1"/>
        <v>5</v>
      </c>
      <c r="F44" s="379" t="s">
        <v>167</v>
      </c>
      <c r="G44" s="379" t="s">
        <v>167</v>
      </c>
      <c r="H44" s="147" t="s">
        <v>74</v>
      </c>
      <c r="I44" s="672" t="s">
        <v>121</v>
      </c>
      <c r="J44" s="672" t="s">
        <v>121</v>
      </c>
      <c r="K44" s="672" t="s">
        <v>121</v>
      </c>
      <c r="L44" s="388" t="s">
        <v>108</v>
      </c>
      <c r="M44" s="378" t="s">
        <v>69</v>
      </c>
      <c r="N44" s="378" t="s">
        <v>151</v>
      </c>
      <c r="O44" s="378" t="s">
        <v>151</v>
      </c>
      <c r="P44" s="378" t="s">
        <v>151</v>
      </c>
      <c r="Q44" s="378" t="s">
        <v>69</v>
      </c>
      <c r="R44" s="378" t="s">
        <v>151</v>
      </c>
      <c r="S44" s="388" t="s">
        <v>108</v>
      </c>
      <c r="T44" s="382" t="s">
        <v>92</v>
      </c>
      <c r="U44" s="394" t="s">
        <v>69</v>
      </c>
      <c r="V44" s="394" t="s">
        <v>69</v>
      </c>
      <c r="W44" s="379" t="s">
        <v>151</v>
      </c>
      <c r="X44" s="378" t="s">
        <v>69</v>
      </c>
      <c r="Y44" s="393" t="s">
        <v>151</v>
      </c>
      <c r="Z44" s="388" t="s">
        <v>108</v>
      </c>
      <c r="AA44" s="382"/>
      <c r="AB44" s="378" t="s">
        <v>69</v>
      </c>
      <c r="AC44" s="378" t="s">
        <v>69</v>
      </c>
      <c r="AD44" s="379" t="s">
        <v>72</v>
      </c>
      <c r="AE44" s="378" t="s">
        <v>69</v>
      </c>
      <c r="AF44" s="379" t="s">
        <v>76</v>
      </c>
      <c r="AG44" s="388" t="s">
        <v>108</v>
      </c>
      <c r="AH44" s="379" t="s">
        <v>76</v>
      </c>
      <c r="AI44" s="379" t="s">
        <v>76</v>
      </c>
      <c r="AJ44" s="379" t="s">
        <v>76</v>
      </c>
    </row>
    <row r="45" spans="1:36" ht="18">
      <c r="A45" s="5">
        <v>44</v>
      </c>
      <c r="B45" s="254" t="s">
        <v>40</v>
      </c>
      <c r="C45" s="410">
        <v>1</v>
      </c>
      <c r="D45" s="7">
        <v>1</v>
      </c>
      <c r="E45" s="7">
        <f t="shared" si="1"/>
        <v>0</v>
      </c>
      <c r="F45" s="120" t="s">
        <v>69</v>
      </c>
      <c r="G45" s="120" t="s">
        <v>69</v>
      </c>
      <c r="H45" s="120" t="s">
        <v>69</v>
      </c>
      <c r="I45" s="120" t="s">
        <v>69</v>
      </c>
      <c r="J45" s="120" t="s">
        <v>69</v>
      </c>
      <c r="K45" s="393" t="s">
        <v>200</v>
      </c>
      <c r="L45" s="388" t="s">
        <v>108</v>
      </c>
      <c r="M45" s="378" t="s">
        <v>69</v>
      </c>
      <c r="N45" s="378" t="s">
        <v>69</v>
      </c>
      <c r="O45" s="378" t="s">
        <v>69</v>
      </c>
      <c r="P45" s="378" t="s">
        <v>69</v>
      </c>
      <c r="Q45" s="378" t="s">
        <v>69</v>
      </c>
      <c r="R45" s="378" t="s">
        <v>69</v>
      </c>
      <c r="S45" s="388" t="s">
        <v>108</v>
      </c>
      <c r="T45" s="378" t="s">
        <v>69</v>
      </c>
      <c r="U45" s="379" t="s">
        <v>72</v>
      </c>
      <c r="V45" s="378" t="s">
        <v>69</v>
      </c>
      <c r="W45" s="378" t="s">
        <v>69</v>
      </c>
      <c r="X45" s="378" t="s">
        <v>69</v>
      </c>
      <c r="Y45" s="378" t="s">
        <v>69</v>
      </c>
      <c r="Z45" s="388" t="s">
        <v>108</v>
      </c>
      <c r="AA45" s="378" t="s">
        <v>69</v>
      </c>
      <c r="AB45" s="378" t="s">
        <v>69</v>
      </c>
      <c r="AC45" s="378" t="s">
        <v>69</v>
      </c>
      <c r="AD45" s="378" t="s">
        <v>69</v>
      </c>
      <c r="AE45" s="378" t="s">
        <v>69</v>
      </c>
      <c r="AF45" s="378" t="s">
        <v>69</v>
      </c>
      <c r="AG45" s="329" t="s">
        <v>108</v>
      </c>
      <c r="AH45" s="378" t="s">
        <v>69</v>
      </c>
      <c r="AI45" s="378" t="s">
        <v>69</v>
      </c>
      <c r="AJ45" s="378" t="s">
        <v>69</v>
      </c>
    </row>
    <row r="46" spans="1:36" ht="18">
      <c r="A46" s="5">
        <v>45</v>
      </c>
      <c r="B46" s="359" t="s">
        <v>227</v>
      </c>
      <c r="C46" s="410">
        <v>2</v>
      </c>
      <c r="D46" s="7">
        <v>1</v>
      </c>
      <c r="E46" s="7">
        <f t="shared" si="1"/>
        <v>1</v>
      </c>
      <c r="F46" s="120" t="s">
        <v>69</v>
      </c>
      <c r="G46" s="120" t="s">
        <v>69</v>
      </c>
      <c r="H46" s="120" t="s">
        <v>69</v>
      </c>
      <c r="I46" s="120" t="s">
        <v>69</v>
      </c>
      <c r="J46" s="120" t="s">
        <v>69</v>
      </c>
      <c r="K46" s="382" t="s">
        <v>69</v>
      </c>
      <c r="L46" s="388" t="s">
        <v>108</v>
      </c>
      <c r="M46" s="378" t="s">
        <v>69</v>
      </c>
      <c r="N46" s="378" t="s">
        <v>69</v>
      </c>
      <c r="O46" s="378" t="s">
        <v>69</v>
      </c>
      <c r="P46" s="378" t="s">
        <v>69</v>
      </c>
      <c r="Q46" s="378" t="s">
        <v>69</v>
      </c>
      <c r="R46" s="378" t="s">
        <v>69</v>
      </c>
      <c r="S46" s="388" t="s">
        <v>108</v>
      </c>
      <c r="T46" s="379" t="s">
        <v>72</v>
      </c>
      <c r="U46" s="380" t="s">
        <v>69</v>
      </c>
      <c r="V46" s="380" t="s">
        <v>69</v>
      </c>
      <c r="W46" s="380" t="s">
        <v>69</v>
      </c>
      <c r="X46" s="380" t="s">
        <v>69</v>
      </c>
      <c r="Y46" s="378" t="s">
        <v>69</v>
      </c>
      <c r="Z46" s="388" t="s">
        <v>108</v>
      </c>
      <c r="AA46" s="378" t="s">
        <v>69</v>
      </c>
      <c r="AB46" s="378" t="s">
        <v>69</v>
      </c>
      <c r="AC46" s="378" t="s">
        <v>69</v>
      </c>
      <c r="AD46" s="378" t="s">
        <v>69</v>
      </c>
      <c r="AE46" s="378" t="s">
        <v>69</v>
      </c>
      <c r="AF46" s="379" t="s">
        <v>72</v>
      </c>
      <c r="AG46" s="388" t="s">
        <v>108</v>
      </c>
      <c r="AH46" s="378" t="s">
        <v>69</v>
      </c>
      <c r="AI46" s="378" t="s">
        <v>69</v>
      </c>
      <c r="AJ46" s="378" t="s">
        <v>69</v>
      </c>
    </row>
    <row r="47" spans="1:36" ht="18">
      <c r="A47" s="5">
        <v>46</v>
      </c>
      <c r="B47" s="186" t="s">
        <v>41</v>
      </c>
      <c r="C47" s="410">
        <v>1</v>
      </c>
      <c r="D47" s="7">
        <v>1</v>
      </c>
      <c r="E47" s="7">
        <f t="shared" si="1"/>
        <v>0</v>
      </c>
      <c r="F47" s="120" t="s">
        <v>69</v>
      </c>
      <c r="G47" s="120" t="s">
        <v>69</v>
      </c>
      <c r="H47" s="120" t="s">
        <v>69</v>
      </c>
      <c r="I47" s="120" t="s">
        <v>69</v>
      </c>
      <c r="J47" s="120" t="s">
        <v>69</v>
      </c>
      <c r="K47" s="390" t="s">
        <v>72</v>
      </c>
      <c r="L47" s="388" t="s">
        <v>108</v>
      </c>
      <c r="M47" s="378" t="s">
        <v>69</v>
      </c>
      <c r="N47" s="378" t="s">
        <v>69</v>
      </c>
      <c r="O47" s="378" t="s">
        <v>69</v>
      </c>
      <c r="P47" s="378" t="s">
        <v>69</v>
      </c>
      <c r="Q47" s="378" t="s">
        <v>69</v>
      </c>
      <c r="R47" s="378" t="s">
        <v>69</v>
      </c>
      <c r="S47" s="388" t="s">
        <v>108</v>
      </c>
      <c r="T47" s="378" t="s">
        <v>69</v>
      </c>
      <c r="U47" s="378" t="s">
        <v>69</v>
      </c>
      <c r="V47" s="378" t="s">
        <v>69</v>
      </c>
      <c r="W47" s="378" t="s">
        <v>69</v>
      </c>
      <c r="X47" s="378" t="s">
        <v>69</v>
      </c>
      <c r="Y47" s="378" t="s">
        <v>69</v>
      </c>
      <c r="Z47" s="388" t="s">
        <v>108</v>
      </c>
      <c r="AA47" s="378" t="s">
        <v>69</v>
      </c>
      <c r="AB47" s="378" t="s">
        <v>69</v>
      </c>
      <c r="AC47" s="378" t="s">
        <v>69</v>
      </c>
      <c r="AD47" s="397" t="s">
        <v>175</v>
      </c>
      <c r="AE47" s="378" t="s">
        <v>69</v>
      </c>
      <c r="AF47" s="378" t="s">
        <v>69</v>
      </c>
      <c r="AG47" s="329" t="s">
        <v>108</v>
      </c>
      <c r="AH47" s="378" t="s">
        <v>69</v>
      </c>
      <c r="AI47" s="378" t="s">
        <v>69</v>
      </c>
      <c r="AJ47" s="378" t="s">
        <v>69</v>
      </c>
    </row>
    <row r="48" spans="1:36" ht="18">
      <c r="A48" s="5">
        <v>47</v>
      </c>
      <c r="B48" s="186" t="s">
        <v>241</v>
      </c>
      <c r="C48" s="410">
        <v>3</v>
      </c>
      <c r="D48" s="7">
        <v>0</v>
      </c>
      <c r="E48" s="7">
        <f t="shared" si="1"/>
        <v>3</v>
      </c>
      <c r="F48" s="121" t="s">
        <v>72</v>
      </c>
      <c r="G48" s="121" t="s">
        <v>72</v>
      </c>
      <c r="H48" s="120" t="s">
        <v>69</v>
      </c>
      <c r="I48" s="120" t="s">
        <v>69</v>
      </c>
      <c r="J48" s="120" t="s">
        <v>69</v>
      </c>
      <c r="K48" s="382" t="s">
        <v>69</v>
      </c>
      <c r="L48" s="388" t="s">
        <v>108</v>
      </c>
      <c r="M48" s="378" t="s">
        <v>69</v>
      </c>
      <c r="N48" s="378" t="s">
        <v>69</v>
      </c>
      <c r="O48" s="378" t="s">
        <v>69</v>
      </c>
      <c r="P48" s="378" t="s">
        <v>69</v>
      </c>
      <c r="Q48" s="378" t="s">
        <v>69</v>
      </c>
      <c r="R48" s="378" t="s">
        <v>69</v>
      </c>
      <c r="S48" s="388" t="s">
        <v>108</v>
      </c>
      <c r="T48" s="378" t="s">
        <v>69</v>
      </c>
      <c r="U48" s="378" t="s">
        <v>69</v>
      </c>
      <c r="V48" s="378" t="s">
        <v>69</v>
      </c>
      <c r="W48" s="378" t="s">
        <v>69</v>
      </c>
      <c r="X48" s="378" t="s">
        <v>69</v>
      </c>
      <c r="Y48" s="378" t="s">
        <v>69</v>
      </c>
      <c r="Z48" s="388" t="s">
        <v>108</v>
      </c>
      <c r="AA48" s="378" t="s">
        <v>69</v>
      </c>
      <c r="AB48" s="378" t="s">
        <v>69</v>
      </c>
      <c r="AC48" s="378" t="s">
        <v>69</v>
      </c>
      <c r="AD48" s="378" t="s">
        <v>69</v>
      </c>
      <c r="AE48" s="378" t="s">
        <v>69</v>
      </c>
      <c r="AF48" s="379" t="s">
        <v>72</v>
      </c>
      <c r="AG48" s="388" t="s">
        <v>108</v>
      </c>
      <c r="AH48" s="378" t="s">
        <v>69</v>
      </c>
      <c r="AI48" s="378" t="s">
        <v>69</v>
      </c>
      <c r="AJ48" s="378" t="s">
        <v>69</v>
      </c>
    </row>
    <row r="49" spans="1:37" ht="18">
      <c r="A49" s="5">
        <v>48</v>
      </c>
      <c r="B49" s="186" t="s">
        <v>228</v>
      </c>
      <c r="C49" s="7">
        <v>2</v>
      </c>
      <c r="D49" s="7">
        <v>2</v>
      </c>
      <c r="E49" s="7">
        <f t="shared" si="1"/>
        <v>0</v>
      </c>
      <c r="F49" s="121" t="s">
        <v>72</v>
      </c>
      <c r="G49" s="380" t="s">
        <v>69</v>
      </c>
      <c r="H49" s="380" t="s">
        <v>69</v>
      </c>
      <c r="I49" s="120" t="s">
        <v>69</v>
      </c>
      <c r="J49" s="120" t="s">
        <v>69</v>
      </c>
      <c r="K49" s="382" t="s">
        <v>69</v>
      </c>
      <c r="L49" s="388" t="s">
        <v>108</v>
      </c>
      <c r="M49" s="378" t="s">
        <v>69</v>
      </c>
      <c r="N49" s="378" t="s">
        <v>69</v>
      </c>
      <c r="O49" s="378" t="s">
        <v>69</v>
      </c>
      <c r="P49" s="378" t="s">
        <v>69</v>
      </c>
      <c r="Q49" s="378" t="s">
        <v>69</v>
      </c>
      <c r="R49" s="379" t="s">
        <v>72</v>
      </c>
      <c r="S49" s="388" t="s">
        <v>108</v>
      </c>
      <c r="T49" s="378" t="s">
        <v>69</v>
      </c>
      <c r="U49" s="378" t="s">
        <v>69</v>
      </c>
      <c r="V49" s="378" t="s">
        <v>69</v>
      </c>
      <c r="W49" s="378" t="s">
        <v>69</v>
      </c>
      <c r="X49" s="378" t="s">
        <v>69</v>
      </c>
      <c r="Y49" s="378" t="s">
        <v>69</v>
      </c>
      <c r="Z49" s="388" t="s">
        <v>108</v>
      </c>
      <c r="AA49" s="378" t="s">
        <v>69</v>
      </c>
      <c r="AB49" s="378" t="s">
        <v>69</v>
      </c>
      <c r="AC49" s="378" t="s">
        <v>69</v>
      </c>
      <c r="AD49" s="378" t="s">
        <v>69</v>
      </c>
      <c r="AE49" s="378" t="s">
        <v>69</v>
      </c>
      <c r="AF49" s="378" t="s">
        <v>69</v>
      </c>
      <c r="AG49" s="329" t="s">
        <v>108</v>
      </c>
      <c r="AH49" s="378" t="s">
        <v>69</v>
      </c>
      <c r="AI49" s="378" t="s">
        <v>69</v>
      </c>
      <c r="AJ49" s="378" t="s">
        <v>69</v>
      </c>
    </row>
    <row r="50" spans="1:37" ht="18">
      <c r="A50" s="5">
        <v>49</v>
      </c>
      <c r="B50" s="254" t="s">
        <v>42</v>
      </c>
      <c r="C50" s="7">
        <v>3</v>
      </c>
      <c r="D50" s="7">
        <v>3</v>
      </c>
      <c r="E50" s="7">
        <f t="shared" si="1"/>
        <v>0</v>
      </c>
      <c r="F50" s="120"/>
      <c r="G50" s="378" t="s">
        <v>69</v>
      </c>
      <c r="H50" s="378" t="s">
        <v>69</v>
      </c>
      <c r="I50" s="120" t="s">
        <v>69</v>
      </c>
      <c r="J50" s="120" t="s">
        <v>69</v>
      </c>
      <c r="K50" s="382" t="s">
        <v>69</v>
      </c>
      <c r="L50" s="388" t="s">
        <v>108</v>
      </c>
      <c r="M50" s="379" t="s">
        <v>72</v>
      </c>
      <c r="N50" s="378" t="s">
        <v>69</v>
      </c>
      <c r="O50" s="378" t="s">
        <v>69</v>
      </c>
      <c r="P50" s="378" t="s">
        <v>69</v>
      </c>
      <c r="Q50" s="378" t="s">
        <v>69</v>
      </c>
      <c r="R50" s="378" t="s">
        <v>69</v>
      </c>
      <c r="S50" s="388" t="s">
        <v>108</v>
      </c>
      <c r="T50" s="378" t="s">
        <v>69</v>
      </c>
      <c r="U50" s="378" t="s">
        <v>69</v>
      </c>
      <c r="V50" s="378" t="s">
        <v>69</v>
      </c>
      <c r="W50" s="378" t="s">
        <v>69</v>
      </c>
      <c r="X50" s="378" t="s">
        <v>69</v>
      </c>
      <c r="Y50" s="378" t="s">
        <v>69</v>
      </c>
      <c r="Z50" s="388" t="s">
        <v>108</v>
      </c>
      <c r="AA50" s="378" t="s">
        <v>69</v>
      </c>
      <c r="AB50" s="379" t="s">
        <v>72</v>
      </c>
      <c r="AC50" s="378" t="s">
        <v>69</v>
      </c>
      <c r="AD50" s="397" t="s">
        <v>175</v>
      </c>
      <c r="AE50" s="378" t="s">
        <v>69</v>
      </c>
      <c r="AF50" s="378" t="s">
        <v>69</v>
      </c>
      <c r="AG50" s="388" t="s">
        <v>108</v>
      </c>
      <c r="AH50" s="378" t="s">
        <v>69</v>
      </c>
      <c r="AI50" s="378" t="s">
        <v>69</v>
      </c>
      <c r="AJ50" s="378" t="s">
        <v>69</v>
      </c>
    </row>
    <row r="51" spans="1:37" ht="18">
      <c r="A51" s="5">
        <v>50</v>
      </c>
      <c r="B51" s="254" t="s">
        <v>229</v>
      </c>
      <c r="C51" s="410">
        <v>0</v>
      </c>
      <c r="D51" s="7">
        <v>0</v>
      </c>
      <c r="E51" s="7">
        <f t="shared" si="1"/>
        <v>0</v>
      </c>
      <c r="F51" s="120" t="s">
        <v>69</v>
      </c>
      <c r="G51" s="120" t="s">
        <v>69</v>
      </c>
      <c r="H51" s="120" t="s">
        <v>69</v>
      </c>
      <c r="I51" s="120" t="s">
        <v>69</v>
      </c>
      <c r="J51" s="120" t="s">
        <v>69</v>
      </c>
      <c r="K51" s="120" t="s">
        <v>69</v>
      </c>
      <c r="L51" s="388" t="s">
        <v>108</v>
      </c>
      <c r="M51" s="120" t="s">
        <v>69</v>
      </c>
      <c r="N51" s="120" t="s">
        <v>69</v>
      </c>
      <c r="O51" s="120" t="s">
        <v>69</v>
      </c>
      <c r="P51" s="120" t="s">
        <v>69</v>
      </c>
      <c r="Q51" s="120" t="s">
        <v>69</v>
      </c>
      <c r="R51" s="120" t="s">
        <v>69</v>
      </c>
      <c r="S51" s="388" t="s">
        <v>108</v>
      </c>
      <c r="T51" s="378" t="s">
        <v>69</v>
      </c>
      <c r="U51" s="378" t="s">
        <v>69</v>
      </c>
      <c r="V51" s="378" t="s">
        <v>69</v>
      </c>
      <c r="W51" s="378" t="s">
        <v>69</v>
      </c>
      <c r="X51" s="378" t="s">
        <v>69</v>
      </c>
      <c r="Y51" s="378" t="s">
        <v>69</v>
      </c>
      <c r="Z51" s="388" t="s">
        <v>108</v>
      </c>
      <c r="AA51" s="378" t="s">
        <v>69</v>
      </c>
      <c r="AB51" s="378" t="s">
        <v>69</v>
      </c>
      <c r="AC51" s="378" t="s">
        <v>69</v>
      </c>
      <c r="AD51" s="378" t="s">
        <v>69</v>
      </c>
      <c r="AE51" s="378" t="s">
        <v>69</v>
      </c>
      <c r="AF51" s="378" t="s">
        <v>69</v>
      </c>
      <c r="AG51" s="329" t="s">
        <v>108</v>
      </c>
      <c r="AH51" s="120" t="s">
        <v>69</v>
      </c>
      <c r="AI51" s="120" t="s">
        <v>69</v>
      </c>
      <c r="AJ51" s="120" t="s">
        <v>69</v>
      </c>
    </row>
    <row r="52" spans="1:37" ht="18">
      <c r="A52" s="5">
        <v>51</v>
      </c>
      <c r="B52" s="254" t="s">
        <v>230</v>
      </c>
      <c r="C52" s="410">
        <v>1</v>
      </c>
      <c r="D52" s="7">
        <v>1</v>
      </c>
      <c r="E52" s="7">
        <f t="shared" si="1"/>
        <v>0</v>
      </c>
      <c r="F52" s="120" t="s">
        <v>69</v>
      </c>
      <c r="G52" s="120" t="s">
        <v>69</v>
      </c>
      <c r="H52" s="120" t="s">
        <v>69</v>
      </c>
      <c r="I52" s="120" t="s">
        <v>69</v>
      </c>
      <c r="J52" s="120" t="s">
        <v>69</v>
      </c>
      <c r="K52" s="390" t="s">
        <v>72</v>
      </c>
      <c r="L52" s="388" t="s">
        <v>108</v>
      </c>
      <c r="M52" s="120" t="s">
        <v>69</v>
      </c>
      <c r="N52" s="120" t="s">
        <v>69</v>
      </c>
      <c r="O52" s="120" t="s">
        <v>69</v>
      </c>
      <c r="P52" s="120" t="s">
        <v>69</v>
      </c>
      <c r="Q52" s="120" t="s">
        <v>69</v>
      </c>
      <c r="R52" s="120" t="s">
        <v>69</v>
      </c>
      <c r="S52" s="388" t="s">
        <v>108</v>
      </c>
      <c r="T52" s="378" t="s">
        <v>69</v>
      </c>
      <c r="U52" s="378" t="s">
        <v>69</v>
      </c>
      <c r="V52" s="378" t="s">
        <v>69</v>
      </c>
      <c r="W52" s="378" t="s">
        <v>69</v>
      </c>
      <c r="X52" s="378" t="s">
        <v>69</v>
      </c>
      <c r="Y52" s="378" t="s">
        <v>69</v>
      </c>
      <c r="Z52" s="388" t="s">
        <v>108</v>
      </c>
      <c r="AA52" s="378" t="s">
        <v>69</v>
      </c>
      <c r="AB52" s="378" t="s">
        <v>69</v>
      </c>
      <c r="AC52" s="378" t="s">
        <v>69</v>
      </c>
      <c r="AD52" s="378" t="s">
        <v>69</v>
      </c>
      <c r="AE52" s="378" t="s">
        <v>69</v>
      </c>
      <c r="AF52" s="378" t="s">
        <v>69</v>
      </c>
      <c r="AG52" s="388" t="s">
        <v>108</v>
      </c>
      <c r="AH52" s="120" t="s">
        <v>69</v>
      </c>
      <c r="AI52" s="120" t="s">
        <v>69</v>
      </c>
      <c r="AJ52" s="120" t="s">
        <v>69</v>
      </c>
    </row>
    <row r="53" spans="1:37" ht="18">
      <c r="A53" s="5">
        <v>52</v>
      </c>
      <c r="B53" s="186" t="s">
        <v>161</v>
      </c>
      <c r="C53" s="410">
        <v>3</v>
      </c>
      <c r="D53" s="7">
        <v>1</v>
      </c>
      <c r="E53" s="7">
        <f t="shared" si="1"/>
        <v>2</v>
      </c>
      <c r="F53" s="120" t="s">
        <v>69</v>
      </c>
      <c r="G53" s="120" t="s">
        <v>69</v>
      </c>
      <c r="H53" s="120" t="s">
        <v>69</v>
      </c>
      <c r="I53" s="120" t="s">
        <v>69</v>
      </c>
      <c r="J53" s="120" t="s">
        <v>69</v>
      </c>
      <c r="K53" s="120" t="s">
        <v>69</v>
      </c>
      <c r="L53" s="388" t="s">
        <v>108</v>
      </c>
      <c r="M53" s="120" t="s">
        <v>69</v>
      </c>
      <c r="N53" s="120" t="s">
        <v>69</v>
      </c>
      <c r="O53" s="120" t="s">
        <v>69</v>
      </c>
      <c r="P53" s="120" t="s">
        <v>69</v>
      </c>
      <c r="Q53" s="120" t="s">
        <v>69</v>
      </c>
      <c r="R53" s="120" t="s">
        <v>69</v>
      </c>
      <c r="S53" s="388" t="s">
        <v>108</v>
      </c>
      <c r="T53" s="378" t="s">
        <v>69</v>
      </c>
      <c r="U53" s="378" t="s">
        <v>69</v>
      </c>
      <c r="V53" s="378" t="s">
        <v>69</v>
      </c>
      <c r="W53" s="378" t="s">
        <v>69</v>
      </c>
      <c r="X53" s="379" t="s">
        <v>72</v>
      </c>
      <c r="Y53" s="378" t="s">
        <v>69</v>
      </c>
      <c r="Z53" s="388" t="s">
        <v>108</v>
      </c>
      <c r="AA53" s="378" t="s">
        <v>69</v>
      </c>
      <c r="AB53" s="378" t="s">
        <v>69</v>
      </c>
      <c r="AC53" s="378" t="s">
        <v>69</v>
      </c>
      <c r="AD53" s="400" t="s">
        <v>175</v>
      </c>
      <c r="AE53" s="131" t="s">
        <v>72</v>
      </c>
      <c r="AF53" s="131" t="s">
        <v>72</v>
      </c>
      <c r="AG53" s="329" t="s">
        <v>108</v>
      </c>
      <c r="AH53" s="120" t="s">
        <v>69</v>
      </c>
      <c r="AI53" s="120" t="s">
        <v>69</v>
      </c>
      <c r="AJ53" s="120" t="s">
        <v>69</v>
      </c>
    </row>
    <row r="54" spans="1:37" ht="18">
      <c r="A54" s="5">
        <v>53</v>
      </c>
      <c r="B54" s="257" t="s">
        <v>242</v>
      </c>
      <c r="C54" s="7">
        <v>24</v>
      </c>
      <c r="D54" s="7"/>
      <c r="E54" s="7">
        <f t="shared" si="1"/>
        <v>24</v>
      </c>
      <c r="F54" s="131" t="s">
        <v>72</v>
      </c>
      <c r="G54" s="131" t="s">
        <v>72</v>
      </c>
      <c r="H54" s="120" t="s">
        <v>69</v>
      </c>
      <c r="I54" s="120" t="s">
        <v>69</v>
      </c>
      <c r="J54" s="120" t="s">
        <v>69</v>
      </c>
      <c r="K54" s="120" t="s">
        <v>69</v>
      </c>
      <c r="L54" s="388" t="s">
        <v>108</v>
      </c>
      <c r="M54" s="120" t="s">
        <v>69</v>
      </c>
      <c r="N54" s="379" t="s">
        <v>72</v>
      </c>
      <c r="O54" s="379" t="s">
        <v>72</v>
      </c>
      <c r="P54" s="120" t="s">
        <v>69</v>
      </c>
      <c r="Q54" s="121" t="s">
        <v>72</v>
      </c>
      <c r="R54" s="131" t="s">
        <v>72</v>
      </c>
      <c r="S54" s="388" t="s">
        <v>108</v>
      </c>
      <c r="T54" s="131" t="s">
        <v>72</v>
      </c>
      <c r="U54" s="131" t="s">
        <v>72</v>
      </c>
      <c r="V54" s="131" t="s">
        <v>72</v>
      </c>
      <c r="W54" s="131" t="s">
        <v>72</v>
      </c>
      <c r="X54" s="131" t="s">
        <v>72</v>
      </c>
      <c r="Y54" s="131" t="s">
        <v>72</v>
      </c>
      <c r="Z54" s="388" t="s">
        <v>108</v>
      </c>
      <c r="AA54" s="131" t="s">
        <v>72</v>
      </c>
      <c r="AB54" s="131" t="s">
        <v>72</v>
      </c>
      <c r="AC54" s="121" t="s">
        <v>76</v>
      </c>
      <c r="AD54" s="121" t="s">
        <v>76</v>
      </c>
      <c r="AE54" s="121" t="s">
        <v>76</v>
      </c>
      <c r="AF54" s="121" t="s">
        <v>76</v>
      </c>
      <c r="AG54" s="388" t="s">
        <v>108</v>
      </c>
      <c r="AH54" s="121" t="s">
        <v>76</v>
      </c>
      <c r="AI54" s="153" t="s">
        <v>76</v>
      </c>
      <c r="AJ54" s="121" t="s">
        <v>76</v>
      </c>
    </row>
    <row r="55" spans="1:37" ht="18">
      <c r="A55" s="5">
        <v>54</v>
      </c>
      <c r="B55" s="254" t="s">
        <v>47</v>
      </c>
      <c r="C55" s="410">
        <v>4.5</v>
      </c>
      <c r="D55" s="7">
        <v>4.5</v>
      </c>
      <c r="E55" s="7">
        <f t="shared" si="1"/>
        <v>0</v>
      </c>
      <c r="F55" s="120" t="s">
        <v>69</v>
      </c>
      <c r="G55" s="120" t="s">
        <v>69</v>
      </c>
      <c r="H55" s="130" t="s">
        <v>74</v>
      </c>
      <c r="I55" s="120" t="s">
        <v>69</v>
      </c>
      <c r="J55" s="120" t="s">
        <v>69</v>
      </c>
      <c r="K55" s="120" t="s">
        <v>69</v>
      </c>
      <c r="L55" s="388" t="s">
        <v>108</v>
      </c>
      <c r="M55" s="120" t="s">
        <v>69</v>
      </c>
      <c r="N55" s="120" t="s">
        <v>69</v>
      </c>
      <c r="O55" s="120" t="s">
        <v>69</v>
      </c>
      <c r="P55" s="120" t="s">
        <v>69</v>
      </c>
      <c r="Q55" s="120" t="s">
        <v>69</v>
      </c>
      <c r="R55" s="120" t="s">
        <v>69</v>
      </c>
      <c r="S55" s="388" t="s">
        <v>108</v>
      </c>
      <c r="T55" s="121" t="s">
        <v>72</v>
      </c>
      <c r="U55" s="394" t="s">
        <v>69</v>
      </c>
      <c r="V55" s="394" t="s">
        <v>69</v>
      </c>
      <c r="W55" s="394" t="s">
        <v>69</v>
      </c>
      <c r="X55" s="394" t="s">
        <v>69</v>
      </c>
      <c r="Y55" s="394" t="s">
        <v>69</v>
      </c>
      <c r="Z55" s="388" t="s">
        <v>108</v>
      </c>
      <c r="AA55" s="120" t="s">
        <v>69</v>
      </c>
      <c r="AB55" s="380" t="s">
        <v>69</v>
      </c>
      <c r="AC55" s="380" t="s">
        <v>69</v>
      </c>
      <c r="AD55" s="400" t="s">
        <v>175</v>
      </c>
      <c r="AE55" s="120" t="s">
        <v>69</v>
      </c>
      <c r="AF55" s="132" t="s">
        <v>94</v>
      </c>
      <c r="AG55" s="329" t="s">
        <v>108</v>
      </c>
      <c r="AH55" s="121" t="s">
        <v>72</v>
      </c>
      <c r="AI55" s="121" t="s">
        <v>72</v>
      </c>
      <c r="AJ55" s="121" t="s">
        <v>72</v>
      </c>
    </row>
    <row r="56" spans="1:37" ht="18">
      <c r="A56" s="5">
        <v>55</v>
      </c>
      <c r="B56" s="255" t="s">
        <v>243</v>
      </c>
      <c r="C56" s="410">
        <v>22</v>
      </c>
      <c r="D56" s="7"/>
      <c r="E56" s="7">
        <f t="shared" si="1"/>
        <v>22</v>
      </c>
      <c r="F56" s="134" t="s">
        <v>69</v>
      </c>
      <c r="G56" s="379" t="s">
        <v>72</v>
      </c>
      <c r="H56" s="379" t="s">
        <v>72</v>
      </c>
      <c r="I56" s="379" t="s">
        <v>72</v>
      </c>
      <c r="J56" s="120" t="s">
        <v>69</v>
      </c>
      <c r="K56" s="120" t="s">
        <v>69</v>
      </c>
      <c r="L56" s="388" t="s">
        <v>108</v>
      </c>
      <c r="M56" s="120" t="s">
        <v>69</v>
      </c>
      <c r="N56" s="120" t="s">
        <v>69</v>
      </c>
      <c r="O56" s="121" t="s">
        <v>72</v>
      </c>
      <c r="P56" s="131" t="s">
        <v>76</v>
      </c>
      <c r="Q56" s="131" t="s">
        <v>76</v>
      </c>
      <c r="R56" s="131" t="s">
        <v>76</v>
      </c>
      <c r="S56" s="388" t="s">
        <v>108</v>
      </c>
      <c r="T56" s="131" t="s">
        <v>76</v>
      </c>
      <c r="U56" s="131" t="s">
        <v>76</v>
      </c>
      <c r="V56" s="131" t="s">
        <v>76</v>
      </c>
      <c r="W56" s="131" t="s">
        <v>76</v>
      </c>
      <c r="X56" s="131" t="s">
        <v>76</v>
      </c>
      <c r="Y56" s="131" t="s">
        <v>76</v>
      </c>
      <c r="Z56" s="388" t="s">
        <v>108</v>
      </c>
      <c r="AA56" s="131" t="s">
        <v>76</v>
      </c>
      <c r="AB56" s="131" t="s">
        <v>76</v>
      </c>
      <c r="AC56" s="131" t="s">
        <v>76</v>
      </c>
      <c r="AD56" s="131" t="s">
        <v>76</v>
      </c>
      <c r="AE56" s="131" t="s">
        <v>76</v>
      </c>
      <c r="AF56" s="131" t="s">
        <v>76</v>
      </c>
      <c r="AG56" s="388" t="s">
        <v>108</v>
      </c>
      <c r="AH56" s="131" t="s">
        <v>76</v>
      </c>
      <c r="AI56" s="152" t="s">
        <v>76</v>
      </c>
      <c r="AJ56" s="131" t="s">
        <v>76</v>
      </c>
    </row>
    <row r="57" spans="1:37" ht="18">
      <c r="A57" s="5">
        <v>56</v>
      </c>
      <c r="B57" s="254" t="s">
        <v>49</v>
      </c>
      <c r="C57" s="410">
        <v>2</v>
      </c>
      <c r="D57" s="7">
        <v>2</v>
      </c>
      <c r="E57" s="7">
        <f t="shared" si="1"/>
        <v>0</v>
      </c>
      <c r="F57" s="120" t="s">
        <v>69</v>
      </c>
      <c r="G57" s="120" t="s">
        <v>69</v>
      </c>
      <c r="H57" s="120" t="s">
        <v>69</v>
      </c>
      <c r="I57" s="120" t="s">
        <v>69</v>
      </c>
      <c r="J57" s="120" t="s">
        <v>69</v>
      </c>
      <c r="K57" s="134" t="s">
        <v>178</v>
      </c>
      <c r="L57" s="388" t="s">
        <v>108</v>
      </c>
      <c r="M57" s="120" t="s">
        <v>69</v>
      </c>
      <c r="N57" s="120" t="s">
        <v>69</v>
      </c>
      <c r="O57" s="120" t="s">
        <v>69</v>
      </c>
      <c r="P57" s="120" t="s">
        <v>69</v>
      </c>
      <c r="Q57" s="120" t="s">
        <v>69</v>
      </c>
      <c r="R57" s="120" t="s">
        <v>69</v>
      </c>
      <c r="S57" s="388" t="s">
        <v>108</v>
      </c>
      <c r="T57" s="120" t="s">
        <v>69</v>
      </c>
      <c r="U57" s="379" t="s">
        <v>72</v>
      </c>
      <c r="V57" s="121" t="s">
        <v>72</v>
      </c>
      <c r="W57" s="120" t="s">
        <v>69</v>
      </c>
      <c r="X57" s="120" t="s">
        <v>69</v>
      </c>
      <c r="Y57" s="120" t="s">
        <v>69</v>
      </c>
      <c r="Z57" s="388" t="s">
        <v>108</v>
      </c>
      <c r="AA57" s="120" t="s">
        <v>69</v>
      </c>
      <c r="AB57" s="120" t="s">
        <v>69</v>
      </c>
      <c r="AC57" s="120" t="s">
        <v>69</v>
      </c>
      <c r="AD57" s="400" t="s">
        <v>175</v>
      </c>
      <c r="AE57" s="120" t="s">
        <v>69</v>
      </c>
      <c r="AF57" s="120" t="s">
        <v>69</v>
      </c>
      <c r="AG57" s="329" t="s">
        <v>108</v>
      </c>
      <c r="AH57" s="120" t="s">
        <v>69</v>
      </c>
      <c r="AI57" s="120" t="s">
        <v>69</v>
      </c>
      <c r="AJ57" s="120" t="s">
        <v>69</v>
      </c>
    </row>
    <row r="58" spans="1:37" ht="18">
      <c r="A58" s="5">
        <v>57</v>
      </c>
      <c r="B58" s="254" t="s">
        <v>203</v>
      </c>
      <c r="C58" s="410">
        <v>0</v>
      </c>
      <c r="D58" s="7">
        <v>0</v>
      </c>
      <c r="E58" s="7">
        <f t="shared" si="1"/>
        <v>0</v>
      </c>
      <c r="F58" s="120" t="s">
        <v>69</v>
      </c>
      <c r="G58" s="120" t="s">
        <v>69</v>
      </c>
      <c r="H58" s="120" t="s">
        <v>69</v>
      </c>
      <c r="I58" s="120" t="s">
        <v>69</v>
      </c>
      <c r="J58" s="120" t="s">
        <v>69</v>
      </c>
      <c r="K58" s="168" t="s">
        <v>69</v>
      </c>
      <c r="L58" s="388" t="s">
        <v>108</v>
      </c>
      <c r="M58" s="120" t="s">
        <v>69</v>
      </c>
      <c r="N58" s="120" t="s">
        <v>69</v>
      </c>
      <c r="O58" s="120" t="s">
        <v>69</v>
      </c>
      <c r="P58" s="120" t="s">
        <v>69</v>
      </c>
      <c r="Q58" s="120" t="s">
        <v>69</v>
      </c>
      <c r="R58" s="120" t="s">
        <v>69</v>
      </c>
      <c r="S58" s="388" t="s">
        <v>108</v>
      </c>
      <c r="T58" s="120" t="s">
        <v>69</v>
      </c>
      <c r="U58" s="120" t="s">
        <v>69</v>
      </c>
      <c r="V58" s="120" t="s">
        <v>69</v>
      </c>
      <c r="W58" s="120" t="s">
        <v>69</v>
      </c>
      <c r="X58" s="120" t="s">
        <v>69</v>
      </c>
      <c r="Y58" s="120" t="s">
        <v>69</v>
      </c>
      <c r="Z58" s="388" t="s">
        <v>108</v>
      </c>
      <c r="AA58" s="120" t="s">
        <v>69</v>
      </c>
      <c r="AB58" s="120" t="s">
        <v>69</v>
      </c>
      <c r="AC58" s="120" t="s">
        <v>69</v>
      </c>
      <c r="AD58" s="120" t="s">
        <v>69</v>
      </c>
      <c r="AE58" s="120" t="s">
        <v>69</v>
      </c>
      <c r="AF58" s="120" t="s">
        <v>69</v>
      </c>
      <c r="AG58" s="388" t="s">
        <v>108</v>
      </c>
      <c r="AH58" s="120" t="s">
        <v>69</v>
      </c>
      <c r="AI58" s="120" t="s">
        <v>69</v>
      </c>
      <c r="AJ58" s="120" t="s">
        <v>69</v>
      </c>
    </row>
    <row r="59" spans="1:37" ht="18">
      <c r="A59" s="5">
        <v>58</v>
      </c>
      <c r="B59" s="254" t="s">
        <v>185</v>
      </c>
      <c r="C59" s="410">
        <v>2</v>
      </c>
      <c r="D59" s="7">
        <v>1.5</v>
      </c>
      <c r="E59" s="7">
        <f t="shared" si="1"/>
        <v>0.5</v>
      </c>
      <c r="F59" s="120" t="s">
        <v>69</v>
      </c>
      <c r="G59" s="120" t="s">
        <v>69</v>
      </c>
      <c r="H59" s="120" t="s">
        <v>69</v>
      </c>
      <c r="I59" s="120" t="s">
        <v>69</v>
      </c>
      <c r="J59" s="120" t="s">
        <v>69</v>
      </c>
      <c r="K59" s="120" t="s">
        <v>69</v>
      </c>
      <c r="L59" s="388" t="s">
        <v>108</v>
      </c>
      <c r="M59" s="120" t="s">
        <v>69</v>
      </c>
      <c r="N59" s="361" t="s">
        <v>92</v>
      </c>
      <c r="O59" s="121" t="s">
        <v>72</v>
      </c>
      <c r="P59" s="121" t="s">
        <v>72</v>
      </c>
      <c r="Q59" s="120" t="s">
        <v>69</v>
      </c>
      <c r="R59" s="120" t="s">
        <v>69</v>
      </c>
      <c r="S59" s="388" t="s">
        <v>108</v>
      </c>
      <c r="T59" s="120" t="s">
        <v>69</v>
      </c>
      <c r="U59" s="120" t="s">
        <v>69</v>
      </c>
      <c r="V59" s="120" t="s">
        <v>69</v>
      </c>
      <c r="W59" s="120" t="s">
        <v>69</v>
      </c>
      <c r="X59" s="120" t="s">
        <v>69</v>
      </c>
      <c r="Y59" s="120" t="s">
        <v>69</v>
      </c>
      <c r="Z59" s="388" t="s">
        <v>108</v>
      </c>
      <c r="AA59" s="120" t="s">
        <v>69</v>
      </c>
      <c r="AB59" s="361" t="s">
        <v>92</v>
      </c>
      <c r="AC59" s="120" t="s">
        <v>69</v>
      </c>
      <c r="AD59" s="400" t="s">
        <v>175</v>
      </c>
      <c r="AE59" s="120" t="s">
        <v>69</v>
      </c>
      <c r="AF59" s="120" t="s">
        <v>69</v>
      </c>
      <c r="AG59" s="329" t="s">
        <v>108</v>
      </c>
      <c r="AH59" s="120" t="s">
        <v>69</v>
      </c>
      <c r="AI59" s="120" t="s">
        <v>69</v>
      </c>
      <c r="AJ59" s="120" t="s">
        <v>69</v>
      </c>
    </row>
    <row r="60" spans="1:37" ht="18">
      <c r="A60" s="5">
        <v>59</v>
      </c>
      <c r="B60" s="254" t="s">
        <v>244</v>
      </c>
      <c r="C60" s="7">
        <v>0</v>
      </c>
      <c r="D60" s="7">
        <v>0</v>
      </c>
      <c r="E60" s="7">
        <f t="shared" si="1"/>
        <v>0</v>
      </c>
      <c r="F60" s="120" t="s">
        <v>69</v>
      </c>
      <c r="G60" s="120" t="s">
        <v>69</v>
      </c>
      <c r="H60" s="120" t="s">
        <v>69</v>
      </c>
      <c r="I60" s="120" t="s">
        <v>69</v>
      </c>
      <c r="J60" s="120" t="s">
        <v>69</v>
      </c>
      <c r="K60" s="120" t="s">
        <v>69</v>
      </c>
      <c r="L60" s="388" t="s">
        <v>108</v>
      </c>
      <c r="M60" s="120" t="s">
        <v>69</v>
      </c>
      <c r="N60" s="120" t="s">
        <v>69</v>
      </c>
      <c r="O60" s="120" t="s">
        <v>69</v>
      </c>
      <c r="P60" s="120" t="s">
        <v>69</v>
      </c>
      <c r="Q60" s="120" t="s">
        <v>69</v>
      </c>
      <c r="R60" s="120" t="s">
        <v>69</v>
      </c>
      <c r="S60" s="388" t="s">
        <v>108</v>
      </c>
      <c r="T60" s="120" t="s">
        <v>69</v>
      </c>
      <c r="U60" s="120" t="s">
        <v>69</v>
      </c>
      <c r="V60" s="120" t="s">
        <v>69</v>
      </c>
      <c r="W60" s="120" t="s">
        <v>69</v>
      </c>
      <c r="X60" s="120" t="s">
        <v>69</v>
      </c>
      <c r="Y60" s="120" t="s">
        <v>69</v>
      </c>
      <c r="Z60" s="388" t="s">
        <v>108</v>
      </c>
      <c r="AA60" s="120" t="s">
        <v>69</v>
      </c>
      <c r="AB60" s="120" t="s">
        <v>69</v>
      </c>
      <c r="AC60" s="120" t="s">
        <v>69</v>
      </c>
      <c r="AD60" s="120" t="s">
        <v>69</v>
      </c>
      <c r="AE60" s="120" t="s">
        <v>69</v>
      </c>
      <c r="AF60" s="120" t="s">
        <v>69</v>
      </c>
      <c r="AG60" s="388" t="s">
        <v>108</v>
      </c>
      <c r="AH60" s="120" t="s">
        <v>69</v>
      </c>
      <c r="AI60" s="120" t="s">
        <v>69</v>
      </c>
      <c r="AJ60" s="120" t="s">
        <v>69</v>
      </c>
    </row>
    <row r="61" spans="1:37" ht="18">
      <c r="A61" s="5">
        <v>60</v>
      </c>
      <c r="B61" s="254" t="s">
        <v>50</v>
      </c>
      <c r="C61" s="7">
        <v>2</v>
      </c>
      <c r="D61" s="7">
        <v>2</v>
      </c>
      <c r="E61" s="7">
        <f t="shared" si="1"/>
        <v>0</v>
      </c>
      <c r="F61" s="120" t="s">
        <v>69</v>
      </c>
      <c r="G61" s="120" t="s">
        <v>69</v>
      </c>
      <c r="H61" s="120" t="s">
        <v>69</v>
      </c>
      <c r="I61" s="120" t="s">
        <v>69</v>
      </c>
      <c r="J61" s="120" t="s">
        <v>69</v>
      </c>
      <c r="K61" s="120" t="s">
        <v>69</v>
      </c>
      <c r="L61" s="388" t="s">
        <v>108</v>
      </c>
      <c r="M61" s="120" t="s">
        <v>69</v>
      </c>
      <c r="N61" s="120" t="s">
        <v>69</v>
      </c>
      <c r="O61" s="120" t="s">
        <v>69</v>
      </c>
      <c r="P61" s="120" t="s">
        <v>69</v>
      </c>
      <c r="Q61" s="120" t="s">
        <v>69</v>
      </c>
      <c r="R61" s="120" t="s">
        <v>69</v>
      </c>
      <c r="S61" s="388" t="s">
        <v>108</v>
      </c>
      <c r="T61" s="120" t="s">
        <v>69</v>
      </c>
      <c r="U61" s="120" t="s">
        <v>69</v>
      </c>
      <c r="V61" s="120" t="s">
        <v>69</v>
      </c>
      <c r="W61" s="121" t="s">
        <v>72</v>
      </c>
      <c r="X61" s="120" t="s">
        <v>69</v>
      </c>
      <c r="Y61" s="120" t="s">
        <v>69</v>
      </c>
      <c r="Z61" s="388" t="s">
        <v>108</v>
      </c>
      <c r="AA61" s="120" t="s">
        <v>69</v>
      </c>
      <c r="AB61" s="120" t="s">
        <v>69</v>
      </c>
      <c r="AC61" s="120" t="s">
        <v>69</v>
      </c>
      <c r="AD61" s="120" t="s">
        <v>69</v>
      </c>
      <c r="AE61" s="121" t="s">
        <v>72</v>
      </c>
      <c r="AF61" s="120" t="s">
        <v>69</v>
      </c>
      <c r="AG61" s="329" t="s">
        <v>108</v>
      </c>
      <c r="AH61" s="120" t="s">
        <v>69</v>
      </c>
      <c r="AI61" s="120" t="s">
        <v>69</v>
      </c>
      <c r="AJ61" s="120" t="s">
        <v>69</v>
      </c>
      <c r="AK61" s="119"/>
    </row>
    <row r="62" spans="1:37" ht="18">
      <c r="A62" s="5">
        <v>61</v>
      </c>
      <c r="B62" s="359" t="s">
        <v>186</v>
      </c>
      <c r="C62" s="7">
        <v>2</v>
      </c>
      <c r="D62" s="7">
        <v>2</v>
      </c>
      <c r="E62" s="7">
        <f t="shared" si="1"/>
        <v>0</v>
      </c>
      <c r="F62" s="131" t="s">
        <v>72</v>
      </c>
      <c r="G62" s="380" t="s">
        <v>69</v>
      </c>
      <c r="H62" s="380" t="s">
        <v>69</v>
      </c>
      <c r="I62" s="120" t="s">
        <v>69</v>
      </c>
      <c r="J62" s="120" t="s">
        <v>69</v>
      </c>
      <c r="K62" s="120" t="s">
        <v>69</v>
      </c>
      <c r="L62" s="388" t="s">
        <v>108</v>
      </c>
      <c r="M62" s="120" t="s">
        <v>69</v>
      </c>
      <c r="N62" s="120" t="s">
        <v>69</v>
      </c>
      <c r="O62" s="120" t="s">
        <v>69</v>
      </c>
      <c r="P62" s="120" t="s">
        <v>69</v>
      </c>
      <c r="Q62" s="120" t="s">
        <v>69</v>
      </c>
      <c r="R62" s="120" t="s">
        <v>69</v>
      </c>
      <c r="S62" s="388" t="s">
        <v>108</v>
      </c>
      <c r="T62" s="121" t="s">
        <v>72</v>
      </c>
      <c r="U62" s="120" t="s">
        <v>69</v>
      </c>
      <c r="V62" s="120" t="s">
        <v>69</v>
      </c>
      <c r="W62" s="120" t="s">
        <v>69</v>
      </c>
      <c r="X62" s="120" t="s">
        <v>69</v>
      </c>
      <c r="Y62" s="120" t="s">
        <v>69</v>
      </c>
      <c r="Z62" s="388" t="s">
        <v>108</v>
      </c>
      <c r="AA62" s="120" t="s">
        <v>69</v>
      </c>
      <c r="AB62" s="120" t="s">
        <v>69</v>
      </c>
      <c r="AC62" s="120" t="s">
        <v>69</v>
      </c>
      <c r="AD62" s="400" t="s">
        <v>175</v>
      </c>
      <c r="AE62" s="120" t="s">
        <v>69</v>
      </c>
      <c r="AF62" s="120" t="s">
        <v>69</v>
      </c>
      <c r="AG62" s="388" t="s">
        <v>108</v>
      </c>
      <c r="AH62" s="120" t="s">
        <v>69</v>
      </c>
      <c r="AI62" s="120" t="s">
        <v>69</v>
      </c>
      <c r="AJ62" s="120" t="s">
        <v>69</v>
      </c>
    </row>
    <row r="63" spans="1:37" ht="18">
      <c r="A63" s="5">
        <v>62</v>
      </c>
      <c r="B63" s="359" t="s">
        <v>232</v>
      </c>
      <c r="C63" s="7">
        <v>1</v>
      </c>
      <c r="D63" s="7">
        <v>1</v>
      </c>
      <c r="E63" s="7">
        <f t="shared" si="1"/>
        <v>0</v>
      </c>
      <c r="F63" s="120" t="s">
        <v>69</v>
      </c>
      <c r="G63" s="120" t="s">
        <v>69</v>
      </c>
      <c r="H63" s="120" t="s">
        <v>69</v>
      </c>
      <c r="I63" s="120" t="s">
        <v>69</v>
      </c>
      <c r="J63" s="120" t="s">
        <v>69</v>
      </c>
      <c r="K63" s="120" t="s">
        <v>69</v>
      </c>
      <c r="L63" s="388" t="s">
        <v>108</v>
      </c>
      <c r="M63" s="120" t="s">
        <v>69</v>
      </c>
      <c r="N63" s="120" t="s">
        <v>69</v>
      </c>
      <c r="O63" s="120" t="s">
        <v>69</v>
      </c>
      <c r="P63" s="120" t="s">
        <v>69</v>
      </c>
      <c r="Q63" s="120" t="s">
        <v>69</v>
      </c>
      <c r="R63" s="121" t="s">
        <v>72</v>
      </c>
      <c r="S63" s="388" t="s">
        <v>108</v>
      </c>
      <c r="T63" s="120" t="s">
        <v>69</v>
      </c>
      <c r="U63" s="120" t="s">
        <v>69</v>
      </c>
      <c r="V63" s="120" t="s">
        <v>69</v>
      </c>
      <c r="W63" s="120" t="s">
        <v>69</v>
      </c>
      <c r="X63" s="120" t="s">
        <v>69</v>
      </c>
      <c r="Y63" s="120" t="s">
        <v>69</v>
      </c>
      <c r="Z63" s="388" t="s">
        <v>108</v>
      </c>
      <c r="AA63" s="120" t="s">
        <v>69</v>
      </c>
      <c r="AB63" s="120" t="s">
        <v>69</v>
      </c>
      <c r="AC63" s="120" t="s">
        <v>69</v>
      </c>
      <c r="AD63" s="398" t="s">
        <v>175</v>
      </c>
      <c r="AE63" s="120" t="s">
        <v>69</v>
      </c>
      <c r="AF63" s="120" t="s">
        <v>69</v>
      </c>
      <c r="AG63" s="329" t="s">
        <v>108</v>
      </c>
      <c r="AH63" s="120" t="s">
        <v>69</v>
      </c>
      <c r="AI63" s="120" t="s">
        <v>69</v>
      </c>
      <c r="AJ63" s="120" t="s">
        <v>69</v>
      </c>
    </row>
    <row r="64" spans="1:37" ht="18">
      <c r="A64" s="5">
        <v>63</v>
      </c>
      <c r="B64" s="254" t="s">
        <v>187</v>
      </c>
      <c r="C64" s="7">
        <v>7</v>
      </c>
      <c r="D64" s="7">
        <v>1</v>
      </c>
      <c r="E64" s="7">
        <f t="shared" si="1"/>
        <v>6</v>
      </c>
      <c r="F64" s="120" t="s">
        <v>69</v>
      </c>
      <c r="G64" s="120" t="s">
        <v>69</v>
      </c>
      <c r="H64" s="120" t="s">
        <v>69</v>
      </c>
      <c r="I64" s="131" t="s">
        <v>72</v>
      </c>
      <c r="J64" s="120" t="s">
        <v>69</v>
      </c>
      <c r="K64" s="120" t="s">
        <v>69</v>
      </c>
      <c r="L64" s="388" t="s">
        <v>108</v>
      </c>
      <c r="M64" s="120" t="s">
        <v>69</v>
      </c>
      <c r="N64" s="120" t="s">
        <v>69</v>
      </c>
      <c r="O64" s="120" t="s">
        <v>69</v>
      </c>
      <c r="P64" s="120" t="s">
        <v>69</v>
      </c>
      <c r="Q64" s="120" t="s">
        <v>69</v>
      </c>
      <c r="R64" s="120" t="s">
        <v>69</v>
      </c>
      <c r="S64" s="388" t="s">
        <v>108</v>
      </c>
      <c r="T64" s="120" t="s">
        <v>69</v>
      </c>
      <c r="U64" s="120" t="s">
        <v>69</v>
      </c>
      <c r="V64" s="120" t="s">
        <v>69</v>
      </c>
      <c r="W64" s="121" t="s">
        <v>72</v>
      </c>
      <c r="X64" s="120" t="s">
        <v>69</v>
      </c>
      <c r="Y64" s="120" t="s">
        <v>69</v>
      </c>
      <c r="Z64" s="388" t="s">
        <v>108</v>
      </c>
      <c r="AA64" s="120" t="s">
        <v>69</v>
      </c>
      <c r="AB64" s="379" t="s">
        <v>72</v>
      </c>
      <c r="AC64" s="379" t="s">
        <v>72</v>
      </c>
      <c r="AD64" s="398" t="s">
        <v>175</v>
      </c>
      <c r="AE64" s="131" t="s">
        <v>72</v>
      </c>
      <c r="AF64" s="131" t="s">
        <v>72</v>
      </c>
      <c r="AG64" s="388" t="s">
        <v>108</v>
      </c>
      <c r="AH64" s="121" t="s">
        <v>72</v>
      </c>
      <c r="AI64" s="403" t="s">
        <v>69</v>
      </c>
      <c r="AJ64" s="120" t="s">
        <v>69</v>
      </c>
    </row>
    <row r="65" spans="1:36" ht="18">
      <c r="A65" s="5">
        <v>64</v>
      </c>
      <c r="B65" s="254" t="s">
        <v>245</v>
      </c>
      <c r="C65" s="7">
        <v>9</v>
      </c>
      <c r="D65" s="7">
        <v>0</v>
      </c>
      <c r="E65" s="7">
        <f t="shared" si="1"/>
        <v>9</v>
      </c>
      <c r="F65" s="131" t="s">
        <v>72</v>
      </c>
      <c r="G65" s="131" t="s">
        <v>72</v>
      </c>
      <c r="H65" s="131" t="s">
        <v>72</v>
      </c>
      <c r="I65" s="131" t="s">
        <v>72</v>
      </c>
      <c r="J65" s="131" t="s">
        <v>72</v>
      </c>
      <c r="K65" s="131" t="s">
        <v>72</v>
      </c>
      <c r="L65" s="388" t="s">
        <v>108</v>
      </c>
      <c r="M65" s="131" t="s">
        <v>72</v>
      </c>
      <c r="N65" s="131" t="s">
        <v>72</v>
      </c>
      <c r="O65" s="120" t="s">
        <v>69</v>
      </c>
      <c r="P65" s="120" t="s">
        <v>69</v>
      </c>
      <c r="Q65" s="120" t="s">
        <v>69</v>
      </c>
      <c r="R65" s="120" t="s">
        <v>69</v>
      </c>
      <c r="S65" s="388" t="s">
        <v>108</v>
      </c>
      <c r="T65" s="120" t="s">
        <v>69</v>
      </c>
      <c r="U65" s="120" t="s">
        <v>69</v>
      </c>
      <c r="V65" s="120" t="s">
        <v>69</v>
      </c>
      <c r="W65" s="120" t="s">
        <v>69</v>
      </c>
      <c r="X65" s="120" t="s">
        <v>69</v>
      </c>
      <c r="Y65" s="120" t="s">
        <v>69</v>
      </c>
      <c r="Z65" s="388" t="s">
        <v>108</v>
      </c>
      <c r="AA65" s="120" t="s">
        <v>69</v>
      </c>
      <c r="AB65" s="120" t="s">
        <v>69</v>
      </c>
      <c r="AC65" s="120" t="s">
        <v>69</v>
      </c>
      <c r="AD65" s="120" t="s">
        <v>69</v>
      </c>
      <c r="AE65" s="120" t="s">
        <v>69</v>
      </c>
      <c r="AF65" s="120" t="s">
        <v>69</v>
      </c>
      <c r="AG65" s="329" t="s">
        <v>108</v>
      </c>
      <c r="AH65" s="120" t="s">
        <v>69</v>
      </c>
      <c r="AI65" s="120" t="s">
        <v>69</v>
      </c>
      <c r="AJ65" s="120" t="s">
        <v>69</v>
      </c>
    </row>
    <row r="66" spans="1:36" ht="18">
      <c r="A66" s="5">
        <v>65</v>
      </c>
      <c r="B66" s="254" t="s">
        <v>52</v>
      </c>
      <c r="C66" s="7">
        <v>1</v>
      </c>
      <c r="D66" s="7">
        <v>1</v>
      </c>
      <c r="E66" s="7">
        <f t="shared" ref="E66:E97" si="2">C66-D66</f>
        <v>0</v>
      </c>
      <c r="F66" s="120" t="s">
        <v>69</v>
      </c>
      <c r="G66" s="380" t="s">
        <v>69</v>
      </c>
      <c r="H66" s="380" t="s">
        <v>69</v>
      </c>
      <c r="I66" s="120" t="s">
        <v>69</v>
      </c>
      <c r="J66" s="120" t="s">
        <v>69</v>
      </c>
      <c r="K66" s="120" t="s">
        <v>69</v>
      </c>
      <c r="L66" s="388" t="s">
        <v>108</v>
      </c>
      <c r="M66" s="120" t="s">
        <v>69</v>
      </c>
      <c r="N66" s="120" t="s">
        <v>69</v>
      </c>
      <c r="O66" s="120" t="s">
        <v>69</v>
      </c>
      <c r="P66" s="120" t="s">
        <v>69</v>
      </c>
      <c r="Q66" s="120" t="s">
        <v>69</v>
      </c>
      <c r="R66" s="121" t="s">
        <v>72</v>
      </c>
      <c r="S66" s="388" t="s">
        <v>108</v>
      </c>
      <c r="T66" s="120" t="s">
        <v>69</v>
      </c>
      <c r="U66" s="120" t="s">
        <v>69</v>
      </c>
      <c r="V66" s="120" t="s">
        <v>69</v>
      </c>
      <c r="W66" s="120" t="s">
        <v>69</v>
      </c>
      <c r="X66" s="120" t="s">
        <v>69</v>
      </c>
      <c r="Y66" s="120" t="s">
        <v>69</v>
      </c>
      <c r="Z66" s="388" t="s">
        <v>108</v>
      </c>
      <c r="AA66" s="120" t="s">
        <v>69</v>
      </c>
      <c r="AB66" s="120" t="s">
        <v>69</v>
      </c>
      <c r="AC66" s="120" t="s">
        <v>69</v>
      </c>
      <c r="AD66" s="120" t="s">
        <v>69</v>
      </c>
      <c r="AE66" s="120" t="s">
        <v>69</v>
      </c>
      <c r="AF66" s="120" t="s">
        <v>69</v>
      </c>
      <c r="AG66" s="388" t="s">
        <v>108</v>
      </c>
      <c r="AH66" s="120" t="s">
        <v>69</v>
      </c>
      <c r="AI66" s="120" t="s">
        <v>69</v>
      </c>
      <c r="AJ66" s="120" t="s">
        <v>69</v>
      </c>
    </row>
    <row r="67" spans="1:36" ht="18">
      <c r="A67" s="5">
        <v>66</v>
      </c>
      <c r="B67" s="254" t="s">
        <v>53</v>
      </c>
      <c r="C67" s="7">
        <v>1</v>
      </c>
      <c r="D67" s="7">
        <v>1</v>
      </c>
      <c r="E67" s="7">
        <f t="shared" si="2"/>
        <v>0</v>
      </c>
      <c r="F67" s="120" t="s">
        <v>69</v>
      </c>
      <c r="G67" s="120" t="s">
        <v>69</v>
      </c>
      <c r="H67" s="120" t="s">
        <v>69</v>
      </c>
      <c r="I67" s="120" t="s">
        <v>69</v>
      </c>
      <c r="J67" s="120" t="s">
        <v>69</v>
      </c>
      <c r="K67" s="120" t="s">
        <v>69</v>
      </c>
      <c r="L67" s="388" t="s">
        <v>108</v>
      </c>
      <c r="M67" s="120" t="s">
        <v>69</v>
      </c>
      <c r="N67" s="120" t="s">
        <v>69</v>
      </c>
      <c r="O67" s="120" t="s">
        <v>69</v>
      </c>
      <c r="P67" s="120" t="s">
        <v>69</v>
      </c>
      <c r="Q67" s="120" t="s">
        <v>69</v>
      </c>
      <c r="R67" s="120" t="s">
        <v>69</v>
      </c>
      <c r="S67" s="388" t="s">
        <v>108</v>
      </c>
      <c r="T67" s="120" t="s">
        <v>69</v>
      </c>
      <c r="U67" s="120" t="s">
        <v>69</v>
      </c>
      <c r="V67" s="120" t="s">
        <v>69</v>
      </c>
      <c r="W67" s="120" t="s">
        <v>69</v>
      </c>
      <c r="X67" s="120" t="s">
        <v>69</v>
      </c>
      <c r="Y67" s="120" t="s">
        <v>69</v>
      </c>
      <c r="Z67" s="388" t="s">
        <v>108</v>
      </c>
      <c r="AA67" s="120" t="s">
        <v>69</v>
      </c>
      <c r="AB67" s="120" t="s">
        <v>69</v>
      </c>
      <c r="AC67" s="120" t="s">
        <v>69</v>
      </c>
      <c r="AD67" s="400" t="s">
        <v>175</v>
      </c>
      <c r="AE67" s="121" t="s">
        <v>72</v>
      </c>
      <c r="AF67" s="120" t="s">
        <v>69</v>
      </c>
      <c r="AG67" s="329" t="s">
        <v>108</v>
      </c>
      <c r="AH67" s="120" t="s">
        <v>69</v>
      </c>
      <c r="AI67" s="120" t="s">
        <v>69</v>
      </c>
      <c r="AJ67" s="120" t="s">
        <v>69</v>
      </c>
    </row>
    <row r="68" spans="1:36" ht="18">
      <c r="A68" s="5">
        <v>67</v>
      </c>
      <c r="B68" s="254" t="s">
        <v>211</v>
      </c>
      <c r="C68" s="7">
        <v>0</v>
      </c>
      <c r="D68" s="7">
        <v>0</v>
      </c>
      <c r="E68" s="7">
        <f t="shared" si="2"/>
        <v>0</v>
      </c>
      <c r="F68" s="120" t="s">
        <v>69</v>
      </c>
      <c r="G68" s="120" t="s">
        <v>69</v>
      </c>
      <c r="H68" s="120" t="s">
        <v>69</v>
      </c>
      <c r="I68" s="120" t="s">
        <v>69</v>
      </c>
      <c r="J68" s="120" t="s">
        <v>69</v>
      </c>
      <c r="K68" s="121" t="s">
        <v>167</v>
      </c>
      <c r="L68" s="388" t="s">
        <v>108</v>
      </c>
      <c r="M68" s="120" t="s">
        <v>69</v>
      </c>
      <c r="N68" s="120" t="s">
        <v>69</v>
      </c>
      <c r="O68" s="120" t="s">
        <v>69</v>
      </c>
      <c r="P68" s="120" t="s">
        <v>69</v>
      </c>
      <c r="Q68" s="120" t="s">
        <v>69</v>
      </c>
      <c r="R68" s="120" t="s">
        <v>69</v>
      </c>
      <c r="S68" s="388" t="s">
        <v>108</v>
      </c>
      <c r="T68" s="120" t="s">
        <v>69</v>
      </c>
      <c r="U68" s="120" t="s">
        <v>69</v>
      </c>
      <c r="V68" s="120" t="s">
        <v>69</v>
      </c>
      <c r="W68" s="120" t="s">
        <v>69</v>
      </c>
      <c r="X68" s="120" t="s">
        <v>69</v>
      </c>
      <c r="Y68" s="120" t="s">
        <v>69</v>
      </c>
      <c r="Z68" s="388" t="s">
        <v>108</v>
      </c>
      <c r="AA68" s="120" t="s">
        <v>69</v>
      </c>
      <c r="AB68" s="120" t="s">
        <v>69</v>
      </c>
      <c r="AC68" s="120" t="s">
        <v>69</v>
      </c>
      <c r="AD68" s="672" t="s">
        <v>121</v>
      </c>
      <c r="AE68" s="120" t="s">
        <v>69</v>
      </c>
      <c r="AF68" s="672" t="s">
        <v>121</v>
      </c>
      <c r="AG68" s="388" t="s">
        <v>108</v>
      </c>
      <c r="AH68" s="120" t="s">
        <v>69</v>
      </c>
      <c r="AI68" s="120" t="s">
        <v>69</v>
      </c>
      <c r="AJ68" s="120" t="s">
        <v>69</v>
      </c>
    </row>
    <row r="69" spans="1:36" ht="18">
      <c r="A69" s="5">
        <v>68</v>
      </c>
      <c r="B69" s="254" t="s">
        <v>204</v>
      </c>
      <c r="C69" s="7">
        <v>5.5</v>
      </c>
      <c r="D69" s="7">
        <v>1.5</v>
      </c>
      <c r="E69" s="7">
        <f t="shared" si="2"/>
        <v>4</v>
      </c>
      <c r="F69" s="120" t="s">
        <v>69</v>
      </c>
      <c r="G69" s="120" t="s">
        <v>69</v>
      </c>
      <c r="H69" s="132" t="s">
        <v>73</v>
      </c>
      <c r="I69" s="120" t="s">
        <v>69</v>
      </c>
      <c r="J69" s="131" t="s">
        <v>72</v>
      </c>
      <c r="K69" s="131" t="s">
        <v>72</v>
      </c>
      <c r="L69" s="388" t="s">
        <v>108</v>
      </c>
      <c r="M69" s="120" t="s">
        <v>69</v>
      </c>
      <c r="N69" s="120" t="s">
        <v>69</v>
      </c>
      <c r="O69" s="120" t="s">
        <v>69</v>
      </c>
      <c r="P69" s="120" t="s">
        <v>69</v>
      </c>
      <c r="Q69" s="120" t="s">
        <v>69</v>
      </c>
      <c r="R69" s="120" t="s">
        <v>69</v>
      </c>
      <c r="S69" s="388" t="s">
        <v>108</v>
      </c>
      <c r="T69" s="131" t="s">
        <v>72</v>
      </c>
      <c r="U69" s="131" t="s">
        <v>72</v>
      </c>
      <c r="V69" s="131" t="s">
        <v>72</v>
      </c>
      <c r="W69" s="120" t="s">
        <v>69</v>
      </c>
      <c r="X69" s="120" t="s">
        <v>69</v>
      </c>
      <c r="Y69" s="120" t="s">
        <v>69</v>
      </c>
      <c r="Z69" s="388" t="s">
        <v>108</v>
      </c>
      <c r="AA69" s="120" t="s">
        <v>69</v>
      </c>
      <c r="AB69" s="120" t="s">
        <v>69</v>
      </c>
      <c r="AC69" s="120" t="s">
        <v>69</v>
      </c>
      <c r="AD69" s="120" t="s">
        <v>69</v>
      </c>
      <c r="AE69" s="120" t="s">
        <v>69</v>
      </c>
      <c r="AF69" s="120" t="s">
        <v>69</v>
      </c>
      <c r="AG69" s="329" t="s">
        <v>108</v>
      </c>
      <c r="AH69" s="120" t="s">
        <v>69</v>
      </c>
      <c r="AI69" s="120" t="s">
        <v>69</v>
      </c>
      <c r="AJ69" s="120" t="s">
        <v>69</v>
      </c>
    </row>
    <row r="70" spans="1:36" ht="18">
      <c r="A70" s="5">
        <v>69</v>
      </c>
      <c r="B70" s="255" t="s">
        <v>246</v>
      </c>
      <c r="C70" s="7"/>
      <c r="D70" s="7"/>
      <c r="E70" s="7">
        <f t="shared" si="2"/>
        <v>0</v>
      </c>
      <c r="F70" s="131" t="s">
        <v>72</v>
      </c>
      <c r="G70" s="131" t="s">
        <v>72</v>
      </c>
      <c r="H70" s="120" t="s">
        <v>69</v>
      </c>
      <c r="I70" s="131" t="s">
        <v>76</v>
      </c>
      <c r="J70" s="131" t="s">
        <v>76</v>
      </c>
      <c r="K70" s="131" t="s">
        <v>76</v>
      </c>
      <c r="L70" s="388" t="s">
        <v>108</v>
      </c>
      <c r="M70" s="131" t="s">
        <v>76</v>
      </c>
      <c r="N70" s="131" t="s">
        <v>76</v>
      </c>
      <c r="O70" s="131" t="s">
        <v>76</v>
      </c>
      <c r="P70" s="131" t="s">
        <v>76</v>
      </c>
      <c r="Q70" s="131" t="s">
        <v>76</v>
      </c>
      <c r="R70" s="131" t="s">
        <v>76</v>
      </c>
      <c r="S70" s="388" t="s">
        <v>108</v>
      </c>
      <c r="T70" s="131" t="s">
        <v>76</v>
      </c>
      <c r="U70" s="131" t="s">
        <v>76</v>
      </c>
      <c r="V70" s="131" t="s">
        <v>76</v>
      </c>
      <c r="W70" s="131" t="s">
        <v>76</v>
      </c>
      <c r="X70" s="131" t="s">
        <v>76</v>
      </c>
      <c r="Y70" s="131" t="s">
        <v>76</v>
      </c>
      <c r="Z70" s="388" t="s">
        <v>108</v>
      </c>
      <c r="AA70" s="131" t="s">
        <v>76</v>
      </c>
      <c r="AB70" s="131" t="s">
        <v>76</v>
      </c>
      <c r="AC70" s="131" t="s">
        <v>76</v>
      </c>
      <c r="AD70" s="131" t="s">
        <v>76</v>
      </c>
      <c r="AE70" s="131" t="s">
        <v>76</v>
      </c>
      <c r="AF70" s="131" t="s">
        <v>76</v>
      </c>
      <c r="AG70" s="388" t="s">
        <v>108</v>
      </c>
      <c r="AH70" s="131" t="s">
        <v>76</v>
      </c>
      <c r="AI70" s="152" t="s">
        <v>76</v>
      </c>
      <c r="AJ70" s="131" t="s">
        <v>76</v>
      </c>
    </row>
    <row r="71" spans="1:36" ht="18">
      <c r="A71" s="5">
        <v>70</v>
      </c>
      <c r="B71" s="254" t="s">
        <v>55</v>
      </c>
      <c r="C71" s="7">
        <v>1</v>
      </c>
      <c r="D71" s="7">
        <v>1</v>
      </c>
      <c r="E71" s="7">
        <f t="shared" si="2"/>
        <v>0</v>
      </c>
      <c r="F71" s="120" t="s">
        <v>69</v>
      </c>
      <c r="G71" s="120" t="s">
        <v>69</v>
      </c>
      <c r="H71" s="120" t="s">
        <v>69</v>
      </c>
      <c r="I71" s="120" t="s">
        <v>69</v>
      </c>
      <c r="J71" s="120" t="s">
        <v>69</v>
      </c>
      <c r="K71" s="134" t="s">
        <v>157</v>
      </c>
      <c r="L71" s="388" t="s">
        <v>108</v>
      </c>
      <c r="M71" s="120" t="s">
        <v>69</v>
      </c>
      <c r="N71" s="378" t="s">
        <v>69</v>
      </c>
      <c r="O71" s="120" t="s">
        <v>69</v>
      </c>
      <c r="P71" s="120" t="s">
        <v>69</v>
      </c>
      <c r="Q71" s="120" t="s">
        <v>69</v>
      </c>
      <c r="R71" s="120" t="s">
        <v>69</v>
      </c>
      <c r="S71" s="388" t="s">
        <v>108</v>
      </c>
      <c r="T71" s="120" t="s">
        <v>69</v>
      </c>
      <c r="U71" s="120" t="s">
        <v>69</v>
      </c>
      <c r="V71" s="120" t="s">
        <v>69</v>
      </c>
      <c r="W71" s="120" t="s">
        <v>69</v>
      </c>
      <c r="X71" s="120" t="s">
        <v>69</v>
      </c>
      <c r="Y71" s="120" t="s">
        <v>69</v>
      </c>
      <c r="Z71" s="388" t="s">
        <v>108</v>
      </c>
      <c r="AA71" s="121" t="s">
        <v>72</v>
      </c>
      <c r="AB71" s="378" t="s">
        <v>69</v>
      </c>
      <c r="AC71" s="378" t="s">
        <v>69</v>
      </c>
      <c r="AD71" s="398" t="s">
        <v>175</v>
      </c>
      <c r="AE71" s="120" t="s">
        <v>69</v>
      </c>
      <c r="AF71" s="120" t="s">
        <v>69</v>
      </c>
      <c r="AG71" s="329" t="s">
        <v>108</v>
      </c>
      <c r="AH71" s="120" t="s">
        <v>69</v>
      </c>
      <c r="AI71" s="120" t="s">
        <v>69</v>
      </c>
      <c r="AJ71" s="120" t="s">
        <v>69</v>
      </c>
    </row>
    <row r="72" spans="1:36" ht="18">
      <c r="A72" s="5">
        <v>71</v>
      </c>
      <c r="B72" s="186" t="s">
        <v>233</v>
      </c>
      <c r="C72" s="7">
        <v>0</v>
      </c>
      <c r="D72" s="7">
        <v>0</v>
      </c>
      <c r="E72" s="7">
        <f t="shared" si="2"/>
        <v>0</v>
      </c>
      <c r="F72" s="120" t="s">
        <v>69</v>
      </c>
      <c r="G72" s="120" t="s">
        <v>69</v>
      </c>
      <c r="H72" s="120" t="s">
        <v>69</v>
      </c>
      <c r="I72" s="120" t="s">
        <v>69</v>
      </c>
      <c r="J72" s="120" t="s">
        <v>69</v>
      </c>
      <c r="K72" s="168" t="s">
        <v>69</v>
      </c>
      <c r="L72" s="388" t="s">
        <v>108</v>
      </c>
      <c r="M72" s="120" t="s">
        <v>69</v>
      </c>
      <c r="N72" s="120" t="s">
        <v>69</v>
      </c>
      <c r="O72" s="120" t="s">
        <v>69</v>
      </c>
      <c r="P72" s="120" t="s">
        <v>69</v>
      </c>
      <c r="Q72" s="120" t="s">
        <v>69</v>
      </c>
      <c r="R72" s="120" t="s">
        <v>69</v>
      </c>
      <c r="S72" s="388" t="s">
        <v>108</v>
      </c>
      <c r="T72" s="120" t="s">
        <v>69</v>
      </c>
      <c r="U72" s="120" t="s">
        <v>69</v>
      </c>
      <c r="V72" s="120" t="s">
        <v>69</v>
      </c>
      <c r="W72" s="120" t="s">
        <v>69</v>
      </c>
      <c r="X72" s="120" t="s">
        <v>69</v>
      </c>
      <c r="Y72" s="120" t="s">
        <v>69</v>
      </c>
      <c r="Z72" s="388" t="s">
        <v>108</v>
      </c>
      <c r="AA72" s="120" t="s">
        <v>69</v>
      </c>
      <c r="AB72" s="120" t="s">
        <v>69</v>
      </c>
      <c r="AC72" s="120" t="s">
        <v>69</v>
      </c>
      <c r="AD72" s="398" t="s">
        <v>175</v>
      </c>
      <c r="AE72" s="120" t="s">
        <v>69</v>
      </c>
      <c r="AF72" s="120" t="s">
        <v>69</v>
      </c>
      <c r="AG72" s="388" t="s">
        <v>108</v>
      </c>
      <c r="AH72" s="120" t="s">
        <v>69</v>
      </c>
      <c r="AI72" s="120" t="s">
        <v>69</v>
      </c>
      <c r="AJ72" s="120" t="s">
        <v>69</v>
      </c>
    </row>
    <row r="73" spans="1:36" ht="18">
      <c r="A73" s="5">
        <v>72</v>
      </c>
      <c r="B73" s="254" t="s">
        <v>57</v>
      </c>
      <c r="C73" s="7">
        <v>4</v>
      </c>
      <c r="D73" s="7">
        <v>4</v>
      </c>
      <c r="E73" s="7">
        <f t="shared" si="2"/>
        <v>0</v>
      </c>
      <c r="F73" s="120" t="s">
        <v>69</v>
      </c>
      <c r="G73" s="120" t="s">
        <v>69</v>
      </c>
      <c r="H73" s="120" t="s">
        <v>69</v>
      </c>
      <c r="I73" s="120" t="s">
        <v>69</v>
      </c>
      <c r="J73" s="131" t="s">
        <v>72</v>
      </c>
      <c r="K73" s="131" t="s">
        <v>72</v>
      </c>
      <c r="L73" s="388" t="s">
        <v>108</v>
      </c>
      <c r="M73" s="120" t="s">
        <v>69</v>
      </c>
      <c r="N73" s="120" t="s">
        <v>69</v>
      </c>
      <c r="O73" s="120" t="s">
        <v>69</v>
      </c>
      <c r="P73" s="120" t="s">
        <v>69</v>
      </c>
      <c r="Q73" s="120" t="s">
        <v>69</v>
      </c>
      <c r="R73" s="120" t="s">
        <v>69</v>
      </c>
      <c r="S73" s="388" t="s">
        <v>108</v>
      </c>
      <c r="T73" s="120" t="s">
        <v>69</v>
      </c>
      <c r="U73" s="120" t="s">
        <v>69</v>
      </c>
      <c r="V73" s="120" t="s">
        <v>69</v>
      </c>
      <c r="W73" s="120" t="s">
        <v>69</v>
      </c>
      <c r="X73" s="131" t="s">
        <v>72</v>
      </c>
      <c r="Y73" s="131" t="s">
        <v>72</v>
      </c>
      <c r="Z73" s="388" t="s">
        <v>108</v>
      </c>
      <c r="AA73" s="120" t="s">
        <v>69</v>
      </c>
      <c r="AB73" s="120" t="s">
        <v>69</v>
      </c>
      <c r="AC73" s="147" t="s">
        <v>92</v>
      </c>
      <c r="AD73" s="120" t="s">
        <v>69</v>
      </c>
      <c r="AE73" s="120" t="s">
        <v>69</v>
      </c>
      <c r="AF73" s="672" t="s">
        <v>121</v>
      </c>
      <c r="AG73" s="329" t="s">
        <v>108</v>
      </c>
      <c r="AH73" s="120" t="s">
        <v>69</v>
      </c>
      <c r="AI73" s="120" t="s">
        <v>69</v>
      </c>
      <c r="AJ73" s="120" t="s">
        <v>69</v>
      </c>
    </row>
    <row r="74" spans="1:36" ht="18">
      <c r="A74" s="5">
        <v>73</v>
      </c>
      <c r="B74" s="255" t="s">
        <v>234</v>
      </c>
      <c r="C74" s="7"/>
      <c r="D74" s="7"/>
      <c r="E74" s="7">
        <f t="shared" si="2"/>
        <v>0</v>
      </c>
      <c r="F74" s="379" t="s">
        <v>72</v>
      </c>
      <c r="G74" s="379" t="s">
        <v>72</v>
      </c>
      <c r="H74" s="121" t="s">
        <v>76</v>
      </c>
      <c r="I74" s="121" t="s">
        <v>76</v>
      </c>
      <c r="J74" s="121" t="s">
        <v>76</v>
      </c>
      <c r="K74" s="121" t="s">
        <v>76</v>
      </c>
      <c r="L74" s="388" t="s">
        <v>108</v>
      </c>
      <c r="M74" s="121" t="s">
        <v>76</v>
      </c>
      <c r="N74" s="121" t="s">
        <v>76</v>
      </c>
      <c r="O74" s="121" t="s">
        <v>76</v>
      </c>
      <c r="P74" s="121" t="s">
        <v>76</v>
      </c>
      <c r="Q74" s="121" t="s">
        <v>76</v>
      </c>
      <c r="R74" s="121" t="s">
        <v>76</v>
      </c>
      <c r="S74" s="388" t="s">
        <v>108</v>
      </c>
      <c r="T74" s="121" t="s">
        <v>76</v>
      </c>
      <c r="U74" s="121" t="s">
        <v>76</v>
      </c>
      <c r="V74" s="121" t="s">
        <v>76</v>
      </c>
      <c r="W74" s="121" t="s">
        <v>76</v>
      </c>
      <c r="X74" s="121" t="s">
        <v>76</v>
      </c>
      <c r="Y74" s="121" t="s">
        <v>76</v>
      </c>
      <c r="Z74" s="388" t="s">
        <v>108</v>
      </c>
      <c r="AA74" s="121" t="s">
        <v>76</v>
      </c>
      <c r="AB74" s="121" t="s">
        <v>76</v>
      </c>
      <c r="AC74" s="121" t="s">
        <v>76</v>
      </c>
      <c r="AD74" s="121" t="s">
        <v>76</v>
      </c>
      <c r="AE74" s="121" t="s">
        <v>76</v>
      </c>
      <c r="AF74" s="121" t="s">
        <v>76</v>
      </c>
      <c r="AG74" s="388" t="s">
        <v>108</v>
      </c>
      <c r="AH74" s="121" t="s">
        <v>76</v>
      </c>
      <c r="AI74" s="153" t="s">
        <v>76</v>
      </c>
      <c r="AJ74" s="121" t="s">
        <v>76</v>
      </c>
    </row>
    <row r="75" spans="1:36" ht="18">
      <c r="A75" s="5">
        <v>74</v>
      </c>
      <c r="B75" s="254" t="s">
        <v>247</v>
      </c>
      <c r="C75" s="7">
        <v>0</v>
      </c>
      <c r="D75" s="7">
        <v>0</v>
      </c>
      <c r="E75" s="7">
        <f t="shared" si="2"/>
        <v>0</v>
      </c>
      <c r="F75" s="120" t="s">
        <v>69</v>
      </c>
      <c r="G75" s="361" t="s">
        <v>92</v>
      </c>
      <c r="H75" s="134" t="s">
        <v>69</v>
      </c>
      <c r="I75" s="120" t="s">
        <v>69</v>
      </c>
      <c r="J75" s="120" t="s">
        <v>69</v>
      </c>
      <c r="K75" s="120" t="s">
        <v>69</v>
      </c>
      <c r="L75" s="388" t="s">
        <v>108</v>
      </c>
      <c r="M75" s="120" t="s">
        <v>70</v>
      </c>
      <c r="N75" s="120" t="s">
        <v>70</v>
      </c>
      <c r="O75" s="120" t="s">
        <v>70</v>
      </c>
      <c r="P75" s="120" t="s">
        <v>70</v>
      </c>
      <c r="Q75" s="120" t="s">
        <v>70</v>
      </c>
      <c r="R75" s="120" t="s">
        <v>70</v>
      </c>
      <c r="S75" s="388" t="s">
        <v>108</v>
      </c>
      <c r="T75" s="120" t="s">
        <v>69</v>
      </c>
      <c r="U75" s="120" t="s">
        <v>69</v>
      </c>
      <c r="V75" s="120" t="s">
        <v>69</v>
      </c>
      <c r="W75" s="120" t="s">
        <v>69</v>
      </c>
      <c r="X75" s="120" t="s">
        <v>69</v>
      </c>
      <c r="Y75" s="120" t="s">
        <v>69</v>
      </c>
      <c r="Z75" s="388" t="s">
        <v>108</v>
      </c>
      <c r="AA75" s="120" t="s">
        <v>69</v>
      </c>
      <c r="AB75" s="120" t="s">
        <v>69</v>
      </c>
      <c r="AC75" s="120" t="s">
        <v>69</v>
      </c>
      <c r="AD75" s="120" t="s">
        <v>69</v>
      </c>
      <c r="AE75" s="121" t="s">
        <v>121</v>
      </c>
      <c r="AF75" s="120" t="s">
        <v>69</v>
      </c>
      <c r="AG75" s="329" t="s">
        <v>108</v>
      </c>
      <c r="AH75" s="120" t="s">
        <v>69</v>
      </c>
      <c r="AI75" s="120" t="s">
        <v>69</v>
      </c>
      <c r="AJ75" s="120" t="s">
        <v>69</v>
      </c>
    </row>
    <row r="76" spans="1:36" ht="18">
      <c r="A76" s="5">
        <v>75</v>
      </c>
      <c r="B76" s="255" t="s">
        <v>58</v>
      </c>
      <c r="C76" s="7"/>
      <c r="D76" s="7"/>
      <c r="E76" s="7">
        <f t="shared" si="2"/>
        <v>0</v>
      </c>
      <c r="F76" s="120" t="s">
        <v>69</v>
      </c>
      <c r="G76" s="120" t="s">
        <v>69</v>
      </c>
      <c r="H76" s="131" t="s">
        <v>72</v>
      </c>
      <c r="I76" s="120" t="s">
        <v>69</v>
      </c>
      <c r="J76" s="120" t="s">
        <v>69</v>
      </c>
      <c r="K76" s="120" t="s">
        <v>69</v>
      </c>
      <c r="L76" s="388" t="s">
        <v>108</v>
      </c>
      <c r="M76" s="120" t="s">
        <v>69</v>
      </c>
      <c r="N76" s="120" t="s">
        <v>69</v>
      </c>
      <c r="O76" s="120" t="s">
        <v>69</v>
      </c>
      <c r="P76" s="120" t="s">
        <v>69</v>
      </c>
      <c r="Q76" s="121" t="s">
        <v>72</v>
      </c>
      <c r="R76" s="120" t="s">
        <v>70</v>
      </c>
      <c r="S76" s="388" t="s">
        <v>108</v>
      </c>
      <c r="T76" s="120" t="s">
        <v>69</v>
      </c>
      <c r="U76" s="395" t="s">
        <v>76</v>
      </c>
      <c r="V76" s="395" t="s">
        <v>76</v>
      </c>
      <c r="W76" s="395" t="s">
        <v>76</v>
      </c>
      <c r="X76" s="395" t="s">
        <v>76</v>
      </c>
      <c r="Y76" s="395" t="s">
        <v>76</v>
      </c>
      <c r="Z76" s="388" t="s">
        <v>108</v>
      </c>
      <c r="AA76" s="395" t="s">
        <v>76</v>
      </c>
      <c r="AB76" s="395" t="s">
        <v>76</v>
      </c>
      <c r="AC76" s="395" t="s">
        <v>76</v>
      </c>
      <c r="AD76" s="395" t="s">
        <v>76</v>
      </c>
      <c r="AE76" s="395" t="s">
        <v>76</v>
      </c>
      <c r="AF76" s="395" t="s">
        <v>76</v>
      </c>
      <c r="AG76" s="388" t="s">
        <v>108</v>
      </c>
      <c r="AH76" s="395" t="s">
        <v>76</v>
      </c>
      <c r="AI76" s="402" t="s">
        <v>76</v>
      </c>
      <c r="AJ76" s="395" t="s">
        <v>76</v>
      </c>
    </row>
    <row r="77" spans="1:36" ht="18">
      <c r="A77" s="5">
        <v>76</v>
      </c>
      <c r="B77" s="255" t="s">
        <v>189</v>
      </c>
      <c r="C77" s="7"/>
      <c r="D77" s="7"/>
      <c r="E77" s="7">
        <f t="shared" si="2"/>
        <v>0</v>
      </c>
      <c r="F77" s="134" t="s">
        <v>69</v>
      </c>
      <c r="G77" s="379" t="s">
        <v>76</v>
      </c>
      <c r="H77" s="379" t="s">
        <v>76</v>
      </c>
      <c r="I77" s="379" t="s">
        <v>76</v>
      </c>
      <c r="J77" s="379" t="s">
        <v>76</v>
      </c>
      <c r="K77" s="379" t="s">
        <v>76</v>
      </c>
      <c r="L77" s="388" t="s">
        <v>108</v>
      </c>
      <c r="M77" s="379" t="s">
        <v>76</v>
      </c>
      <c r="N77" s="379" t="s">
        <v>76</v>
      </c>
      <c r="O77" s="379" t="s">
        <v>76</v>
      </c>
      <c r="P77" s="379" t="s">
        <v>76</v>
      </c>
      <c r="Q77" s="379" t="s">
        <v>76</v>
      </c>
      <c r="R77" s="379" t="s">
        <v>76</v>
      </c>
      <c r="S77" s="388" t="s">
        <v>108</v>
      </c>
      <c r="T77" s="379" t="s">
        <v>76</v>
      </c>
      <c r="U77" s="379" t="s">
        <v>76</v>
      </c>
      <c r="V77" s="379" t="s">
        <v>76</v>
      </c>
      <c r="W77" s="379" t="s">
        <v>76</v>
      </c>
      <c r="X77" s="379" t="s">
        <v>76</v>
      </c>
      <c r="Y77" s="379" t="s">
        <v>76</v>
      </c>
      <c r="Z77" s="388" t="s">
        <v>108</v>
      </c>
      <c r="AA77" s="379" t="s">
        <v>76</v>
      </c>
      <c r="AB77" s="379" t="s">
        <v>76</v>
      </c>
      <c r="AC77" s="379" t="s">
        <v>76</v>
      </c>
      <c r="AD77" s="379" t="s">
        <v>76</v>
      </c>
      <c r="AE77" s="379" t="s">
        <v>76</v>
      </c>
      <c r="AF77" s="379" t="s">
        <v>76</v>
      </c>
      <c r="AG77" s="329" t="s">
        <v>108</v>
      </c>
      <c r="AH77" s="379" t="s">
        <v>76</v>
      </c>
      <c r="AI77" s="401" t="s">
        <v>76</v>
      </c>
      <c r="AJ77" s="379" t="s">
        <v>76</v>
      </c>
    </row>
    <row r="78" spans="1:36" ht="18">
      <c r="A78" s="5">
        <v>77</v>
      </c>
      <c r="B78" s="254" t="s">
        <v>248</v>
      </c>
      <c r="C78" s="7">
        <v>14</v>
      </c>
      <c r="D78" s="7">
        <v>0</v>
      </c>
      <c r="E78" s="7">
        <f t="shared" si="2"/>
        <v>14</v>
      </c>
      <c r="F78" s="121" t="s">
        <v>72</v>
      </c>
      <c r="G78" s="121" t="s">
        <v>72</v>
      </c>
      <c r="H78" s="121" t="s">
        <v>72</v>
      </c>
      <c r="I78" s="121" t="s">
        <v>72</v>
      </c>
      <c r="J78" s="121" t="s">
        <v>72</v>
      </c>
      <c r="K78" s="121" t="s">
        <v>72</v>
      </c>
      <c r="L78" s="388" t="s">
        <v>108</v>
      </c>
      <c r="M78" s="379" t="s">
        <v>72</v>
      </c>
      <c r="N78" s="379" t="s">
        <v>72</v>
      </c>
      <c r="O78" s="379" t="s">
        <v>72</v>
      </c>
      <c r="P78" s="379" t="s">
        <v>72</v>
      </c>
      <c r="Q78" s="379" t="s">
        <v>72</v>
      </c>
      <c r="R78" s="379" t="s">
        <v>72</v>
      </c>
      <c r="S78" s="388" t="s">
        <v>108</v>
      </c>
      <c r="T78" s="378" t="s">
        <v>69</v>
      </c>
      <c r="U78" s="378" t="s">
        <v>69</v>
      </c>
      <c r="V78" s="378" t="s">
        <v>69</v>
      </c>
      <c r="W78" s="378" t="s">
        <v>69</v>
      </c>
      <c r="X78" s="378" t="s">
        <v>69</v>
      </c>
      <c r="Y78" s="378" t="s">
        <v>69</v>
      </c>
      <c r="Z78" s="388" t="s">
        <v>108</v>
      </c>
      <c r="AA78" s="120" t="s">
        <v>69</v>
      </c>
      <c r="AB78" s="120" t="s">
        <v>69</v>
      </c>
      <c r="AC78" s="120" t="s">
        <v>69</v>
      </c>
      <c r="AD78" s="120" t="s">
        <v>69</v>
      </c>
      <c r="AE78" s="134" t="s">
        <v>69</v>
      </c>
      <c r="AF78" s="134" t="s">
        <v>69</v>
      </c>
      <c r="AG78" s="388" t="s">
        <v>108</v>
      </c>
      <c r="AH78" s="134" t="s">
        <v>69</v>
      </c>
      <c r="AI78" s="134" t="s">
        <v>69</v>
      </c>
      <c r="AJ78" s="134" t="s">
        <v>69</v>
      </c>
    </row>
    <row r="79" spans="1:36" ht="18">
      <c r="A79" s="5">
        <v>78</v>
      </c>
      <c r="B79" s="186" t="s">
        <v>60</v>
      </c>
      <c r="C79" s="7">
        <v>3</v>
      </c>
      <c r="D79" s="7">
        <v>1</v>
      </c>
      <c r="E79" s="7">
        <f t="shared" si="2"/>
        <v>2</v>
      </c>
      <c r="F79" s="120" t="s">
        <v>69</v>
      </c>
      <c r="G79" s="120" t="s">
        <v>69</v>
      </c>
      <c r="H79" s="120" t="s">
        <v>69</v>
      </c>
      <c r="I79" s="120" t="s">
        <v>69</v>
      </c>
      <c r="J79" s="120" t="s">
        <v>69</v>
      </c>
      <c r="K79" s="120" t="s">
        <v>69</v>
      </c>
      <c r="L79" s="388" t="s">
        <v>108</v>
      </c>
      <c r="M79" s="120" t="s">
        <v>69</v>
      </c>
      <c r="N79" s="120" t="s">
        <v>69</v>
      </c>
      <c r="O79" s="121" t="s">
        <v>72</v>
      </c>
      <c r="P79" s="120" t="s">
        <v>69</v>
      </c>
      <c r="Q79" s="120" t="s">
        <v>69</v>
      </c>
      <c r="R79" s="120" t="s">
        <v>69</v>
      </c>
      <c r="S79" s="388" t="s">
        <v>108</v>
      </c>
      <c r="T79" s="378" t="s">
        <v>69</v>
      </c>
      <c r="U79" s="378" t="s">
        <v>69</v>
      </c>
      <c r="V79" s="378" t="s">
        <v>69</v>
      </c>
      <c r="W79" s="378" t="s">
        <v>69</v>
      </c>
      <c r="X79" s="378" t="s">
        <v>69</v>
      </c>
      <c r="Y79" s="378" t="s">
        <v>69</v>
      </c>
      <c r="Z79" s="388" t="s">
        <v>108</v>
      </c>
      <c r="AA79" s="120" t="s">
        <v>69</v>
      </c>
      <c r="AB79" s="120" t="s">
        <v>69</v>
      </c>
      <c r="AC79" s="120" t="s">
        <v>69</v>
      </c>
      <c r="AD79" s="398" t="s">
        <v>175</v>
      </c>
      <c r="AE79" s="131" t="s">
        <v>72</v>
      </c>
      <c r="AF79" s="131" t="s">
        <v>72</v>
      </c>
      <c r="AG79" s="329" t="s">
        <v>108</v>
      </c>
      <c r="AH79" s="134" t="s">
        <v>69</v>
      </c>
      <c r="AI79" s="134" t="s">
        <v>69</v>
      </c>
      <c r="AJ79" s="134" t="s">
        <v>69</v>
      </c>
    </row>
    <row r="80" spans="1:36" ht="18">
      <c r="A80" s="5">
        <v>79</v>
      </c>
      <c r="B80" s="186" t="s">
        <v>106</v>
      </c>
      <c r="C80" s="7">
        <v>1</v>
      </c>
      <c r="D80" s="7">
        <v>1</v>
      </c>
      <c r="E80" s="7">
        <f t="shared" si="2"/>
        <v>0</v>
      </c>
      <c r="F80" s="121" t="s">
        <v>72</v>
      </c>
      <c r="G80" s="120" t="s">
        <v>69</v>
      </c>
      <c r="H80" s="120" t="s">
        <v>69</v>
      </c>
      <c r="I80" s="120" t="s">
        <v>69</v>
      </c>
      <c r="J80" s="120" t="s">
        <v>69</v>
      </c>
      <c r="K80" s="120" t="s">
        <v>70</v>
      </c>
      <c r="L80" s="388" t="s">
        <v>108</v>
      </c>
      <c r="M80" s="120" t="s">
        <v>69</v>
      </c>
      <c r="N80" s="120" t="s">
        <v>69</v>
      </c>
      <c r="O80" s="120" t="s">
        <v>69</v>
      </c>
      <c r="P80" s="120" t="s">
        <v>69</v>
      </c>
      <c r="Q80" s="120" t="s">
        <v>69</v>
      </c>
      <c r="R80" s="120" t="s">
        <v>69</v>
      </c>
      <c r="S80" s="388" t="s">
        <v>108</v>
      </c>
      <c r="T80" s="378" t="s">
        <v>69</v>
      </c>
      <c r="U80" s="378" t="s">
        <v>69</v>
      </c>
      <c r="V80" s="378" t="s">
        <v>69</v>
      </c>
      <c r="W80" s="378" t="s">
        <v>69</v>
      </c>
      <c r="X80" s="378" t="s">
        <v>69</v>
      </c>
      <c r="Y80" s="378" t="s">
        <v>69</v>
      </c>
      <c r="Z80" s="388" t="s">
        <v>108</v>
      </c>
      <c r="AA80" s="120" t="s">
        <v>69</v>
      </c>
      <c r="AB80" s="120" t="s">
        <v>69</v>
      </c>
      <c r="AC80" s="120" t="s">
        <v>69</v>
      </c>
      <c r="AD80" s="120" t="s">
        <v>69</v>
      </c>
      <c r="AE80" s="120" t="s">
        <v>69</v>
      </c>
      <c r="AF80" s="120" t="s">
        <v>69</v>
      </c>
      <c r="AG80" s="388" t="s">
        <v>108</v>
      </c>
      <c r="AH80" s="134" t="s">
        <v>69</v>
      </c>
      <c r="AI80" s="134" t="s">
        <v>69</v>
      </c>
      <c r="AJ80" s="134" t="s">
        <v>69</v>
      </c>
    </row>
    <row r="81" spans="1:36" ht="18">
      <c r="A81" s="5">
        <v>80</v>
      </c>
      <c r="B81" s="254" t="s">
        <v>61</v>
      </c>
      <c r="C81" s="7">
        <v>1</v>
      </c>
      <c r="D81" s="7">
        <v>1</v>
      </c>
      <c r="E81" s="7">
        <f t="shared" si="2"/>
        <v>0</v>
      </c>
      <c r="F81" s="120" t="s">
        <v>69</v>
      </c>
      <c r="G81" s="379" t="s">
        <v>72</v>
      </c>
      <c r="H81" s="130" t="s">
        <v>74</v>
      </c>
      <c r="I81" s="120" t="s">
        <v>69</v>
      </c>
      <c r="J81" s="120" t="s">
        <v>69</v>
      </c>
      <c r="K81" s="120" t="s">
        <v>69</v>
      </c>
      <c r="L81" s="388" t="s">
        <v>108</v>
      </c>
      <c r="M81" s="120" t="s">
        <v>69</v>
      </c>
      <c r="N81" s="120" t="s">
        <v>69</v>
      </c>
      <c r="O81" s="120" t="s">
        <v>69</v>
      </c>
      <c r="P81" s="120" t="s">
        <v>69</v>
      </c>
      <c r="Q81" s="120" t="s">
        <v>69</v>
      </c>
      <c r="R81" s="120" t="s">
        <v>69</v>
      </c>
      <c r="S81" s="388" t="s">
        <v>108</v>
      </c>
      <c r="T81" s="378" t="s">
        <v>69</v>
      </c>
      <c r="U81" s="378" t="s">
        <v>69</v>
      </c>
      <c r="V81" s="378" t="s">
        <v>69</v>
      </c>
      <c r="W81" s="378" t="s">
        <v>69</v>
      </c>
      <c r="X81" s="378" t="s">
        <v>69</v>
      </c>
      <c r="Y81" s="378" t="s">
        <v>69</v>
      </c>
      <c r="Z81" s="388" t="s">
        <v>108</v>
      </c>
      <c r="AA81" s="120" t="s">
        <v>69</v>
      </c>
      <c r="AB81" s="120" t="s">
        <v>69</v>
      </c>
      <c r="AC81" s="120" t="s">
        <v>69</v>
      </c>
      <c r="AD81" s="398" t="s">
        <v>175</v>
      </c>
      <c r="AE81" s="120" t="s">
        <v>69</v>
      </c>
      <c r="AF81" s="120" t="s">
        <v>69</v>
      </c>
      <c r="AG81" s="329" t="s">
        <v>108</v>
      </c>
      <c r="AH81" s="134" t="s">
        <v>69</v>
      </c>
      <c r="AI81" s="134" t="s">
        <v>69</v>
      </c>
      <c r="AJ81" s="134" t="s">
        <v>69</v>
      </c>
    </row>
    <row r="82" spans="1:36" ht="18">
      <c r="A82" s="5">
        <v>81</v>
      </c>
      <c r="B82" s="254" t="s">
        <v>62</v>
      </c>
      <c r="C82" s="7">
        <v>1</v>
      </c>
      <c r="D82" s="7">
        <v>1</v>
      </c>
      <c r="E82" s="7">
        <f t="shared" si="2"/>
        <v>0</v>
      </c>
      <c r="F82" s="120" t="s">
        <v>69</v>
      </c>
      <c r="G82" s="120" t="s">
        <v>69</v>
      </c>
      <c r="H82" s="130" t="s">
        <v>74</v>
      </c>
      <c r="I82" s="379" t="s">
        <v>72</v>
      </c>
      <c r="J82" s="120" t="s">
        <v>69</v>
      </c>
      <c r="K82" s="120" t="s">
        <v>69</v>
      </c>
      <c r="L82" s="388" t="s">
        <v>108</v>
      </c>
      <c r="M82" s="120" t="s">
        <v>69</v>
      </c>
      <c r="N82" s="120" t="s">
        <v>69</v>
      </c>
      <c r="O82" s="120" t="s">
        <v>69</v>
      </c>
      <c r="P82" s="120" t="s">
        <v>69</v>
      </c>
      <c r="Q82" s="120" t="s">
        <v>69</v>
      </c>
      <c r="R82" s="120" t="s">
        <v>69</v>
      </c>
      <c r="S82" s="388" t="s">
        <v>108</v>
      </c>
      <c r="T82" s="378" t="s">
        <v>69</v>
      </c>
      <c r="U82" s="378" t="s">
        <v>69</v>
      </c>
      <c r="V82" s="378" t="s">
        <v>69</v>
      </c>
      <c r="W82" s="378" t="s">
        <v>69</v>
      </c>
      <c r="X82" s="378" t="s">
        <v>69</v>
      </c>
      <c r="Y82" s="378" t="s">
        <v>69</v>
      </c>
      <c r="Z82" s="388" t="s">
        <v>108</v>
      </c>
      <c r="AA82" s="120" t="s">
        <v>69</v>
      </c>
      <c r="AB82" s="120" t="s">
        <v>69</v>
      </c>
      <c r="AC82" s="120" t="s">
        <v>69</v>
      </c>
      <c r="AD82" s="120" t="s">
        <v>69</v>
      </c>
      <c r="AE82" s="120" t="s">
        <v>69</v>
      </c>
      <c r="AF82" s="120" t="s">
        <v>69</v>
      </c>
      <c r="AG82" s="388" t="s">
        <v>108</v>
      </c>
      <c r="AH82" s="134" t="s">
        <v>69</v>
      </c>
      <c r="AI82" s="134" t="s">
        <v>69</v>
      </c>
      <c r="AJ82" s="134" t="s">
        <v>69</v>
      </c>
    </row>
    <row r="83" spans="1:36" ht="18">
      <c r="A83" s="5">
        <v>82</v>
      </c>
      <c r="B83" s="254" t="s">
        <v>171</v>
      </c>
      <c r="C83" s="7">
        <v>4</v>
      </c>
      <c r="D83" s="7">
        <v>1.5</v>
      </c>
      <c r="E83" s="7">
        <f t="shared" si="2"/>
        <v>2.5</v>
      </c>
      <c r="F83" s="120" t="s">
        <v>69</v>
      </c>
      <c r="G83" s="120" t="s">
        <v>69</v>
      </c>
      <c r="H83" s="120" t="s">
        <v>69</v>
      </c>
      <c r="I83" s="120" t="s">
        <v>69</v>
      </c>
      <c r="J83" s="120" t="s">
        <v>69</v>
      </c>
      <c r="K83" s="120" t="s">
        <v>69</v>
      </c>
      <c r="L83" s="388" t="s">
        <v>108</v>
      </c>
      <c r="M83" s="120" t="s">
        <v>69</v>
      </c>
      <c r="N83" s="120" t="s">
        <v>69</v>
      </c>
      <c r="O83" s="121" t="s">
        <v>72</v>
      </c>
      <c r="P83" s="120" t="s">
        <v>69</v>
      </c>
      <c r="Q83" s="120" t="s">
        <v>69</v>
      </c>
      <c r="R83" s="120" t="s">
        <v>69</v>
      </c>
      <c r="S83" s="388" t="s">
        <v>108</v>
      </c>
      <c r="T83" s="120" t="s">
        <v>69</v>
      </c>
      <c r="U83" s="120" t="s">
        <v>69</v>
      </c>
      <c r="V83" s="120" t="s">
        <v>69</v>
      </c>
      <c r="W83" s="120" t="s">
        <v>69</v>
      </c>
      <c r="X83" s="120" t="s">
        <v>69</v>
      </c>
      <c r="Y83" s="120" t="s">
        <v>69</v>
      </c>
      <c r="Z83" s="388" t="s">
        <v>108</v>
      </c>
      <c r="AA83" s="120" t="s">
        <v>69</v>
      </c>
      <c r="AB83" s="120" t="s">
        <v>69</v>
      </c>
      <c r="AC83" s="120" t="s">
        <v>69</v>
      </c>
      <c r="AD83" s="400" t="s">
        <v>175</v>
      </c>
      <c r="AE83" s="120" t="s">
        <v>69</v>
      </c>
      <c r="AF83" s="120" t="s">
        <v>69</v>
      </c>
      <c r="AG83" s="329" t="s">
        <v>108</v>
      </c>
      <c r="AH83" s="131" t="s">
        <v>72</v>
      </c>
      <c r="AI83" s="131" t="s">
        <v>72</v>
      </c>
      <c r="AJ83" s="131" t="s">
        <v>72</v>
      </c>
    </row>
    <row r="84" spans="1:36">
      <c r="A84" s="5">
        <v>82</v>
      </c>
      <c r="C84" s="7"/>
      <c r="G84" s="361"/>
      <c r="H84" s="120"/>
      <c r="I84" s="120"/>
      <c r="J84" s="120"/>
      <c r="K84" s="120"/>
      <c r="L84" s="120"/>
      <c r="M84" s="120"/>
      <c r="N84" s="361"/>
      <c r="O84" s="120"/>
      <c r="P84" s="120"/>
      <c r="Q84" s="120"/>
      <c r="R84" s="120"/>
      <c r="S84" s="120"/>
      <c r="T84" s="131"/>
      <c r="U84" s="361"/>
      <c r="V84" s="120"/>
      <c r="W84" s="120"/>
      <c r="X84" s="120"/>
      <c r="Y84" s="120"/>
      <c r="Z84" s="120"/>
      <c r="AA84" s="120"/>
      <c r="AB84" s="361"/>
      <c r="AC84" s="120"/>
      <c r="AD84" s="120"/>
      <c r="AE84" s="131"/>
      <c r="AF84" s="120"/>
      <c r="AG84" s="120"/>
      <c r="AH84" s="120"/>
      <c r="AI84" s="361"/>
    </row>
    <row r="85" spans="1:36">
      <c r="A85" s="5"/>
      <c r="C85" s="7"/>
      <c r="G85" s="361"/>
      <c r="H85" s="120"/>
      <c r="I85" s="120"/>
      <c r="J85" s="120"/>
      <c r="K85" s="131"/>
      <c r="L85" s="120"/>
      <c r="M85" s="120"/>
      <c r="N85" s="361"/>
      <c r="O85" s="120"/>
      <c r="P85" s="120"/>
      <c r="Q85" s="120"/>
      <c r="R85" s="120"/>
      <c r="S85" s="120"/>
      <c r="T85" s="120"/>
      <c r="U85" s="361"/>
      <c r="V85" s="120"/>
      <c r="W85" s="120"/>
      <c r="X85" s="120"/>
      <c r="Y85" s="120"/>
      <c r="Z85" s="120"/>
      <c r="AA85" s="120"/>
      <c r="AB85" s="361"/>
      <c r="AC85" s="120"/>
      <c r="AD85" s="120"/>
      <c r="AE85" s="120"/>
      <c r="AF85" s="120"/>
      <c r="AG85" s="120"/>
      <c r="AH85" s="120"/>
      <c r="AI85" s="361"/>
    </row>
    <row r="86" spans="1:36">
      <c r="C86" s="7"/>
      <c r="G86" s="348"/>
      <c r="N86" s="348"/>
      <c r="U86" s="348"/>
      <c r="AB86" s="348"/>
      <c r="AI86" s="348"/>
    </row>
    <row r="89" spans="1:36">
      <c r="B89" s="155" t="s">
        <v>125</v>
      </c>
    </row>
    <row r="90" spans="1:36">
      <c r="B90" s="155" t="s">
        <v>126</v>
      </c>
    </row>
    <row r="91" spans="1:36">
      <c r="B91" s="42" t="s">
        <v>127</v>
      </c>
    </row>
    <row r="92" spans="1:36">
      <c r="B92" s="42" t="s">
        <v>128</v>
      </c>
    </row>
    <row r="93" spans="1:36">
      <c r="B93" s="42" t="s">
        <v>129</v>
      </c>
    </row>
    <row r="94" spans="1:36">
      <c r="B94" s="42" t="s">
        <v>130</v>
      </c>
    </row>
    <row r="95" spans="1:36">
      <c r="B95" s="42" t="s">
        <v>131</v>
      </c>
    </row>
    <row r="96" spans="1:36">
      <c r="B96" s="42" t="s">
        <v>132</v>
      </c>
    </row>
    <row r="97" spans="2:2">
      <c r="B97" t="s">
        <v>206</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4BE42-E9F3-4DB4-ABA9-C6D48DCC063A}">
  <dimension ref="A1:AJ92"/>
  <sheetViews>
    <sheetView workbookViewId="0">
      <pane xSplit="2" topLeftCell="C1" activePane="topRight" state="frozen"/>
      <selection pane="topRight" activeCell="A35" sqref="A35"/>
    </sheetView>
  </sheetViews>
  <sheetFormatPr defaultRowHeight="14.25"/>
  <cols>
    <col min="2" max="2" width="26.3984375" customWidth="1"/>
  </cols>
  <sheetData>
    <row r="1" spans="1:36" ht="18">
      <c r="A1" s="29" t="s">
        <v>64</v>
      </c>
      <c r="B1" s="29" t="s">
        <v>65</v>
      </c>
      <c r="C1" s="336" t="s">
        <v>68</v>
      </c>
      <c r="D1" s="336" t="s">
        <v>66</v>
      </c>
      <c r="E1" s="336" t="s">
        <v>67</v>
      </c>
      <c r="F1" s="165">
        <v>1</v>
      </c>
      <c r="G1" s="165">
        <v>2</v>
      </c>
      <c r="H1" s="165">
        <v>3</v>
      </c>
      <c r="I1" s="165">
        <v>4</v>
      </c>
      <c r="J1" s="165">
        <v>5</v>
      </c>
      <c r="K1" s="165">
        <v>6</v>
      </c>
      <c r="L1" s="165">
        <v>7</v>
      </c>
      <c r="M1" s="122">
        <v>8</v>
      </c>
      <c r="N1" s="165">
        <v>9</v>
      </c>
      <c r="O1" s="165">
        <v>10</v>
      </c>
      <c r="P1" s="165">
        <v>11</v>
      </c>
      <c r="Q1" s="165">
        <v>12</v>
      </c>
      <c r="R1" s="165">
        <v>13</v>
      </c>
      <c r="S1" s="165">
        <v>14</v>
      </c>
      <c r="T1" s="165">
        <v>15</v>
      </c>
      <c r="U1" s="165">
        <v>16</v>
      </c>
      <c r="V1" s="165">
        <v>17</v>
      </c>
      <c r="W1" s="165">
        <v>18</v>
      </c>
      <c r="X1" s="165">
        <v>19</v>
      </c>
      <c r="Y1" s="165">
        <v>20</v>
      </c>
      <c r="Z1" s="165">
        <v>21</v>
      </c>
      <c r="AA1" s="165">
        <v>22</v>
      </c>
      <c r="AB1" s="165">
        <v>23</v>
      </c>
      <c r="AC1" s="165">
        <v>24</v>
      </c>
      <c r="AD1" s="165">
        <v>25</v>
      </c>
      <c r="AE1" s="165">
        <v>26</v>
      </c>
      <c r="AF1" s="165">
        <v>27</v>
      </c>
      <c r="AG1" s="165">
        <v>28</v>
      </c>
      <c r="AH1" s="166">
        <v>29</v>
      </c>
      <c r="AI1" s="360">
        <v>30</v>
      </c>
      <c r="AJ1" s="167">
        <v>31</v>
      </c>
    </row>
    <row r="2" spans="1:36" ht="18">
      <c r="A2" s="5">
        <v>1</v>
      </c>
      <c r="B2" s="254" t="s">
        <v>6</v>
      </c>
      <c r="C2" s="7">
        <v>4</v>
      </c>
      <c r="D2" s="7">
        <v>4</v>
      </c>
      <c r="E2" s="7">
        <f>C2-D2</f>
        <v>0</v>
      </c>
      <c r="F2" s="400" t="s">
        <v>111</v>
      </c>
      <c r="G2" s="168" t="s">
        <v>69</v>
      </c>
      <c r="H2" s="168" t="s">
        <v>69</v>
      </c>
      <c r="I2" s="388" t="s">
        <v>108</v>
      </c>
      <c r="J2" s="168" t="s">
        <v>69</v>
      </c>
      <c r="K2" s="168" t="s">
        <v>69</v>
      </c>
      <c r="L2" s="168" t="s">
        <v>69</v>
      </c>
      <c r="M2" s="168" t="s">
        <v>69</v>
      </c>
      <c r="N2" s="168" t="s">
        <v>69</v>
      </c>
      <c r="O2" s="120" t="s">
        <v>69</v>
      </c>
      <c r="P2" s="329" t="s">
        <v>108</v>
      </c>
      <c r="Q2" s="120" t="s">
        <v>69</v>
      </c>
      <c r="R2" s="120" t="s">
        <v>69</v>
      </c>
      <c r="S2" s="120" t="s">
        <v>69</v>
      </c>
      <c r="T2" s="120" t="s">
        <v>69</v>
      </c>
      <c r="U2" s="120" t="s">
        <v>69</v>
      </c>
      <c r="V2" s="121" t="s">
        <v>72</v>
      </c>
      <c r="W2" s="329" t="s">
        <v>108</v>
      </c>
      <c r="X2" s="120" t="s">
        <v>69</v>
      </c>
      <c r="Y2" s="120" t="s">
        <v>69</v>
      </c>
      <c r="Z2" s="120" t="s">
        <v>69</v>
      </c>
      <c r="AA2" s="120" t="s">
        <v>69</v>
      </c>
      <c r="AB2" s="121" t="s">
        <v>72</v>
      </c>
      <c r="AC2" s="121" t="s">
        <v>72</v>
      </c>
      <c r="AD2" s="427" t="s">
        <v>108</v>
      </c>
      <c r="AE2" s="429" t="s">
        <v>111</v>
      </c>
      <c r="AF2" s="120" t="s">
        <v>69</v>
      </c>
      <c r="AG2" s="120" t="s">
        <v>69</v>
      </c>
      <c r="AH2" s="120" t="s">
        <v>69</v>
      </c>
      <c r="AI2" s="120" t="s">
        <v>69</v>
      </c>
      <c r="AJ2" s="121" t="s">
        <v>72</v>
      </c>
    </row>
    <row r="3" spans="1:36" ht="18">
      <c r="A3" s="5">
        <v>2</v>
      </c>
      <c r="B3" s="254" t="s">
        <v>249</v>
      </c>
      <c r="C3" s="7">
        <v>5</v>
      </c>
      <c r="D3" s="7">
        <v>0</v>
      </c>
      <c r="E3" s="7">
        <f t="shared" ref="E3:E66" si="0">C3-D3</f>
        <v>5</v>
      </c>
      <c r="F3" s="121" t="s">
        <v>72</v>
      </c>
      <c r="G3" s="121" t="s">
        <v>72</v>
      </c>
      <c r="H3" s="121" t="s">
        <v>72</v>
      </c>
      <c r="I3" s="388" t="s">
        <v>108</v>
      </c>
      <c r="J3" s="134" t="s">
        <v>69</v>
      </c>
      <c r="K3" s="120" t="s">
        <v>69</v>
      </c>
      <c r="L3" s="120" t="s">
        <v>69</v>
      </c>
      <c r="M3" s="120" t="s">
        <v>69</v>
      </c>
      <c r="N3" s="120" t="s">
        <v>69</v>
      </c>
      <c r="O3" s="120" t="s">
        <v>69</v>
      </c>
      <c r="P3" s="329" t="s">
        <v>108</v>
      </c>
      <c r="Q3" s="120" t="s">
        <v>69</v>
      </c>
      <c r="R3" s="120" t="s">
        <v>69</v>
      </c>
      <c r="S3" s="418" t="s">
        <v>72</v>
      </c>
      <c r="T3" s="120" t="s">
        <v>69</v>
      </c>
      <c r="U3" s="120" t="s">
        <v>69</v>
      </c>
      <c r="V3" s="120" t="s">
        <v>69</v>
      </c>
      <c r="W3" s="329" t="s">
        <v>108</v>
      </c>
      <c r="X3" s="120" t="s">
        <v>69</v>
      </c>
      <c r="Y3" s="120" t="s">
        <v>69</v>
      </c>
      <c r="Z3" s="120" t="s">
        <v>69</v>
      </c>
      <c r="AA3" s="120" t="s">
        <v>69</v>
      </c>
      <c r="AB3" s="120" t="s">
        <v>69</v>
      </c>
      <c r="AC3" s="120" t="s">
        <v>69</v>
      </c>
      <c r="AD3" s="427" t="s">
        <v>108</v>
      </c>
      <c r="AE3" s="429" t="s">
        <v>111</v>
      </c>
      <c r="AF3" s="120" t="s">
        <v>69</v>
      </c>
      <c r="AG3" s="120" t="s">
        <v>69</v>
      </c>
      <c r="AH3" s="120" t="s">
        <v>69</v>
      </c>
      <c r="AI3" s="120" t="s">
        <v>69</v>
      </c>
      <c r="AJ3" s="120" t="s">
        <v>69</v>
      </c>
    </row>
    <row r="4" spans="1:36" ht="18">
      <c r="A4" s="5">
        <v>3</v>
      </c>
      <c r="B4" s="254" t="s">
        <v>7</v>
      </c>
      <c r="C4" s="7">
        <v>2</v>
      </c>
      <c r="D4" s="7">
        <v>2</v>
      </c>
      <c r="E4" s="7">
        <f t="shared" si="0"/>
        <v>0</v>
      </c>
      <c r="F4" s="134" t="s">
        <v>69</v>
      </c>
      <c r="G4" s="168" t="s">
        <v>69</v>
      </c>
      <c r="H4" s="121" t="s">
        <v>72</v>
      </c>
      <c r="I4" s="329" t="s">
        <v>108</v>
      </c>
      <c r="J4" s="134" t="s">
        <v>69</v>
      </c>
      <c r="K4" s="134" t="s">
        <v>69</v>
      </c>
      <c r="L4" s="134" t="s">
        <v>69</v>
      </c>
      <c r="M4" s="120" t="s">
        <v>69</v>
      </c>
      <c r="N4" s="120" t="s">
        <v>69</v>
      </c>
      <c r="O4" s="120" t="s">
        <v>69</v>
      </c>
      <c r="P4" s="329" t="s">
        <v>108</v>
      </c>
      <c r="Q4" s="120" t="s">
        <v>69</v>
      </c>
      <c r="R4" s="120" t="s">
        <v>69</v>
      </c>
      <c r="S4" s="414" t="s">
        <v>111</v>
      </c>
      <c r="T4" s="121" t="s">
        <v>72</v>
      </c>
      <c r="U4" s="120" t="s">
        <v>69</v>
      </c>
      <c r="V4" s="120" t="s">
        <v>69</v>
      </c>
      <c r="W4" s="329" t="s">
        <v>108</v>
      </c>
      <c r="X4" s="120" t="s">
        <v>69</v>
      </c>
      <c r="Y4" s="120" t="s">
        <v>69</v>
      </c>
      <c r="Z4" s="120" t="s">
        <v>69</v>
      </c>
      <c r="AA4" s="120" t="s">
        <v>69</v>
      </c>
      <c r="AB4" s="120" t="s">
        <v>69</v>
      </c>
      <c r="AC4" s="120" t="s">
        <v>69</v>
      </c>
      <c r="AD4" s="427" t="s">
        <v>108</v>
      </c>
      <c r="AE4" s="429" t="s">
        <v>111</v>
      </c>
      <c r="AF4" s="120" t="s">
        <v>69</v>
      </c>
      <c r="AG4" s="120" t="s">
        <v>69</v>
      </c>
      <c r="AH4" s="120" t="s">
        <v>69</v>
      </c>
      <c r="AI4" s="120" t="s">
        <v>69</v>
      </c>
      <c r="AJ4" s="120" t="s">
        <v>69</v>
      </c>
    </row>
    <row r="5" spans="1:36" ht="18">
      <c r="A5" s="5">
        <v>4</v>
      </c>
      <c r="B5" s="254" t="s">
        <v>8</v>
      </c>
      <c r="C5" s="7">
        <v>2</v>
      </c>
      <c r="D5" s="7">
        <v>2</v>
      </c>
      <c r="E5" s="7">
        <f t="shared" si="0"/>
        <v>0</v>
      </c>
      <c r="F5" s="400" t="s">
        <v>111</v>
      </c>
      <c r="G5" s="121" t="s">
        <v>72</v>
      </c>
      <c r="H5" s="120" t="s">
        <v>69</v>
      </c>
      <c r="I5" s="388" t="s">
        <v>108</v>
      </c>
      <c r="J5" s="134" t="s">
        <v>69</v>
      </c>
      <c r="K5" s="134" t="s">
        <v>69</v>
      </c>
      <c r="L5" s="388" t="s">
        <v>92</v>
      </c>
      <c r="M5" s="120" t="s">
        <v>69</v>
      </c>
      <c r="N5" s="120" t="s">
        <v>69</v>
      </c>
      <c r="O5" s="120" t="s">
        <v>69</v>
      </c>
      <c r="P5" s="329" t="s">
        <v>108</v>
      </c>
      <c r="Q5" s="120" t="s">
        <v>69</v>
      </c>
      <c r="R5" s="412" t="s">
        <v>111</v>
      </c>
      <c r="S5" s="419" t="s">
        <v>69</v>
      </c>
      <c r="T5" s="419" t="s">
        <v>69</v>
      </c>
      <c r="U5" s="419" t="s">
        <v>69</v>
      </c>
      <c r="V5" s="419" t="s">
        <v>69</v>
      </c>
      <c r="W5" s="329" t="s">
        <v>108</v>
      </c>
      <c r="X5" s="120" t="s">
        <v>69</v>
      </c>
      <c r="Y5" s="406" t="s">
        <v>72</v>
      </c>
      <c r="Z5" s="419" t="s">
        <v>69</v>
      </c>
      <c r="AA5" s="419" t="s">
        <v>69</v>
      </c>
      <c r="AB5" s="419" t="s">
        <v>69</v>
      </c>
      <c r="AC5" s="419" t="s">
        <v>69</v>
      </c>
      <c r="AD5" s="427" t="s">
        <v>108</v>
      </c>
      <c r="AE5" s="429" t="s">
        <v>111</v>
      </c>
      <c r="AF5" s="672" t="s">
        <v>250</v>
      </c>
      <c r="AG5" s="120" t="s">
        <v>69</v>
      </c>
      <c r="AH5" s="120" t="s">
        <v>69</v>
      </c>
      <c r="AI5" s="120" t="s">
        <v>69</v>
      </c>
      <c r="AJ5" s="120" t="s">
        <v>69</v>
      </c>
    </row>
    <row r="6" spans="1:36" ht="18">
      <c r="A6" s="5">
        <v>5</v>
      </c>
      <c r="B6" s="254" t="s">
        <v>11</v>
      </c>
      <c r="C6" s="7">
        <v>3.5</v>
      </c>
      <c r="D6" s="7">
        <v>1</v>
      </c>
      <c r="E6" s="7">
        <f t="shared" si="0"/>
        <v>2.5</v>
      </c>
      <c r="F6" s="400" t="s">
        <v>111</v>
      </c>
      <c r="G6" s="120" t="s">
        <v>69</v>
      </c>
      <c r="H6" s="120" t="s">
        <v>69</v>
      </c>
      <c r="I6" s="329" t="s">
        <v>108</v>
      </c>
      <c r="J6" s="134" t="s">
        <v>69</v>
      </c>
      <c r="K6" s="134" t="s">
        <v>69</v>
      </c>
      <c r="L6" s="388" t="s">
        <v>92</v>
      </c>
      <c r="M6" s="409" t="s">
        <v>69</v>
      </c>
      <c r="N6" s="409" t="s">
        <v>69</v>
      </c>
      <c r="O6" s="409" t="s">
        <v>69</v>
      </c>
      <c r="P6" s="329" t="s">
        <v>108</v>
      </c>
      <c r="Q6" s="120" t="s">
        <v>69</v>
      </c>
      <c r="R6" s="120" t="s">
        <v>69</v>
      </c>
      <c r="S6" s="120" t="s">
        <v>69</v>
      </c>
      <c r="T6" s="120" t="s">
        <v>69</v>
      </c>
      <c r="U6" s="120" t="s">
        <v>69</v>
      </c>
      <c r="V6" s="120" t="s">
        <v>69</v>
      </c>
      <c r="W6" s="329" t="s">
        <v>108</v>
      </c>
      <c r="X6" s="390" t="s">
        <v>72</v>
      </c>
      <c r="Y6" s="378" t="s">
        <v>69</v>
      </c>
      <c r="Z6" s="378" t="s">
        <v>69</v>
      </c>
      <c r="AA6" s="121" t="s">
        <v>72</v>
      </c>
      <c r="AB6" s="120" t="s">
        <v>69</v>
      </c>
      <c r="AC6" s="120" t="s">
        <v>69</v>
      </c>
      <c r="AD6" s="427" t="s">
        <v>108</v>
      </c>
      <c r="AE6" s="429" t="s">
        <v>111</v>
      </c>
      <c r="AF6" s="378" t="s">
        <v>69</v>
      </c>
      <c r="AG6" s="121" t="s">
        <v>72</v>
      </c>
      <c r="AH6" s="132" t="s">
        <v>94</v>
      </c>
      <c r="AI6" s="120" t="s">
        <v>69</v>
      </c>
      <c r="AJ6" s="120" t="s">
        <v>69</v>
      </c>
    </row>
    <row r="7" spans="1:36" ht="18">
      <c r="A7" s="5">
        <v>6</v>
      </c>
      <c r="B7" s="254" t="s">
        <v>193</v>
      </c>
      <c r="C7" s="7">
        <v>0</v>
      </c>
      <c r="D7" s="7">
        <v>0</v>
      </c>
      <c r="E7" s="7">
        <f t="shared" si="0"/>
        <v>0</v>
      </c>
      <c r="F7" s="400" t="s">
        <v>111</v>
      </c>
      <c r="G7" s="120" t="s">
        <v>69</v>
      </c>
      <c r="H7" s="120" t="s">
        <v>69</v>
      </c>
      <c r="I7" s="388" t="s">
        <v>108</v>
      </c>
      <c r="J7" s="134" t="s">
        <v>69</v>
      </c>
      <c r="K7" s="134" t="s">
        <v>69</v>
      </c>
      <c r="L7" s="134" t="s">
        <v>69</v>
      </c>
      <c r="M7" s="134" t="s">
        <v>69</v>
      </c>
      <c r="N7" s="134" t="s">
        <v>69</v>
      </c>
      <c r="O7" s="134" t="s">
        <v>69</v>
      </c>
      <c r="P7" s="329" t="s">
        <v>108</v>
      </c>
      <c r="Q7" s="120" t="s">
        <v>69</v>
      </c>
      <c r="R7" s="120" t="s">
        <v>69</v>
      </c>
      <c r="S7" s="120" t="s">
        <v>69</v>
      </c>
      <c r="T7" s="120" t="s">
        <v>69</v>
      </c>
      <c r="U7" s="120" t="s">
        <v>69</v>
      </c>
      <c r="V7" s="120" t="s">
        <v>69</v>
      </c>
      <c r="W7" s="329" t="s">
        <v>108</v>
      </c>
      <c r="X7" s="378" t="s">
        <v>69</v>
      </c>
      <c r="Y7" s="378" t="s">
        <v>69</v>
      </c>
      <c r="Z7" s="378" t="s">
        <v>69</v>
      </c>
      <c r="AA7" s="378" t="s">
        <v>69</v>
      </c>
      <c r="AB7" s="378" t="s">
        <v>69</v>
      </c>
      <c r="AC7" s="378" t="s">
        <v>69</v>
      </c>
      <c r="AD7" s="427" t="s">
        <v>108</v>
      </c>
      <c r="AE7" s="429" t="s">
        <v>111</v>
      </c>
      <c r="AF7" s="378" t="s">
        <v>69</v>
      </c>
      <c r="AG7" s="409" t="s">
        <v>69</v>
      </c>
      <c r="AH7" s="409" t="s">
        <v>69</v>
      </c>
      <c r="AI7" s="409" t="s">
        <v>69</v>
      </c>
      <c r="AJ7" s="409" t="s">
        <v>69</v>
      </c>
    </row>
    <row r="8" spans="1:36" ht="18">
      <c r="A8" s="5">
        <v>7</v>
      </c>
      <c r="B8" s="254" t="s">
        <v>137</v>
      </c>
      <c r="C8" s="7">
        <v>1</v>
      </c>
      <c r="D8" s="7">
        <v>1</v>
      </c>
      <c r="E8" s="7">
        <f t="shared" si="0"/>
        <v>0</v>
      </c>
      <c r="F8" s="400" t="s">
        <v>111</v>
      </c>
      <c r="G8" s="120" t="s">
        <v>69</v>
      </c>
      <c r="H8" s="120" t="s">
        <v>69</v>
      </c>
      <c r="I8" s="329" t="s">
        <v>108</v>
      </c>
      <c r="J8" s="134" t="s">
        <v>69</v>
      </c>
      <c r="K8" s="134" t="s">
        <v>69</v>
      </c>
      <c r="L8" s="134" t="s">
        <v>69</v>
      </c>
      <c r="M8" s="134" t="s">
        <v>69</v>
      </c>
      <c r="N8" s="134" t="s">
        <v>69</v>
      </c>
      <c r="O8" s="134" t="s">
        <v>69</v>
      </c>
      <c r="P8" s="329" t="s">
        <v>108</v>
      </c>
      <c r="Q8" s="120" t="s">
        <v>69</v>
      </c>
      <c r="R8" s="120" t="s">
        <v>69</v>
      </c>
      <c r="S8" s="120" t="s">
        <v>69</v>
      </c>
      <c r="T8" s="120" t="s">
        <v>69</v>
      </c>
      <c r="U8" s="120" t="s">
        <v>69</v>
      </c>
      <c r="V8" s="120" t="s">
        <v>69</v>
      </c>
      <c r="W8" s="329" t="s">
        <v>108</v>
      </c>
      <c r="X8" s="378" t="s">
        <v>69</v>
      </c>
      <c r="Y8" s="378" t="s">
        <v>69</v>
      </c>
      <c r="Z8" s="378" t="s">
        <v>69</v>
      </c>
      <c r="AA8" s="378" t="s">
        <v>69</v>
      </c>
      <c r="AB8" s="378" t="s">
        <v>69</v>
      </c>
      <c r="AC8" s="378" t="s">
        <v>69</v>
      </c>
      <c r="AD8" s="427" t="s">
        <v>108</v>
      </c>
      <c r="AE8" s="429" t="s">
        <v>111</v>
      </c>
      <c r="AF8" s="378" t="s">
        <v>69</v>
      </c>
      <c r="AG8" s="378" t="s">
        <v>69</v>
      </c>
      <c r="AH8" s="379" t="s">
        <v>72</v>
      </c>
      <c r="AI8" s="378" t="s">
        <v>69</v>
      </c>
      <c r="AJ8" s="378" t="s">
        <v>69</v>
      </c>
    </row>
    <row r="9" spans="1:36" ht="18">
      <c r="A9" s="5">
        <v>8</v>
      </c>
      <c r="B9" s="254" t="s">
        <v>95</v>
      </c>
      <c r="C9" s="7">
        <v>0</v>
      </c>
      <c r="D9" s="7">
        <v>0</v>
      </c>
      <c r="E9" s="7">
        <f t="shared" si="0"/>
        <v>0</v>
      </c>
      <c r="F9" s="400" t="s">
        <v>111</v>
      </c>
      <c r="G9" s="120" t="s">
        <v>69</v>
      </c>
      <c r="H9" s="120" t="s">
        <v>69</v>
      </c>
      <c r="I9" s="388" t="s">
        <v>108</v>
      </c>
      <c r="J9" s="134" t="s">
        <v>69</v>
      </c>
      <c r="K9" s="134" t="s">
        <v>69</v>
      </c>
      <c r="L9" s="134" t="s">
        <v>69</v>
      </c>
      <c r="M9" s="134" t="s">
        <v>69</v>
      </c>
      <c r="N9" s="134" t="s">
        <v>69</v>
      </c>
      <c r="O9" s="134" t="s">
        <v>69</v>
      </c>
      <c r="P9" s="329" t="s">
        <v>108</v>
      </c>
      <c r="Q9" s="120" t="s">
        <v>69</v>
      </c>
      <c r="R9" s="120" t="s">
        <v>69</v>
      </c>
      <c r="S9" s="120" t="s">
        <v>69</v>
      </c>
      <c r="T9" s="378" t="s">
        <v>111</v>
      </c>
      <c r="U9" s="120" t="s">
        <v>69</v>
      </c>
      <c r="V9" s="120" t="s">
        <v>69</v>
      </c>
      <c r="W9" s="329" t="s">
        <v>108</v>
      </c>
      <c r="X9" s="378" t="s">
        <v>69</v>
      </c>
      <c r="Y9" s="378" t="s">
        <v>69</v>
      </c>
      <c r="Z9" s="378" t="s">
        <v>69</v>
      </c>
      <c r="AA9" s="378" t="s">
        <v>69</v>
      </c>
      <c r="AB9" s="378" t="s">
        <v>69</v>
      </c>
      <c r="AC9" s="378" t="s">
        <v>69</v>
      </c>
      <c r="AD9" s="427" t="s">
        <v>108</v>
      </c>
      <c r="AE9" s="429" t="s">
        <v>111</v>
      </c>
      <c r="AF9" s="378" t="s">
        <v>69</v>
      </c>
      <c r="AG9" s="378" t="s">
        <v>69</v>
      </c>
      <c r="AH9" s="378" t="s">
        <v>69</v>
      </c>
      <c r="AI9" s="378" t="s">
        <v>69</v>
      </c>
      <c r="AJ9" s="378" t="s">
        <v>69</v>
      </c>
    </row>
    <row r="10" spans="1:36" ht="18">
      <c r="A10" s="5">
        <v>9</v>
      </c>
      <c r="B10" s="254" t="s">
        <v>237</v>
      </c>
      <c r="C10" s="7">
        <v>3</v>
      </c>
      <c r="D10" s="7">
        <v>1</v>
      </c>
      <c r="E10" s="7">
        <f t="shared" si="0"/>
        <v>2</v>
      </c>
      <c r="F10" s="400" t="s">
        <v>111</v>
      </c>
      <c r="G10" s="120" t="s">
        <v>69</v>
      </c>
      <c r="H10" s="120" t="s">
        <v>69</v>
      </c>
      <c r="I10" s="329" t="s">
        <v>108</v>
      </c>
      <c r="J10" s="134" t="s">
        <v>69</v>
      </c>
      <c r="K10" s="134" t="s">
        <v>69</v>
      </c>
      <c r="L10" s="134" t="s">
        <v>69</v>
      </c>
      <c r="M10" s="134" t="s">
        <v>69</v>
      </c>
      <c r="N10" s="134" t="s">
        <v>69</v>
      </c>
      <c r="O10" s="121" t="s">
        <v>72</v>
      </c>
      <c r="P10" s="329" t="s">
        <v>108</v>
      </c>
      <c r="Q10" s="120" t="s">
        <v>69</v>
      </c>
      <c r="R10" s="241" t="s">
        <v>111</v>
      </c>
      <c r="S10" s="120" t="s">
        <v>69</v>
      </c>
      <c r="T10" s="120" t="s">
        <v>69</v>
      </c>
      <c r="U10" s="120" t="s">
        <v>69</v>
      </c>
      <c r="V10" s="379" t="s">
        <v>72</v>
      </c>
      <c r="W10" s="329" t="s">
        <v>108</v>
      </c>
      <c r="X10" s="378" t="s">
        <v>69</v>
      </c>
      <c r="Y10" s="378" t="s">
        <v>69</v>
      </c>
      <c r="Z10" s="378" t="s">
        <v>69</v>
      </c>
      <c r="AA10" s="378" t="s">
        <v>69</v>
      </c>
      <c r="AB10" s="378" t="s">
        <v>69</v>
      </c>
      <c r="AC10" s="378" t="s">
        <v>69</v>
      </c>
      <c r="AD10" s="427" t="s">
        <v>108</v>
      </c>
      <c r="AE10" s="429" t="s">
        <v>111</v>
      </c>
      <c r="AF10" s="378" t="s">
        <v>251</v>
      </c>
      <c r="AG10" s="378" t="s">
        <v>69</v>
      </c>
      <c r="AH10" s="378" t="s">
        <v>69</v>
      </c>
      <c r="AI10" s="378" t="s">
        <v>69</v>
      </c>
      <c r="AJ10" s="379" t="s">
        <v>72</v>
      </c>
    </row>
    <row r="11" spans="1:36" ht="18">
      <c r="A11" s="5">
        <v>10</v>
      </c>
      <c r="B11" s="254" t="s">
        <v>13</v>
      </c>
      <c r="C11" s="7">
        <v>0</v>
      </c>
      <c r="D11" s="7">
        <v>0</v>
      </c>
      <c r="E11" s="7">
        <f t="shared" si="0"/>
        <v>0</v>
      </c>
      <c r="F11" s="400" t="s">
        <v>111</v>
      </c>
      <c r="G11" s="120" t="s">
        <v>69</v>
      </c>
      <c r="H11" s="120" t="s">
        <v>69</v>
      </c>
      <c r="I11" s="388" t="s">
        <v>108</v>
      </c>
      <c r="J11" s="134" t="s">
        <v>69</v>
      </c>
      <c r="K11" s="134" t="s">
        <v>69</v>
      </c>
      <c r="L11" s="134" t="s">
        <v>69</v>
      </c>
      <c r="M11" s="134" t="s">
        <v>69</v>
      </c>
      <c r="N11" s="134" t="s">
        <v>69</v>
      </c>
      <c r="O11" s="134" t="s">
        <v>69</v>
      </c>
      <c r="P11" s="329" t="s">
        <v>108</v>
      </c>
      <c r="Q11" s="120" t="s">
        <v>69</v>
      </c>
      <c r="R11" s="120" t="s">
        <v>69</v>
      </c>
      <c r="S11" s="120" t="s">
        <v>69</v>
      </c>
      <c r="T11" s="120" t="s">
        <v>69</v>
      </c>
      <c r="U11" s="120" t="s">
        <v>69</v>
      </c>
      <c r="V11" s="120" t="s">
        <v>69</v>
      </c>
      <c r="W11" s="329" t="s">
        <v>108</v>
      </c>
      <c r="X11" s="378" t="s">
        <v>69</v>
      </c>
      <c r="Y11" s="378" t="s">
        <v>69</v>
      </c>
      <c r="Z11" s="378" t="s">
        <v>69</v>
      </c>
      <c r="AA11" s="378" t="s">
        <v>69</v>
      </c>
      <c r="AB11" s="378" t="s">
        <v>69</v>
      </c>
      <c r="AC11" s="378" t="s">
        <v>69</v>
      </c>
      <c r="AD11" s="427" t="s">
        <v>108</v>
      </c>
      <c r="AE11" s="429" t="s">
        <v>111</v>
      </c>
      <c r="AF11" s="378" t="s">
        <v>69</v>
      </c>
      <c r="AG11" s="378" t="s">
        <v>69</v>
      </c>
      <c r="AH11" s="378" t="s">
        <v>69</v>
      </c>
      <c r="AI11" s="378" t="s">
        <v>69</v>
      </c>
      <c r="AJ11" s="378" t="s">
        <v>69</v>
      </c>
    </row>
    <row r="12" spans="1:36" ht="18">
      <c r="A12" s="5">
        <v>11</v>
      </c>
      <c r="B12" s="254" t="s">
        <v>194</v>
      </c>
      <c r="C12" s="7">
        <v>0</v>
      </c>
      <c r="D12" s="7">
        <v>0</v>
      </c>
      <c r="E12" s="7">
        <f t="shared" si="0"/>
        <v>0</v>
      </c>
      <c r="F12" s="400" t="s">
        <v>111</v>
      </c>
      <c r="G12" s="120" t="s">
        <v>69</v>
      </c>
      <c r="H12" s="120" t="s">
        <v>69</v>
      </c>
      <c r="I12" s="329" t="s">
        <v>108</v>
      </c>
      <c r="J12" s="134" t="s">
        <v>69</v>
      </c>
      <c r="K12" s="134" t="s">
        <v>69</v>
      </c>
      <c r="L12" s="134" t="s">
        <v>69</v>
      </c>
      <c r="M12" s="134" t="s">
        <v>69</v>
      </c>
      <c r="N12" s="134" t="s">
        <v>69</v>
      </c>
      <c r="O12" s="134" t="s">
        <v>69</v>
      </c>
      <c r="P12" s="329" t="s">
        <v>108</v>
      </c>
      <c r="Q12" s="120" t="s">
        <v>69</v>
      </c>
      <c r="R12" s="241" t="s">
        <v>111</v>
      </c>
      <c r="S12" s="120" t="s">
        <v>69</v>
      </c>
      <c r="T12" s="120" t="s">
        <v>69</v>
      </c>
      <c r="U12" s="120" t="s">
        <v>69</v>
      </c>
      <c r="V12" s="120" t="s">
        <v>69</v>
      </c>
      <c r="W12" s="329" t="s">
        <v>108</v>
      </c>
      <c r="X12" s="378" t="s">
        <v>69</v>
      </c>
      <c r="Y12" s="378" t="s">
        <v>69</v>
      </c>
      <c r="Z12" s="378" t="s">
        <v>69</v>
      </c>
      <c r="AA12" s="378" t="s">
        <v>69</v>
      </c>
      <c r="AB12" s="378" t="s">
        <v>69</v>
      </c>
      <c r="AC12" s="378" t="s">
        <v>69</v>
      </c>
      <c r="AD12" s="427" t="s">
        <v>108</v>
      </c>
      <c r="AE12" s="429" t="s">
        <v>111</v>
      </c>
      <c r="AF12" s="378" t="s">
        <v>69</v>
      </c>
      <c r="AG12" s="378" t="s">
        <v>69</v>
      </c>
      <c r="AH12" s="378" t="s">
        <v>69</v>
      </c>
      <c r="AI12" s="378" t="s">
        <v>69</v>
      </c>
      <c r="AJ12" s="378" t="s">
        <v>69</v>
      </c>
    </row>
    <row r="13" spans="1:36" ht="18">
      <c r="A13" s="5">
        <v>12</v>
      </c>
      <c r="B13" s="254" t="s">
        <v>177</v>
      </c>
      <c r="C13" s="7">
        <v>2</v>
      </c>
      <c r="D13" s="7">
        <v>1</v>
      </c>
      <c r="E13" s="7">
        <f t="shared" si="0"/>
        <v>1</v>
      </c>
      <c r="F13" s="400" t="s">
        <v>111</v>
      </c>
      <c r="G13" s="120" t="s">
        <v>69</v>
      </c>
      <c r="H13" s="120" t="s">
        <v>69</v>
      </c>
      <c r="I13" s="388" t="s">
        <v>108</v>
      </c>
      <c r="J13" s="134" t="s">
        <v>69</v>
      </c>
      <c r="K13" s="134" t="s">
        <v>69</v>
      </c>
      <c r="L13" s="134" t="s">
        <v>69</v>
      </c>
      <c r="M13" s="134" t="s">
        <v>69</v>
      </c>
      <c r="N13" s="134" t="s">
        <v>69</v>
      </c>
      <c r="O13" s="134" t="s">
        <v>69</v>
      </c>
      <c r="P13" s="329" t="s">
        <v>108</v>
      </c>
      <c r="Q13" s="120" t="s">
        <v>69</v>
      </c>
      <c r="R13" s="120" t="s">
        <v>69</v>
      </c>
      <c r="S13" s="120" t="s">
        <v>69</v>
      </c>
      <c r="T13" s="120" t="s">
        <v>69</v>
      </c>
      <c r="U13" s="120" t="s">
        <v>69</v>
      </c>
      <c r="V13" s="120" t="s">
        <v>69</v>
      </c>
      <c r="W13" s="329" t="s">
        <v>108</v>
      </c>
      <c r="X13" s="378" t="s">
        <v>69</v>
      </c>
      <c r="Y13" s="378" t="s">
        <v>69</v>
      </c>
      <c r="Z13" s="378" t="s">
        <v>69</v>
      </c>
      <c r="AA13" s="378" t="s">
        <v>69</v>
      </c>
      <c r="AB13" s="378" t="s">
        <v>69</v>
      </c>
      <c r="AC13" s="379" t="s">
        <v>72</v>
      </c>
      <c r="AD13" s="427" t="s">
        <v>108</v>
      </c>
      <c r="AE13" s="429" t="s">
        <v>111</v>
      </c>
      <c r="AF13" s="379" t="s">
        <v>72</v>
      </c>
      <c r="AG13" s="378" t="s">
        <v>69</v>
      </c>
      <c r="AH13" s="378" t="s">
        <v>69</v>
      </c>
      <c r="AI13" s="378" t="s">
        <v>69</v>
      </c>
      <c r="AJ13" s="378" t="s">
        <v>69</v>
      </c>
    </row>
    <row r="14" spans="1:36" ht="18">
      <c r="A14" s="5">
        <v>13</v>
      </c>
      <c r="B14" s="254" t="s">
        <v>154</v>
      </c>
      <c r="C14" s="7">
        <v>6</v>
      </c>
      <c r="D14" s="7">
        <v>1</v>
      </c>
      <c r="E14" s="7">
        <f t="shared" si="0"/>
        <v>5</v>
      </c>
      <c r="F14" s="400" t="s">
        <v>111</v>
      </c>
      <c r="G14" s="120" t="s">
        <v>69</v>
      </c>
      <c r="H14" s="120" t="s">
        <v>69</v>
      </c>
      <c r="I14" s="329" t="s">
        <v>108</v>
      </c>
      <c r="J14" s="134" t="s">
        <v>69</v>
      </c>
      <c r="K14" s="134" t="s">
        <v>69</v>
      </c>
      <c r="L14" s="388" t="s">
        <v>92</v>
      </c>
      <c r="M14" s="121" t="s">
        <v>72</v>
      </c>
      <c r="N14" s="120" t="s">
        <v>69</v>
      </c>
      <c r="O14" s="120" t="s">
        <v>69</v>
      </c>
      <c r="P14" s="329" t="s">
        <v>108</v>
      </c>
      <c r="Q14" s="120" t="s">
        <v>69</v>
      </c>
      <c r="R14" s="121" t="s">
        <v>72</v>
      </c>
      <c r="S14" s="414" t="s">
        <v>111</v>
      </c>
      <c r="T14" s="120" t="s">
        <v>69</v>
      </c>
      <c r="U14" s="120" t="s">
        <v>69</v>
      </c>
      <c r="V14" s="120" t="s">
        <v>69</v>
      </c>
      <c r="W14" s="329" t="s">
        <v>108</v>
      </c>
      <c r="X14" s="379" t="s">
        <v>72</v>
      </c>
      <c r="Y14" s="389" t="s">
        <v>69</v>
      </c>
      <c r="Z14" s="389" t="s">
        <v>69</v>
      </c>
      <c r="AA14" s="389" t="s">
        <v>69</v>
      </c>
      <c r="AB14" s="379" t="s">
        <v>72</v>
      </c>
      <c r="AC14" s="379" t="s">
        <v>72</v>
      </c>
      <c r="AD14" s="427" t="s">
        <v>108</v>
      </c>
      <c r="AE14" s="429" t="s">
        <v>111</v>
      </c>
      <c r="AF14" s="378" t="s">
        <v>69</v>
      </c>
      <c r="AG14" s="378" t="s">
        <v>69</v>
      </c>
      <c r="AH14" s="378" t="s">
        <v>69</v>
      </c>
      <c r="AI14" s="378" t="s">
        <v>69</v>
      </c>
      <c r="AJ14" s="379" t="s">
        <v>72</v>
      </c>
    </row>
    <row r="15" spans="1:36" ht="18">
      <c r="A15" s="5">
        <v>14</v>
      </c>
      <c r="B15" s="254" t="s">
        <v>16</v>
      </c>
      <c r="C15" s="7">
        <v>0</v>
      </c>
      <c r="D15" s="7">
        <v>0</v>
      </c>
      <c r="E15" s="7">
        <f t="shared" si="0"/>
        <v>0</v>
      </c>
      <c r="F15" s="400" t="s">
        <v>111</v>
      </c>
      <c r="G15" s="120" t="s">
        <v>69</v>
      </c>
      <c r="H15" s="120" t="s">
        <v>69</v>
      </c>
      <c r="I15" s="388" t="s">
        <v>108</v>
      </c>
      <c r="J15" s="134" t="s">
        <v>69</v>
      </c>
      <c r="K15" s="134" t="s">
        <v>69</v>
      </c>
      <c r="L15" s="134" t="s">
        <v>69</v>
      </c>
      <c r="M15" s="134" t="s">
        <v>69</v>
      </c>
      <c r="N15" s="134" t="s">
        <v>69</v>
      </c>
      <c r="O15" s="134" t="s">
        <v>69</v>
      </c>
      <c r="P15" s="329" t="s">
        <v>108</v>
      </c>
      <c r="Q15" s="120" t="s">
        <v>69</v>
      </c>
      <c r="R15" s="120" t="s">
        <v>69</v>
      </c>
      <c r="S15" s="120" t="s">
        <v>69</v>
      </c>
      <c r="T15" s="120" t="s">
        <v>69</v>
      </c>
      <c r="U15" s="120" t="s">
        <v>69</v>
      </c>
      <c r="V15" s="120" t="s">
        <v>69</v>
      </c>
      <c r="W15" s="329" t="s">
        <v>108</v>
      </c>
      <c r="X15" s="389" t="s">
        <v>69</v>
      </c>
      <c r="Y15" s="389" t="s">
        <v>69</v>
      </c>
      <c r="Z15" s="389" t="s">
        <v>69</v>
      </c>
      <c r="AA15" s="389" t="s">
        <v>69</v>
      </c>
      <c r="AB15" s="389" t="s">
        <v>69</v>
      </c>
      <c r="AC15" s="389" t="s">
        <v>69</v>
      </c>
      <c r="AD15" s="427" t="s">
        <v>108</v>
      </c>
      <c r="AE15" s="429" t="s">
        <v>111</v>
      </c>
      <c r="AF15" s="378" t="s">
        <v>69</v>
      </c>
      <c r="AG15" s="378" t="s">
        <v>69</v>
      </c>
      <c r="AH15" s="378" t="s">
        <v>69</v>
      </c>
      <c r="AI15" s="378" t="s">
        <v>69</v>
      </c>
      <c r="AJ15" s="378" t="s">
        <v>69</v>
      </c>
    </row>
    <row r="16" spans="1:36" ht="18">
      <c r="A16" s="5">
        <v>15</v>
      </c>
      <c r="B16" s="254" t="s">
        <v>17</v>
      </c>
      <c r="C16" s="7">
        <v>3</v>
      </c>
      <c r="D16" s="7">
        <v>3</v>
      </c>
      <c r="E16" s="7">
        <f t="shared" si="0"/>
        <v>0</v>
      </c>
      <c r="F16" s="400" t="s">
        <v>111</v>
      </c>
      <c r="G16" s="120" t="s">
        <v>69</v>
      </c>
      <c r="H16" s="120" t="s">
        <v>69</v>
      </c>
      <c r="I16" s="329" t="s">
        <v>108</v>
      </c>
      <c r="J16" s="134" t="s">
        <v>69</v>
      </c>
      <c r="K16" s="134" t="s">
        <v>69</v>
      </c>
      <c r="L16" s="134" t="s">
        <v>69</v>
      </c>
      <c r="M16" s="134" t="s">
        <v>69</v>
      </c>
      <c r="N16" s="134" t="s">
        <v>69</v>
      </c>
      <c r="O16" s="134" t="s">
        <v>69</v>
      </c>
      <c r="P16" s="329" t="s">
        <v>108</v>
      </c>
      <c r="Q16" s="120" t="s">
        <v>69</v>
      </c>
      <c r="R16" s="120" t="s">
        <v>69</v>
      </c>
      <c r="S16" s="120" t="s">
        <v>69</v>
      </c>
      <c r="T16" s="422" t="s">
        <v>111</v>
      </c>
      <c r="U16" s="379" t="s">
        <v>72</v>
      </c>
      <c r="V16" s="120" t="s">
        <v>69</v>
      </c>
      <c r="W16" s="329" t="s">
        <v>108</v>
      </c>
      <c r="X16" s="389" t="s">
        <v>69</v>
      </c>
      <c r="Y16" s="389" t="s">
        <v>69</v>
      </c>
      <c r="Z16" s="389" t="s">
        <v>69</v>
      </c>
      <c r="AA16" s="389" t="s">
        <v>69</v>
      </c>
      <c r="AB16" s="389" t="s">
        <v>69</v>
      </c>
      <c r="AC16" s="389" t="s">
        <v>69</v>
      </c>
      <c r="AD16" s="427" t="s">
        <v>108</v>
      </c>
      <c r="AE16" s="429" t="s">
        <v>111</v>
      </c>
      <c r="AF16" s="378" t="s">
        <v>69</v>
      </c>
      <c r="AG16" s="121" t="s">
        <v>72</v>
      </c>
      <c r="AH16" s="121" t="s">
        <v>72</v>
      </c>
      <c r="AI16" s="378" t="s">
        <v>69</v>
      </c>
      <c r="AJ16" s="378" t="s">
        <v>69</v>
      </c>
    </row>
    <row r="17" spans="1:36" ht="18">
      <c r="A17" s="5">
        <v>16</v>
      </c>
      <c r="B17" s="254" t="s">
        <v>219</v>
      </c>
      <c r="C17" s="7">
        <v>0</v>
      </c>
      <c r="D17" s="7">
        <v>0</v>
      </c>
      <c r="E17" s="7">
        <f t="shared" si="0"/>
        <v>0</v>
      </c>
      <c r="F17" s="400" t="s">
        <v>111</v>
      </c>
      <c r="G17" s="120" t="s">
        <v>69</v>
      </c>
      <c r="H17" s="120" t="s">
        <v>69</v>
      </c>
      <c r="I17" s="388" t="s">
        <v>108</v>
      </c>
      <c r="J17" s="134" t="s">
        <v>69</v>
      </c>
      <c r="K17" s="134" t="s">
        <v>69</v>
      </c>
      <c r="L17" s="134" t="s">
        <v>69</v>
      </c>
      <c r="M17" s="134" t="s">
        <v>69</v>
      </c>
      <c r="N17" s="134" t="s">
        <v>69</v>
      </c>
      <c r="O17" s="134" t="s">
        <v>69</v>
      </c>
      <c r="P17" s="329" t="s">
        <v>108</v>
      </c>
      <c r="Q17" s="120" t="s">
        <v>69</v>
      </c>
      <c r="R17" s="120" t="s">
        <v>69</v>
      </c>
      <c r="S17" s="414" t="s">
        <v>111</v>
      </c>
      <c r="T17" s="378" t="s">
        <v>69</v>
      </c>
      <c r="U17" s="378" t="s">
        <v>69</v>
      </c>
      <c r="V17" s="378" t="s">
        <v>69</v>
      </c>
      <c r="W17" s="329" t="s">
        <v>108</v>
      </c>
      <c r="X17" s="389" t="s">
        <v>69</v>
      </c>
      <c r="Y17" s="389" t="s">
        <v>69</v>
      </c>
      <c r="Z17" s="389" t="s">
        <v>69</v>
      </c>
      <c r="AA17" s="389" t="s">
        <v>69</v>
      </c>
      <c r="AB17" s="389" t="s">
        <v>69</v>
      </c>
      <c r="AC17" s="389" t="s">
        <v>69</v>
      </c>
      <c r="AD17" s="427" t="s">
        <v>108</v>
      </c>
      <c r="AE17" s="429" t="s">
        <v>111</v>
      </c>
      <c r="AF17" s="378" t="s">
        <v>69</v>
      </c>
      <c r="AG17" s="378" t="s">
        <v>69</v>
      </c>
      <c r="AH17" s="378" t="s">
        <v>69</v>
      </c>
      <c r="AI17" s="378" t="s">
        <v>69</v>
      </c>
      <c r="AJ17" s="378" t="s">
        <v>69</v>
      </c>
    </row>
    <row r="18" spans="1:36" ht="18">
      <c r="A18" s="5">
        <v>17</v>
      </c>
      <c r="B18" s="186" t="s">
        <v>155</v>
      </c>
      <c r="C18" s="7">
        <v>1</v>
      </c>
      <c r="D18" s="7">
        <v>1</v>
      </c>
      <c r="E18" s="7">
        <f t="shared" si="0"/>
        <v>0</v>
      </c>
      <c r="F18" s="400" t="s">
        <v>111</v>
      </c>
      <c r="G18" s="120" t="s">
        <v>69</v>
      </c>
      <c r="H18" s="120" t="s">
        <v>69</v>
      </c>
      <c r="I18" s="388" t="s">
        <v>108</v>
      </c>
      <c r="J18" s="120" t="s">
        <v>69</v>
      </c>
      <c r="K18" s="120" t="s">
        <v>69</v>
      </c>
      <c r="L18" s="120" t="s">
        <v>69</v>
      </c>
      <c r="M18" s="120" t="s">
        <v>69</v>
      </c>
      <c r="N18" s="120" t="s">
        <v>69</v>
      </c>
      <c r="O18" s="120" t="s">
        <v>69</v>
      </c>
      <c r="P18" s="329" t="s">
        <v>108</v>
      </c>
      <c r="Q18" s="120" t="s">
        <v>69</v>
      </c>
      <c r="R18" s="120" t="s">
        <v>69</v>
      </c>
      <c r="S18" s="120" t="s">
        <v>69</v>
      </c>
      <c r="T18" s="120" t="s">
        <v>69</v>
      </c>
      <c r="U18" s="120" t="s">
        <v>69</v>
      </c>
      <c r="V18" s="120" t="s">
        <v>69</v>
      </c>
      <c r="W18" s="329" t="s">
        <v>108</v>
      </c>
      <c r="X18" s="389" t="s">
        <v>69</v>
      </c>
      <c r="Y18" s="389" t="s">
        <v>69</v>
      </c>
      <c r="Z18" s="389" t="s">
        <v>69</v>
      </c>
      <c r="AA18" s="389" t="s">
        <v>69</v>
      </c>
      <c r="AB18" s="389" t="s">
        <v>69</v>
      </c>
      <c r="AC18" s="389" t="s">
        <v>69</v>
      </c>
      <c r="AD18" s="427" t="s">
        <v>108</v>
      </c>
      <c r="AE18" s="429" t="s">
        <v>111</v>
      </c>
      <c r="AF18" s="378" t="s">
        <v>69</v>
      </c>
      <c r="AG18" s="378" t="s">
        <v>69</v>
      </c>
      <c r="AH18" s="379" t="s">
        <v>72</v>
      </c>
      <c r="AI18" s="430" t="s">
        <v>69</v>
      </c>
      <c r="AJ18" s="430" t="s">
        <v>69</v>
      </c>
    </row>
    <row r="19" spans="1:36" ht="18">
      <c r="A19" s="5">
        <v>18</v>
      </c>
      <c r="B19" s="186" t="s">
        <v>252</v>
      </c>
      <c r="C19" s="7">
        <v>25</v>
      </c>
      <c r="D19" s="7">
        <v>0</v>
      </c>
      <c r="E19" s="7">
        <f t="shared" si="0"/>
        <v>25</v>
      </c>
      <c r="F19" s="121" t="s">
        <v>72</v>
      </c>
      <c r="G19" s="121" t="s">
        <v>72</v>
      </c>
      <c r="H19" s="121" t="s">
        <v>72</v>
      </c>
      <c r="I19" s="329" t="s">
        <v>108</v>
      </c>
      <c r="J19" s="134" t="s">
        <v>69</v>
      </c>
      <c r="K19" s="134" t="s">
        <v>69</v>
      </c>
      <c r="L19" s="134" t="s">
        <v>69</v>
      </c>
      <c r="M19" s="134" t="s">
        <v>69</v>
      </c>
      <c r="N19" s="134" t="s">
        <v>69</v>
      </c>
      <c r="O19" s="134" t="s">
        <v>69</v>
      </c>
      <c r="P19" s="329" t="s">
        <v>108</v>
      </c>
      <c r="Q19" s="131" t="s">
        <v>72</v>
      </c>
      <c r="R19" s="131" t="s">
        <v>72</v>
      </c>
      <c r="S19" s="414" t="s">
        <v>111</v>
      </c>
      <c r="T19" s="379" t="s">
        <v>72</v>
      </c>
      <c r="U19" s="379" t="s">
        <v>72</v>
      </c>
      <c r="V19" s="379" t="s">
        <v>72</v>
      </c>
      <c r="W19" s="329" t="s">
        <v>108</v>
      </c>
      <c r="X19" s="379" t="s">
        <v>72</v>
      </c>
      <c r="Y19" s="379" t="s">
        <v>72</v>
      </c>
      <c r="Z19" s="379" t="s">
        <v>72</v>
      </c>
      <c r="AA19" s="379" t="s">
        <v>72</v>
      </c>
      <c r="AB19" s="379" t="s">
        <v>72</v>
      </c>
      <c r="AC19" s="379" t="s">
        <v>72</v>
      </c>
      <c r="AD19" s="427" t="s">
        <v>108</v>
      </c>
      <c r="AE19" s="429" t="s">
        <v>111</v>
      </c>
      <c r="AF19" s="379" t="s">
        <v>72</v>
      </c>
      <c r="AG19" s="379" t="s">
        <v>72</v>
      </c>
      <c r="AH19" s="379" t="s">
        <v>72</v>
      </c>
      <c r="AI19" s="379" t="s">
        <v>72</v>
      </c>
      <c r="AJ19" s="379" t="s">
        <v>72</v>
      </c>
    </row>
    <row r="20" spans="1:36" ht="18">
      <c r="A20" s="5">
        <v>19</v>
      </c>
      <c r="B20" s="186" t="s">
        <v>238</v>
      </c>
      <c r="C20" s="7">
        <v>1</v>
      </c>
      <c r="D20" s="7">
        <v>1</v>
      </c>
      <c r="E20" s="7">
        <f t="shared" si="0"/>
        <v>0</v>
      </c>
      <c r="F20" s="400" t="s">
        <v>111</v>
      </c>
      <c r="G20" s="120" t="s">
        <v>69</v>
      </c>
      <c r="H20" s="120" t="s">
        <v>69</v>
      </c>
      <c r="I20" s="388" t="s">
        <v>108</v>
      </c>
      <c r="J20" s="134" t="s">
        <v>69</v>
      </c>
      <c r="K20" s="134" t="s">
        <v>69</v>
      </c>
      <c r="L20" s="134" t="s">
        <v>69</v>
      </c>
      <c r="M20" s="134" t="s">
        <v>69</v>
      </c>
      <c r="N20" s="121" t="s">
        <v>72</v>
      </c>
      <c r="O20" s="134" t="s">
        <v>69</v>
      </c>
      <c r="P20" s="329" t="s">
        <v>108</v>
      </c>
      <c r="Q20" s="120" t="s">
        <v>69</v>
      </c>
      <c r="R20" s="424" t="s">
        <v>111</v>
      </c>
      <c r="S20" s="421" t="s">
        <v>69</v>
      </c>
      <c r="T20" s="421" t="s">
        <v>69</v>
      </c>
      <c r="U20" s="421" t="s">
        <v>69</v>
      </c>
      <c r="V20" s="421" t="s">
        <v>69</v>
      </c>
      <c r="W20" s="329" t="s">
        <v>108</v>
      </c>
      <c r="X20" s="389" t="s">
        <v>69</v>
      </c>
      <c r="Y20" s="389" t="s">
        <v>69</v>
      </c>
      <c r="Z20" s="389" t="s">
        <v>69</v>
      </c>
      <c r="AA20" s="389" t="s">
        <v>69</v>
      </c>
      <c r="AB20" s="389" t="s">
        <v>69</v>
      </c>
      <c r="AC20" s="389" t="s">
        <v>69</v>
      </c>
      <c r="AD20" s="427" t="s">
        <v>108</v>
      </c>
      <c r="AE20" s="429" t="s">
        <v>111</v>
      </c>
      <c r="AF20" s="378" t="s">
        <v>69</v>
      </c>
      <c r="AG20" s="378" t="s">
        <v>69</v>
      </c>
      <c r="AH20" s="378" t="s">
        <v>69</v>
      </c>
      <c r="AI20" s="378" t="s">
        <v>69</v>
      </c>
      <c r="AJ20" s="378" t="s">
        <v>69</v>
      </c>
    </row>
    <row r="21" spans="1:36" ht="18">
      <c r="A21" s="5">
        <v>20</v>
      </c>
      <c r="B21" s="254" t="s">
        <v>22</v>
      </c>
      <c r="C21" s="7">
        <v>2</v>
      </c>
      <c r="D21" s="7">
        <v>2</v>
      </c>
      <c r="E21" s="7">
        <f t="shared" si="0"/>
        <v>0</v>
      </c>
      <c r="F21" s="400" t="s">
        <v>111</v>
      </c>
      <c r="G21" s="120" t="s">
        <v>69</v>
      </c>
      <c r="H21" s="120" t="s">
        <v>69</v>
      </c>
      <c r="I21" s="329" t="s">
        <v>108</v>
      </c>
      <c r="J21" s="134" t="s">
        <v>69</v>
      </c>
      <c r="K21" s="134" t="s">
        <v>69</v>
      </c>
      <c r="L21" s="134" t="s">
        <v>69</v>
      </c>
      <c r="M21" s="134" t="s">
        <v>69</v>
      </c>
      <c r="N21" s="134" t="s">
        <v>69</v>
      </c>
      <c r="O21" s="121" t="s">
        <v>72</v>
      </c>
      <c r="P21" s="329" t="s">
        <v>108</v>
      </c>
      <c r="Q21" s="120" t="s">
        <v>69</v>
      </c>
      <c r="R21" s="120" t="s">
        <v>69</v>
      </c>
      <c r="S21" s="418" t="s">
        <v>72</v>
      </c>
      <c r="T21" s="421" t="s">
        <v>69</v>
      </c>
      <c r="U21" s="421" t="s">
        <v>69</v>
      </c>
      <c r="V21" s="421" t="s">
        <v>69</v>
      </c>
      <c r="W21" s="329" t="s">
        <v>108</v>
      </c>
      <c r="X21" s="389" t="s">
        <v>69</v>
      </c>
      <c r="Y21" s="389" t="s">
        <v>69</v>
      </c>
      <c r="Z21" s="389" t="s">
        <v>69</v>
      </c>
      <c r="AA21" s="389" t="s">
        <v>69</v>
      </c>
      <c r="AB21" s="389" t="s">
        <v>69</v>
      </c>
      <c r="AC21" s="389" t="s">
        <v>69</v>
      </c>
      <c r="AD21" s="427" t="s">
        <v>108</v>
      </c>
      <c r="AE21" s="429" t="s">
        <v>111</v>
      </c>
      <c r="AF21" s="378" t="s">
        <v>69</v>
      </c>
      <c r="AG21" s="378" t="s">
        <v>69</v>
      </c>
      <c r="AH21" s="378" t="s">
        <v>69</v>
      </c>
      <c r="AI21" s="378" t="s">
        <v>69</v>
      </c>
      <c r="AJ21" s="378" t="s">
        <v>69</v>
      </c>
    </row>
    <row r="22" spans="1:36" ht="18">
      <c r="A22" s="5">
        <v>21</v>
      </c>
      <c r="B22" s="254" t="s">
        <v>221</v>
      </c>
      <c r="C22" s="7">
        <v>0</v>
      </c>
      <c r="D22" s="7">
        <v>0</v>
      </c>
      <c r="E22" s="7">
        <f t="shared" si="0"/>
        <v>0</v>
      </c>
      <c r="F22" s="400" t="s">
        <v>111</v>
      </c>
      <c r="G22" s="120" t="s">
        <v>69</v>
      </c>
      <c r="H22" s="120" t="s">
        <v>69</v>
      </c>
      <c r="I22" s="388" t="s">
        <v>108</v>
      </c>
      <c r="J22" s="134" t="s">
        <v>69</v>
      </c>
      <c r="K22" s="134" t="s">
        <v>69</v>
      </c>
      <c r="L22" s="134" t="s">
        <v>69</v>
      </c>
      <c r="M22" s="134" t="s">
        <v>69</v>
      </c>
      <c r="N22" s="134" t="s">
        <v>69</v>
      </c>
      <c r="O22" s="134" t="s">
        <v>69</v>
      </c>
      <c r="P22" s="329" t="s">
        <v>108</v>
      </c>
      <c r="Q22" s="120" t="s">
        <v>69</v>
      </c>
      <c r="R22" s="120" t="s">
        <v>69</v>
      </c>
      <c r="S22" s="120" t="s">
        <v>69</v>
      </c>
      <c r="T22" s="120" t="s">
        <v>69</v>
      </c>
      <c r="U22" s="389" t="s">
        <v>69</v>
      </c>
      <c r="V22" s="389" t="s">
        <v>69</v>
      </c>
      <c r="W22" s="329" t="s">
        <v>108</v>
      </c>
      <c r="X22" s="389" t="s">
        <v>69</v>
      </c>
      <c r="Y22" s="389" t="s">
        <v>69</v>
      </c>
      <c r="Z22" s="389" t="s">
        <v>69</v>
      </c>
      <c r="AA22" s="389" t="s">
        <v>69</v>
      </c>
      <c r="AB22" s="389" t="s">
        <v>69</v>
      </c>
      <c r="AC22" s="389" t="s">
        <v>69</v>
      </c>
      <c r="AD22" s="427" t="s">
        <v>108</v>
      </c>
      <c r="AE22" s="429" t="s">
        <v>111</v>
      </c>
      <c r="AF22" s="378" t="s">
        <v>69</v>
      </c>
      <c r="AG22" s="378" t="s">
        <v>69</v>
      </c>
      <c r="AH22" s="378" t="s">
        <v>69</v>
      </c>
      <c r="AI22" s="378" t="s">
        <v>69</v>
      </c>
      <c r="AJ22" s="378" t="s">
        <v>69</v>
      </c>
    </row>
    <row r="23" spans="1:36" ht="18">
      <c r="A23" s="5">
        <v>22</v>
      </c>
      <c r="B23" s="254" t="s">
        <v>179</v>
      </c>
      <c r="C23" s="7">
        <v>1</v>
      </c>
      <c r="D23" s="7">
        <v>1</v>
      </c>
      <c r="E23" s="7">
        <f t="shared" si="0"/>
        <v>0</v>
      </c>
      <c r="F23" s="400" t="s">
        <v>111</v>
      </c>
      <c r="G23" s="120" t="s">
        <v>69</v>
      </c>
      <c r="H23" s="120" t="s">
        <v>69</v>
      </c>
      <c r="I23" s="329" t="s">
        <v>108</v>
      </c>
      <c r="J23" s="134" t="s">
        <v>69</v>
      </c>
      <c r="K23" s="134" t="s">
        <v>69</v>
      </c>
      <c r="L23" s="134" t="s">
        <v>69</v>
      </c>
      <c r="M23" s="134" t="s">
        <v>69</v>
      </c>
      <c r="N23" s="134" t="s">
        <v>69</v>
      </c>
      <c r="O23" s="134" t="s">
        <v>69</v>
      </c>
      <c r="P23" s="329" t="s">
        <v>108</v>
      </c>
      <c r="Q23" s="120" t="s">
        <v>69</v>
      </c>
      <c r="R23" s="120" t="s">
        <v>69</v>
      </c>
      <c r="S23" s="120" t="s">
        <v>69</v>
      </c>
      <c r="T23" s="120" t="s">
        <v>69</v>
      </c>
      <c r="U23" s="389" t="s">
        <v>69</v>
      </c>
      <c r="V23" s="389" t="s">
        <v>69</v>
      </c>
      <c r="W23" s="329" t="s">
        <v>108</v>
      </c>
      <c r="X23" s="379" t="s">
        <v>72</v>
      </c>
      <c r="Y23" s="389" t="s">
        <v>69</v>
      </c>
      <c r="Z23" s="389" t="s">
        <v>69</v>
      </c>
      <c r="AA23" s="389" t="s">
        <v>69</v>
      </c>
      <c r="AB23" s="389" t="s">
        <v>69</v>
      </c>
      <c r="AC23" s="389" t="s">
        <v>69</v>
      </c>
      <c r="AD23" s="427" t="s">
        <v>108</v>
      </c>
      <c r="AE23" s="429" t="s">
        <v>111</v>
      </c>
      <c r="AF23" s="378" t="s">
        <v>69</v>
      </c>
      <c r="AG23" s="378" t="s">
        <v>69</v>
      </c>
      <c r="AH23" s="378" t="s">
        <v>69</v>
      </c>
      <c r="AI23" s="378" t="s">
        <v>69</v>
      </c>
      <c r="AJ23" s="378" t="s">
        <v>69</v>
      </c>
    </row>
    <row r="24" spans="1:36" ht="18">
      <c r="A24" s="5">
        <v>23</v>
      </c>
      <c r="B24" s="254" t="s">
        <v>140</v>
      </c>
      <c r="C24" s="7">
        <v>2</v>
      </c>
      <c r="D24" s="7">
        <v>2</v>
      </c>
      <c r="E24" s="7">
        <f t="shared" si="0"/>
        <v>0</v>
      </c>
      <c r="F24" s="400" t="s">
        <v>111</v>
      </c>
      <c r="G24" s="120" t="s">
        <v>69</v>
      </c>
      <c r="H24" s="120" t="s">
        <v>69</v>
      </c>
      <c r="I24" s="388" t="s">
        <v>108</v>
      </c>
      <c r="J24" s="134" t="s">
        <v>69</v>
      </c>
      <c r="K24" s="134" t="s">
        <v>69</v>
      </c>
      <c r="L24" s="134" t="s">
        <v>69</v>
      </c>
      <c r="M24" s="134" t="s">
        <v>69</v>
      </c>
      <c r="N24" s="134" t="s">
        <v>69</v>
      </c>
      <c r="O24" s="134" t="s">
        <v>69</v>
      </c>
      <c r="P24" s="329" t="s">
        <v>108</v>
      </c>
      <c r="Q24" s="390" t="s">
        <v>72</v>
      </c>
      <c r="R24" s="390" t="s">
        <v>72</v>
      </c>
      <c r="S24" s="120" t="s">
        <v>69</v>
      </c>
      <c r="T24" s="378" t="s">
        <v>111</v>
      </c>
      <c r="U24" s="378" t="s">
        <v>69</v>
      </c>
      <c r="V24" s="378" t="s">
        <v>69</v>
      </c>
      <c r="W24" s="329" t="s">
        <v>108</v>
      </c>
      <c r="X24" s="389" t="s">
        <v>69</v>
      </c>
      <c r="Y24" s="389" t="s">
        <v>69</v>
      </c>
      <c r="Z24" s="389" t="s">
        <v>69</v>
      </c>
      <c r="AA24" s="389" t="s">
        <v>69</v>
      </c>
      <c r="AB24" s="389" t="s">
        <v>69</v>
      </c>
      <c r="AC24" s="389" t="s">
        <v>69</v>
      </c>
      <c r="AD24" s="427" t="s">
        <v>108</v>
      </c>
      <c r="AE24" s="429" t="s">
        <v>111</v>
      </c>
      <c r="AF24" s="378" t="s">
        <v>69</v>
      </c>
      <c r="AG24" s="378" t="s">
        <v>69</v>
      </c>
      <c r="AH24" s="378" t="s">
        <v>69</v>
      </c>
      <c r="AI24" s="378" t="s">
        <v>69</v>
      </c>
      <c r="AJ24" s="378" t="s">
        <v>69</v>
      </c>
    </row>
    <row r="25" spans="1:36" ht="18">
      <c r="A25" s="5">
        <v>24</v>
      </c>
      <c r="B25" s="254" t="s">
        <v>222</v>
      </c>
      <c r="C25" s="7">
        <v>1</v>
      </c>
      <c r="D25" s="7">
        <v>1</v>
      </c>
      <c r="E25" s="7">
        <f t="shared" si="0"/>
        <v>0</v>
      </c>
      <c r="F25" s="400" t="s">
        <v>111</v>
      </c>
      <c r="G25" s="120" t="s">
        <v>69</v>
      </c>
      <c r="H25" s="406" t="s">
        <v>72</v>
      </c>
      <c r="I25" s="329" t="s">
        <v>108</v>
      </c>
      <c r="J25" s="134" t="s">
        <v>69</v>
      </c>
      <c r="K25" s="134" t="s">
        <v>69</v>
      </c>
      <c r="L25" s="134" t="s">
        <v>69</v>
      </c>
      <c r="M25" s="134" t="s">
        <v>69</v>
      </c>
      <c r="N25" s="134" t="s">
        <v>69</v>
      </c>
      <c r="O25" s="134" t="s">
        <v>69</v>
      </c>
      <c r="P25" s="329" t="s">
        <v>108</v>
      </c>
      <c r="Q25" s="389" t="s">
        <v>69</v>
      </c>
      <c r="R25" s="389" t="s">
        <v>69</v>
      </c>
      <c r="S25" s="389" t="s">
        <v>69</v>
      </c>
      <c r="T25" s="378" t="s">
        <v>69</v>
      </c>
      <c r="U25" s="378" t="s">
        <v>69</v>
      </c>
      <c r="V25" s="378" t="s">
        <v>69</v>
      </c>
      <c r="W25" s="329" t="s">
        <v>108</v>
      </c>
      <c r="X25" s="394" t="s">
        <v>69</v>
      </c>
      <c r="Y25" s="394" t="s">
        <v>69</v>
      </c>
      <c r="Z25" s="394" t="s">
        <v>69</v>
      </c>
      <c r="AA25" s="394" t="s">
        <v>69</v>
      </c>
      <c r="AB25" s="394" t="s">
        <v>69</v>
      </c>
      <c r="AC25" s="394" t="s">
        <v>69</v>
      </c>
      <c r="AD25" s="427" t="s">
        <v>108</v>
      </c>
      <c r="AE25" s="429" t="s">
        <v>111</v>
      </c>
      <c r="AF25" s="378" t="s">
        <v>69</v>
      </c>
      <c r="AG25" s="378" t="s">
        <v>69</v>
      </c>
      <c r="AH25" s="378" t="s">
        <v>69</v>
      </c>
      <c r="AI25" s="378" t="s">
        <v>69</v>
      </c>
      <c r="AJ25" s="378" t="s">
        <v>69</v>
      </c>
    </row>
    <row r="26" spans="1:36" ht="18">
      <c r="A26" s="5">
        <v>25</v>
      </c>
      <c r="B26" s="254" t="s">
        <v>114</v>
      </c>
      <c r="C26" s="7">
        <v>1</v>
      </c>
      <c r="D26" s="7">
        <v>1</v>
      </c>
      <c r="E26" s="7">
        <f t="shared" si="0"/>
        <v>0</v>
      </c>
      <c r="F26" s="400" t="s">
        <v>111</v>
      </c>
      <c r="G26" s="120" t="s">
        <v>69</v>
      </c>
      <c r="H26" s="120" t="s">
        <v>69</v>
      </c>
      <c r="I26" s="388" t="s">
        <v>108</v>
      </c>
      <c r="J26" s="134" t="s">
        <v>69</v>
      </c>
      <c r="K26" s="134" t="s">
        <v>69</v>
      </c>
      <c r="L26" s="134" t="s">
        <v>69</v>
      </c>
      <c r="M26" s="134" t="s">
        <v>69</v>
      </c>
      <c r="N26" s="134" t="s">
        <v>69</v>
      </c>
      <c r="O26" s="390" t="s">
        <v>72</v>
      </c>
      <c r="P26" s="329" t="s">
        <v>108</v>
      </c>
      <c r="Q26" s="389" t="s">
        <v>69</v>
      </c>
      <c r="R26" s="389" t="s">
        <v>69</v>
      </c>
      <c r="S26" s="389" t="s">
        <v>69</v>
      </c>
      <c r="T26" s="378" t="s">
        <v>111</v>
      </c>
      <c r="U26" s="378" t="s">
        <v>69</v>
      </c>
      <c r="V26" s="378" t="s">
        <v>69</v>
      </c>
      <c r="W26" s="329" t="s">
        <v>108</v>
      </c>
      <c r="X26" s="378" t="s">
        <v>69</v>
      </c>
      <c r="Y26" s="378" t="s">
        <v>69</v>
      </c>
      <c r="Z26" s="378" t="s">
        <v>69</v>
      </c>
      <c r="AA26" s="378" t="s">
        <v>69</v>
      </c>
      <c r="AB26" s="378" t="s">
        <v>69</v>
      </c>
      <c r="AC26" s="378" t="s">
        <v>69</v>
      </c>
      <c r="AD26" s="427" t="s">
        <v>108</v>
      </c>
      <c r="AE26" s="429" t="s">
        <v>111</v>
      </c>
      <c r="AF26" s="378" t="s">
        <v>69</v>
      </c>
      <c r="AG26" s="378" t="s">
        <v>69</v>
      </c>
      <c r="AH26" s="378" t="s">
        <v>69</v>
      </c>
      <c r="AI26" s="378" t="s">
        <v>69</v>
      </c>
      <c r="AJ26" s="378" t="s">
        <v>69</v>
      </c>
    </row>
    <row r="27" spans="1:36" ht="18">
      <c r="A27" s="5">
        <v>26</v>
      </c>
      <c r="B27" s="254" t="s">
        <v>253</v>
      </c>
      <c r="C27" s="7">
        <v>15</v>
      </c>
      <c r="D27" s="7">
        <v>0</v>
      </c>
      <c r="E27" s="7">
        <f t="shared" si="0"/>
        <v>15</v>
      </c>
      <c r="F27" s="406" t="s">
        <v>72</v>
      </c>
      <c r="G27" s="406" t="s">
        <v>72</v>
      </c>
      <c r="H27" s="406" t="s">
        <v>72</v>
      </c>
      <c r="I27" s="329" t="s">
        <v>108</v>
      </c>
      <c r="J27" s="406" t="s">
        <v>72</v>
      </c>
      <c r="K27" s="406" t="s">
        <v>72</v>
      </c>
      <c r="L27" s="406" t="s">
        <v>72</v>
      </c>
      <c r="M27" s="406" t="s">
        <v>72</v>
      </c>
      <c r="N27" s="406" t="s">
        <v>72</v>
      </c>
      <c r="O27" s="406" t="s">
        <v>72</v>
      </c>
      <c r="P27" s="329" t="s">
        <v>108</v>
      </c>
      <c r="Q27" s="406" t="s">
        <v>72</v>
      </c>
      <c r="R27" s="406" t="s">
        <v>72</v>
      </c>
      <c r="S27" s="406" t="s">
        <v>72</v>
      </c>
      <c r="T27" s="378" t="s">
        <v>69</v>
      </c>
      <c r="U27" s="378" t="s">
        <v>69</v>
      </c>
      <c r="V27" s="378" t="s">
        <v>69</v>
      </c>
      <c r="W27" s="329" t="s">
        <v>108</v>
      </c>
      <c r="X27" s="378" t="s">
        <v>254</v>
      </c>
      <c r="Y27" s="378" t="s">
        <v>69</v>
      </c>
      <c r="Z27" s="378" t="s">
        <v>69</v>
      </c>
      <c r="AA27" s="378" t="s">
        <v>69</v>
      </c>
      <c r="AB27" s="378" t="s">
        <v>69</v>
      </c>
      <c r="AC27" s="378" t="s">
        <v>69</v>
      </c>
      <c r="AD27" s="427" t="s">
        <v>108</v>
      </c>
      <c r="AE27" s="429" t="s">
        <v>111</v>
      </c>
      <c r="AF27" s="378" t="s">
        <v>69</v>
      </c>
      <c r="AG27" s="378" t="s">
        <v>69</v>
      </c>
      <c r="AH27" s="378" t="s">
        <v>69</v>
      </c>
      <c r="AI27" s="378" t="s">
        <v>69</v>
      </c>
      <c r="AJ27" s="379" t="s">
        <v>72</v>
      </c>
    </row>
    <row r="28" spans="1:36" ht="18">
      <c r="A28" s="5">
        <v>27</v>
      </c>
      <c r="B28" s="254" t="s">
        <v>26</v>
      </c>
      <c r="C28" s="7">
        <v>1</v>
      </c>
      <c r="D28" s="7">
        <v>1</v>
      </c>
      <c r="E28" s="7">
        <f t="shared" si="0"/>
        <v>0</v>
      </c>
      <c r="F28" s="400" t="s">
        <v>111</v>
      </c>
      <c r="G28" s="120" t="s">
        <v>69</v>
      </c>
      <c r="H28" s="120" t="s">
        <v>69</v>
      </c>
      <c r="I28" s="329" t="s">
        <v>108</v>
      </c>
      <c r="J28" s="134" t="s">
        <v>69</v>
      </c>
      <c r="K28" s="134" t="s">
        <v>69</v>
      </c>
      <c r="L28" s="134" t="s">
        <v>69</v>
      </c>
      <c r="M28" s="134" t="s">
        <v>69</v>
      </c>
      <c r="N28" s="134" t="s">
        <v>69</v>
      </c>
      <c r="O28" s="134" t="s">
        <v>69</v>
      </c>
      <c r="P28" s="329" t="s">
        <v>108</v>
      </c>
      <c r="Q28" s="389" t="s">
        <v>69</v>
      </c>
      <c r="R28" s="389" t="s">
        <v>69</v>
      </c>
      <c r="S28" s="389" t="s">
        <v>69</v>
      </c>
      <c r="T28" s="422" t="s">
        <v>111</v>
      </c>
      <c r="U28" s="378" t="s">
        <v>69</v>
      </c>
      <c r="V28" s="378" t="s">
        <v>69</v>
      </c>
      <c r="W28" s="329" t="s">
        <v>108</v>
      </c>
      <c r="X28" s="378" t="s">
        <v>69</v>
      </c>
      <c r="Y28" s="378" t="s">
        <v>69</v>
      </c>
      <c r="Z28" s="420" t="s">
        <v>72</v>
      </c>
      <c r="AA28" s="378" t="s">
        <v>69</v>
      </c>
      <c r="AB28" s="378" t="s">
        <v>69</v>
      </c>
      <c r="AC28" s="378" t="s">
        <v>151</v>
      </c>
      <c r="AD28" s="427" t="s">
        <v>108</v>
      </c>
      <c r="AE28" s="429" t="s">
        <v>111</v>
      </c>
      <c r="AF28" s="378" t="s">
        <v>69</v>
      </c>
      <c r="AG28" s="378" t="s">
        <v>69</v>
      </c>
      <c r="AH28" s="378" t="s">
        <v>69</v>
      </c>
      <c r="AI28" s="378" t="s">
        <v>69</v>
      </c>
      <c r="AJ28" s="378" t="s">
        <v>69</v>
      </c>
    </row>
    <row r="29" spans="1:36" ht="18">
      <c r="A29" s="5">
        <v>28</v>
      </c>
      <c r="B29" s="254" t="s">
        <v>27</v>
      </c>
      <c r="C29" s="7">
        <v>5</v>
      </c>
      <c r="D29" s="7">
        <v>1</v>
      </c>
      <c r="E29" s="7">
        <f t="shared" si="0"/>
        <v>4</v>
      </c>
      <c r="F29" s="400" t="s">
        <v>111</v>
      </c>
      <c r="G29" s="120" t="s">
        <v>69</v>
      </c>
      <c r="H29" s="120" t="s">
        <v>69</v>
      </c>
      <c r="I29" s="388" t="s">
        <v>108</v>
      </c>
      <c r="J29" s="134" t="s">
        <v>69</v>
      </c>
      <c r="K29" s="134" t="s">
        <v>69</v>
      </c>
      <c r="L29" s="388" t="s">
        <v>92</v>
      </c>
      <c r="M29" s="134" t="s">
        <v>69</v>
      </c>
      <c r="N29" s="134" t="s">
        <v>69</v>
      </c>
      <c r="O29" s="134" t="s">
        <v>69</v>
      </c>
      <c r="P29" s="329" t="s">
        <v>108</v>
      </c>
      <c r="Q29" s="389" t="s">
        <v>69</v>
      </c>
      <c r="R29" s="389" t="s">
        <v>69</v>
      </c>
      <c r="S29" s="389" t="s">
        <v>69</v>
      </c>
      <c r="T29" s="422" t="s">
        <v>111</v>
      </c>
      <c r="U29" s="378" t="s">
        <v>69</v>
      </c>
      <c r="V29" s="378" t="s">
        <v>69</v>
      </c>
      <c r="W29" s="329" t="s">
        <v>108</v>
      </c>
      <c r="X29" s="378" t="s">
        <v>69</v>
      </c>
      <c r="Y29" s="378" t="s">
        <v>69</v>
      </c>
      <c r="Z29" s="378" t="s">
        <v>69</v>
      </c>
      <c r="AA29" s="378" t="s">
        <v>69</v>
      </c>
      <c r="AB29" s="379" t="s">
        <v>72</v>
      </c>
      <c r="AC29" s="378" t="s">
        <v>69</v>
      </c>
      <c r="AD29" s="427" t="s">
        <v>108</v>
      </c>
      <c r="AE29" s="429" t="s">
        <v>111</v>
      </c>
      <c r="AF29" s="378" t="s">
        <v>69</v>
      </c>
      <c r="AG29" s="418" t="s">
        <v>72</v>
      </c>
      <c r="AH29" s="418" t="s">
        <v>72</v>
      </c>
      <c r="AI29" s="418" t="s">
        <v>72</v>
      </c>
      <c r="AJ29" s="418" t="s">
        <v>72</v>
      </c>
    </row>
    <row r="30" spans="1:36" ht="18">
      <c r="A30" s="5">
        <v>29</v>
      </c>
      <c r="B30" s="254" t="s">
        <v>28</v>
      </c>
      <c r="C30" s="7">
        <v>1</v>
      </c>
      <c r="D30" s="7">
        <v>1</v>
      </c>
      <c r="E30" s="7">
        <f t="shared" si="0"/>
        <v>0</v>
      </c>
      <c r="F30" s="134" t="s">
        <v>69</v>
      </c>
      <c r="G30" s="134" t="s">
        <v>69</v>
      </c>
      <c r="H30" s="134" t="s">
        <v>69</v>
      </c>
      <c r="I30" s="329" t="s">
        <v>108</v>
      </c>
      <c r="J30" s="134" t="s">
        <v>69</v>
      </c>
      <c r="K30" s="134" t="s">
        <v>69</v>
      </c>
      <c r="L30" s="134" t="s">
        <v>69</v>
      </c>
      <c r="M30" s="134" t="s">
        <v>69</v>
      </c>
      <c r="N30" s="134" t="s">
        <v>69</v>
      </c>
      <c r="O30" s="134" t="s">
        <v>69</v>
      </c>
      <c r="P30" s="329" t="s">
        <v>108</v>
      </c>
      <c r="Q30" s="389" t="s">
        <v>69</v>
      </c>
      <c r="R30" s="389" t="s">
        <v>69</v>
      </c>
      <c r="S30" s="414" t="s">
        <v>111</v>
      </c>
      <c r="T30" s="379" t="s">
        <v>72</v>
      </c>
      <c r="U30" s="378" t="s">
        <v>69</v>
      </c>
      <c r="V30" s="378" t="s">
        <v>69</v>
      </c>
      <c r="W30" s="329" t="s">
        <v>108</v>
      </c>
      <c r="X30" s="378" t="s">
        <v>69</v>
      </c>
      <c r="Y30" s="378" t="s">
        <v>69</v>
      </c>
      <c r="Z30" s="378" t="s">
        <v>69</v>
      </c>
      <c r="AA30" s="378" t="s">
        <v>69</v>
      </c>
      <c r="AB30" s="378" t="s">
        <v>69</v>
      </c>
      <c r="AC30" s="378" t="s">
        <v>69</v>
      </c>
      <c r="AD30" s="427" t="s">
        <v>108</v>
      </c>
      <c r="AE30" s="429" t="s">
        <v>111</v>
      </c>
      <c r="AF30" s="378" t="s">
        <v>69</v>
      </c>
      <c r="AG30" s="378" t="s">
        <v>69</v>
      </c>
      <c r="AH30" s="378" t="s">
        <v>69</v>
      </c>
      <c r="AI30" s="378" t="s">
        <v>69</v>
      </c>
      <c r="AJ30" s="378" t="s">
        <v>69</v>
      </c>
    </row>
    <row r="31" spans="1:36" ht="18">
      <c r="A31" s="5">
        <v>30</v>
      </c>
      <c r="B31" s="254" t="s">
        <v>29</v>
      </c>
      <c r="C31" s="7">
        <v>3</v>
      </c>
      <c r="D31" s="7">
        <v>3</v>
      </c>
      <c r="E31" s="7">
        <f t="shared" si="0"/>
        <v>0</v>
      </c>
      <c r="F31" s="400" t="s">
        <v>111</v>
      </c>
      <c r="G31" s="134" t="s">
        <v>69</v>
      </c>
      <c r="H31" s="134" t="s">
        <v>69</v>
      </c>
      <c r="I31" s="388" t="s">
        <v>108</v>
      </c>
      <c r="J31" s="134" t="s">
        <v>69</v>
      </c>
      <c r="K31" s="134" t="s">
        <v>69</v>
      </c>
      <c r="L31" s="134" t="s">
        <v>69</v>
      </c>
      <c r="M31" s="134" t="s">
        <v>69</v>
      </c>
      <c r="N31" s="134" t="s">
        <v>69</v>
      </c>
      <c r="O31" s="134" t="s">
        <v>69</v>
      </c>
      <c r="P31" s="329" t="s">
        <v>108</v>
      </c>
      <c r="Q31" s="389" t="s">
        <v>69</v>
      </c>
      <c r="R31" s="389" t="s">
        <v>69</v>
      </c>
      <c r="S31" s="389" t="s">
        <v>69</v>
      </c>
      <c r="T31" s="422" t="s">
        <v>111</v>
      </c>
      <c r="U31" s="379" t="s">
        <v>72</v>
      </c>
      <c r="V31" s="378" t="s">
        <v>69</v>
      </c>
      <c r="W31" s="329" t="s">
        <v>108</v>
      </c>
      <c r="X31" s="378" t="s">
        <v>69</v>
      </c>
      <c r="Y31" s="378" t="s">
        <v>69</v>
      </c>
      <c r="Z31" s="378" t="s">
        <v>69</v>
      </c>
      <c r="AA31" s="378" t="s">
        <v>69</v>
      </c>
      <c r="AB31" s="378" t="s">
        <v>69</v>
      </c>
      <c r="AC31" s="378" t="s">
        <v>69</v>
      </c>
      <c r="AD31" s="427" t="s">
        <v>108</v>
      </c>
      <c r="AE31" s="429" t="s">
        <v>111</v>
      </c>
      <c r="AF31" s="379" t="s">
        <v>72</v>
      </c>
      <c r="AG31" s="379" t="s">
        <v>72</v>
      </c>
      <c r="AH31" s="378" t="s">
        <v>69</v>
      </c>
      <c r="AI31" s="378" t="s">
        <v>69</v>
      </c>
      <c r="AJ31" s="378" t="s">
        <v>69</v>
      </c>
    </row>
    <row r="32" spans="1:36" ht="18">
      <c r="A32" s="5">
        <v>31</v>
      </c>
      <c r="B32" s="254" t="s">
        <v>181</v>
      </c>
      <c r="C32" s="7">
        <v>0.5</v>
      </c>
      <c r="D32" s="7">
        <v>0.5</v>
      </c>
      <c r="E32" s="7">
        <f t="shared" si="0"/>
        <v>0</v>
      </c>
      <c r="F32" s="400" t="s">
        <v>111</v>
      </c>
      <c r="G32" s="134" t="s">
        <v>69</v>
      </c>
      <c r="H32" s="134" t="s">
        <v>69</v>
      </c>
      <c r="I32" s="329" t="s">
        <v>108</v>
      </c>
      <c r="J32" s="134" t="s">
        <v>69</v>
      </c>
      <c r="K32" s="134" t="s">
        <v>69</v>
      </c>
      <c r="L32" s="134" t="s">
        <v>69</v>
      </c>
      <c r="M32" s="134" t="s">
        <v>69</v>
      </c>
      <c r="N32" s="392" t="s">
        <v>94</v>
      </c>
      <c r="O32" s="134" t="s">
        <v>69</v>
      </c>
      <c r="P32" s="329" t="s">
        <v>108</v>
      </c>
      <c r="Q32" s="389" t="s">
        <v>69</v>
      </c>
      <c r="R32" s="389" t="s">
        <v>69</v>
      </c>
      <c r="S32" s="389" t="s">
        <v>69</v>
      </c>
      <c r="T32" s="389" t="s">
        <v>69</v>
      </c>
      <c r="U32" s="389" t="s">
        <v>69</v>
      </c>
      <c r="V32" s="389" t="s">
        <v>69</v>
      </c>
      <c r="W32" s="329" t="s">
        <v>108</v>
      </c>
      <c r="X32" s="378" t="s">
        <v>69</v>
      </c>
      <c r="Y32" s="378" t="s">
        <v>69</v>
      </c>
      <c r="Z32" s="378" t="s">
        <v>69</v>
      </c>
      <c r="AA32" s="378" t="s">
        <v>69</v>
      </c>
      <c r="AB32" s="378" t="s">
        <v>69</v>
      </c>
      <c r="AC32" s="378" t="s">
        <v>69</v>
      </c>
      <c r="AD32" s="427" t="s">
        <v>108</v>
      </c>
      <c r="AE32" s="429" t="s">
        <v>111</v>
      </c>
      <c r="AF32" s="378" t="s">
        <v>69</v>
      </c>
      <c r="AG32" s="378" t="s">
        <v>69</v>
      </c>
      <c r="AH32" s="378" t="s">
        <v>69</v>
      </c>
      <c r="AI32" s="378" t="s">
        <v>69</v>
      </c>
      <c r="AJ32" s="378" t="s">
        <v>69</v>
      </c>
    </row>
    <row r="33" spans="1:36" ht="18">
      <c r="A33" s="5">
        <v>32</v>
      </c>
      <c r="B33" s="254" t="s">
        <v>30</v>
      </c>
      <c r="C33" s="7">
        <v>0</v>
      </c>
      <c r="D33" s="7">
        <v>0</v>
      </c>
      <c r="E33" s="7">
        <f t="shared" si="0"/>
        <v>0</v>
      </c>
      <c r="F33" s="400" t="s">
        <v>111</v>
      </c>
      <c r="G33" s="134" t="s">
        <v>69</v>
      </c>
      <c r="H33" s="134" t="s">
        <v>69</v>
      </c>
      <c r="I33" s="388" t="s">
        <v>108</v>
      </c>
      <c r="J33" s="134" t="s">
        <v>69</v>
      </c>
      <c r="K33" s="134" t="s">
        <v>69</v>
      </c>
      <c r="L33" s="134" t="s">
        <v>69</v>
      </c>
      <c r="M33" s="134" t="s">
        <v>69</v>
      </c>
      <c r="N33" s="134" t="s">
        <v>69</v>
      </c>
      <c r="O33" s="134" t="s">
        <v>69</v>
      </c>
      <c r="P33" s="329" t="s">
        <v>108</v>
      </c>
      <c r="Q33" s="389" t="s">
        <v>69</v>
      </c>
      <c r="R33" s="389" t="s">
        <v>69</v>
      </c>
      <c r="S33" s="389" t="s">
        <v>69</v>
      </c>
      <c r="T33" s="422" t="s">
        <v>111</v>
      </c>
      <c r="U33" s="389" t="s">
        <v>69</v>
      </c>
      <c r="V33" s="389" t="s">
        <v>69</v>
      </c>
      <c r="W33" s="329" t="s">
        <v>108</v>
      </c>
      <c r="X33" s="378" t="s">
        <v>69</v>
      </c>
      <c r="Y33" s="378" t="s">
        <v>69</v>
      </c>
      <c r="Z33" s="378" t="s">
        <v>69</v>
      </c>
      <c r="AA33" s="378" t="s">
        <v>69</v>
      </c>
      <c r="AB33" s="378" t="s">
        <v>69</v>
      </c>
      <c r="AC33" s="378" t="s">
        <v>69</v>
      </c>
      <c r="AD33" s="427" t="s">
        <v>108</v>
      </c>
      <c r="AE33" s="429" t="s">
        <v>111</v>
      </c>
      <c r="AF33" s="378" t="s">
        <v>69</v>
      </c>
      <c r="AG33" s="378" t="s">
        <v>69</v>
      </c>
      <c r="AH33" s="378" t="s">
        <v>69</v>
      </c>
      <c r="AI33" s="378" t="s">
        <v>69</v>
      </c>
      <c r="AJ33" s="378" t="s">
        <v>69</v>
      </c>
    </row>
    <row r="34" spans="1:36" ht="18">
      <c r="A34" s="5">
        <v>33</v>
      </c>
      <c r="B34" s="254" t="s">
        <v>183</v>
      </c>
      <c r="C34" s="7">
        <v>2</v>
      </c>
      <c r="D34" s="7">
        <v>1</v>
      </c>
      <c r="E34" s="7">
        <f t="shared" si="0"/>
        <v>1</v>
      </c>
      <c r="F34" s="400" t="s">
        <v>111</v>
      </c>
      <c r="G34" s="134" t="s">
        <v>69</v>
      </c>
      <c r="H34" s="134" t="s">
        <v>69</v>
      </c>
      <c r="I34" s="329" t="s">
        <v>108</v>
      </c>
      <c r="J34" s="134" t="s">
        <v>69</v>
      </c>
      <c r="K34" s="134" t="s">
        <v>69</v>
      </c>
      <c r="L34" s="134" t="s">
        <v>69</v>
      </c>
      <c r="M34" s="134" t="s">
        <v>69</v>
      </c>
      <c r="N34" s="134" t="s">
        <v>69</v>
      </c>
      <c r="O34" s="134" t="s">
        <v>69</v>
      </c>
      <c r="P34" s="329" t="s">
        <v>108</v>
      </c>
      <c r="Q34" s="389" t="s">
        <v>69</v>
      </c>
      <c r="R34" s="379" t="s">
        <v>72</v>
      </c>
      <c r="S34" s="389" t="s">
        <v>69</v>
      </c>
      <c r="T34" s="422" t="s">
        <v>111</v>
      </c>
      <c r="U34" s="389" t="s">
        <v>69</v>
      </c>
      <c r="V34" s="389" t="s">
        <v>69</v>
      </c>
      <c r="W34" s="329" t="s">
        <v>108</v>
      </c>
      <c r="X34" s="378" t="s">
        <v>69</v>
      </c>
      <c r="Y34" s="378" t="s">
        <v>69</v>
      </c>
      <c r="Z34" s="378" t="s">
        <v>69</v>
      </c>
      <c r="AA34" s="378" t="s">
        <v>69</v>
      </c>
      <c r="AB34" s="378" t="s">
        <v>69</v>
      </c>
      <c r="AC34" s="379" t="s">
        <v>72</v>
      </c>
      <c r="AD34" s="427" t="s">
        <v>108</v>
      </c>
      <c r="AE34" s="429" t="s">
        <v>111</v>
      </c>
      <c r="AF34" s="378" t="s">
        <v>69</v>
      </c>
      <c r="AG34" s="378" t="s">
        <v>69</v>
      </c>
      <c r="AH34" s="378" t="s">
        <v>69</v>
      </c>
      <c r="AI34" s="378" t="s">
        <v>69</v>
      </c>
      <c r="AJ34" s="378" t="s">
        <v>69</v>
      </c>
    </row>
    <row r="35" spans="1:36" ht="18">
      <c r="A35" s="5">
        <v>34</v>
      </c>
      <c r="B35" s="254" t="s">
        <v>31</v>
      </c>
      <c r="C35" s="7">
        <v>1</v>
      </c>
      <c r="D35" s="7">
        <v>1</v>
      </c>
      <c r="E35" s="7">
        <f t="shared" si="0"/>
        <v>0</v>
      </c>
      <c r="F35" s="400" t="s">
        <v>111</v>
      </c>
      <c r="G35" s="134" t="s">
        <v>69</v>
      </c>
      <c r="H35" s="134" t="s">
        <v>69</v>
      </c>
      <c r="I35" s="388" t="s">
        <v>108</v>
      </c>
      <c r="J35" s="134" t="s">
        <v>69</v>
      </c>
      <c r="K35" s="134" t="s">
        <v>69</v>
      </c>
      <c r="L35" s="134" t="s">
        <v>69</v>
      </c>
      <c r="M35" s="134" t="s">
        <v>69</v>
      </c>
      <c r="N35" s="134" t="s">
        <v>69</v>
      </c>
      <c r="O35" s="134" t="s">
        <v>69</v>
      </c>
      <c r="P35" s="329" t="s">
        <v>108</v>
      </c>
      <c r="Q35" s="389" t="s">
        <v>69</v>
      </c>
      <c r="R35" s="425" t="s">
        <v>111</v>
      </c>
      <c r="S35" s="389" t="s">
        <v>69</v>
      </c>
      <c r="T35" s="389" t="s">
        <v>69</v>
      </c>
      <c r="U35" s="389" t="s">
        <v>69</v>
      </c>
      <c r="V35" s="389" t="s">
        <v>69</v>
      </c>
      <c r="W35" s="329" t="s">
        <v>108</v>
      </c>
      <c r="X35" s="378" t="s">
        <v>69</v>
      </c>
      <c r="Y35" s="378" t="s">
        <v>69</v>
      </c>
      <c r="Z35" s="378" t="s">
        <v>69</v>
      </c>
      <c r="AA35" s="378" t="s">
        <v>69</v>
      </c>
      <c r="AB35" s="378" t="s">
        <v>69</v>
      </c>
      <c r="AC35" s="379" t="s">
        <v>72</v>
      </c>
      <c r="AD35" s="427" t="s">
        <v>108</v>
      </c>
      <c r="AE35" s="429" t="s">
        <v>111</v>
      </c>
      <c r="AF35" s="378" t="s">
        <v>69</v>
      </c>
      <c r="AG35" s="378" t="s">
        <v>69</v>
      </c>
      <c r="AH35" s="378" t="s">
        <v>69</v>
      </c>
      <c r="AI35" s="378" t="s">
        <v>69</v>
      </c>
      <c r="AJ35" s="378" t="s">
        <v>69</v>
      </c>
    </row>
    <row r="36" spans="1:36" ht="18">
      <c r="A36" s="5">
        <v>35</v>
      </c>
      <c r="B36" s="186" t="s">
        <v>142</v>
      </c>
      <c r="C36" s="7">
        <v>1</v>
      </c>
      <c r="D36" s="7">
        <v>1</v>
      </c>
      <c r="E36" s="7">
        <f t="shared" si="0"/>
        <v>0</v>
      </c>
      <c r="F36" s="400" t="s">
        <v>111</v>
      </c>
      <c r="G36" s="134" t="s">
        <v>69</v>
      </c>
      <c r="H36" s="134" t="s">
        <v>69</v>
      </c>
      <c r="I36" s="329" t="s">
        <v>108</v>
      </c>
      <c r="J36" s="134" t="s">
        <v>69</v>
      </c>
      <c r="K36" s="134" t="s">
        <v>69</v>
      </c>
      <c r="L36" s="134" t="s">
        <v>69</v>
      </c>
      <c r="M36" s="134" t="s">
        <v>69</v>
      </c>
      <c r="N36" s="134" t="s">
        <v>69</v>
      </c>
      <c r="O36" s="134" t="s">
        <v>69</v>
      </c>
      <c r="P36" s="329" t="s">
        <v>108</v>
      </c>
      <c r="Q36" s="389" t="s">
        <v>69</v>
      </c>
      <c r="R36" s="425" t="s">
        <v>111</v>
      </c>
      <c r="S36" s="389" t="s">
        <v>69</v>
      </c>
      <c r="T36" s="389" t="s">
        <v>69</v>
      </c>
      <c r="U36" s="389" t="s">
        <v>69</v>
      </c>
      <c r="V36" s="389" t="s">
        <v>69</v>
      </c>
      <c r="W36" s="329" t="s">
        <v>108</v>
      </c>
      <c r="X36" s="378" t="s">
        <v>69</v>
      </c>
      <c r="Y36" s="378" t="s">
        <v>69</v>
      </c>
      <c r="Z36" s="378" t="s">
        <v>69</v>
      </c>
      <c r="AA36" s="378" t="s">
        <v>69</v>
      </c>
      <c r="AB36" s="378" t="s">
        <v>69</v>
      </c>
      <c r="AC36" s="378" t="s">
        <v>69</v>
      </c>
      <c r="AD36" s="427" t="s">
        <v>108</v>
      </c>
      <c r="AE36" s="429" t="s">
        <v>111</v>
      </c>
      <c r="AF36" s="378" t="s">
        <v>69</v>
      </c>
      <c r="AG36" s="378" t="s">
        <v>69</v>
      </c>
      <c r="AH36" s="379" t="s">
        <v>72</v>
      </c>
      <c r="AI36" s="378" t="s">
        <v>69</v>
      </c>
      <c r="AJ36" s="378" t="s">
        <v>69</v>
      </c>
    </row>
    <row r="37" spans="1:36" ht="18">
      <c r="A37" s="5">
        <v>36</v>
      </c>
      <c r="B37" s="186" t="s">
        <v>33</v>
      </c>
      <c r="C37" s="7">
        <v>0</v>
      </c>
      <c r="D37" s="7">
        <v>0</v>
      </c>
      <c r="E37" s="7">
        <f t="shared" si="0"/>
        <v>0</v>
      </c>
      <c r="F37" s="400" t="s">
        <v>111</v>
      </c>
      <c r="G37" s="134" t="s">
        <v>69</v>
      </c>
      <c r="H37" s="134" t="s">
        <v>69</v>
      </c>
      <c r="I37" s="388" t="s">
        <v>108</v>
      </c>
      <c r="J37" s="134" t="s">
        <v>69</v>
      </c>
      <c r="K37" s="134" t="s">
        <v>69</v>
      </c>
      <c r="L37" s="134" t="s">
        <v>69</v>
      </c>
      <c r="M37" s="134" t="s">
        <v>69</v>
      </c>
      <c r="N37" s="134" t="s">
        <v>69</v>
      </c>
      <c r="O37" s="134" t="s">
        <v>69</v>
      </c>
      <c r="P37" s="329" t="s">
        <v>108</v>
      </c>
      <c r="Q37" s="389" t="s">
        <v>69</v>
      </c>
      <c r="R37" s="389" t="s">
        <v>69</v>
      </c>
      <c r="S37" s="389" t="s">
        <v>69</v>
      </c>
      <c r="T37" s="422" t="s">
        <v>111</v>
      </c>
      <c r="U37" s="378" t="s">
        <v>69</v>
      </c>
      <c r="V37" s="378" t="s">
        <v>69</v>
      </c>
      <c r="W37" s="329" t="s">
        <v>108</v>
      </c>
      <c r="X37" s="378" t="s">
        <v>69</v>
      </c>
      <c r="Y37" s="378" t="s">
        <v>69</v>
      </c>
      <c r="Z37" s="378" t="s">
        <v>69</v>
      </c>
      <c r="AA37" s="378" t="s">
        <v>69</v>
      </c>
      <c r="AB37" s="378" t="s">
        <v>69</v>
      </c>
      <c r="AC37" s="378" t="s">
        <v>69</v>
      </c>
      <c r="AD37" s="427" t="s">
        <v>108</v>
      </c>
      <c r="AE37" s="429" t="s">
        <v>111</v>
      </c>
      <c r="AF37" s="378" t="s">
        <v>69</v>
      </c>
      <c r="AG37" s="378" t="s">
        <v>69</v>
      </c>
      <c r="AH37" s="378" t="s">
        <v>69</v>
      </c>
      <c r="AI37" s="378" t="s">
        <v>69</v>
      </c>
      <c r="AJ37" s="378" t="s">
        <v>69</v>
      </c>
    </row>
    <row r="38" spans="1:36" ht="18">
      <c r="A38" s="5">
        <v>37</v>
      </c>
      <c r="B38" s="186" t="s">
        <v>35</v>
      </c>
      <c r="C38" s="7">
        <v>1</v>
      </c>
      <c r="D38" s="7">
        <v>1</v>
      </c>
      <c r="E38" s="7">
        <f t="shared" si="0"/>
        <v>0</v>
      </c>
      <c r="F38" s="400" t="s">
        <v>111</v>
      </c>
      <c r="G38" s="134" t="s">
        <v>69</v>
      </c>
      <c r="H38" s="134" t="s">
        <v>69</v>
      </c>
      <c r="I38" s="329" t="s">
        <v>108</v>
      </c>
      <c r="J38" s="134" t="s">
        <v>69</v>
      </c>
      <c r="K38" s="134" t="s">
        <v>69</v>
      </c>
      <c r="L38" s="134" t="s">
        <v>69</v>
      </c>
      <c r="M38" s="134" t="s">
        <v>69</v>
      </c>
      <c r="N38" s="134" t="s">
        <v>69</v>
      </c>
      <c r="O38" s="134" t="s">
        <v>69</v>
      </c>
      <c r="P38" s="329" t="s">
        <v>108</v>
      </c>
      <c r="Q38" s="389" t="s">
        <v>69</v>
      </c>
      <c r="R38" s="389" t="s">
        <v>69</v>
      </c>
      <c r="S38" s="389" t="s">
        <v>69</v>
      </c>
      <c r="T38" s="422" t="s">
        <v>111</v>
      </c>
      <c r="U38" s="378" t="s">
        <v>69</v>
      </c>
      <c r="V38" s="378" t="s">
        <v>69</v>
      </c>
      <c r="W38" s="329" t="s">
        <v>108</v>
      </c>
      <c r="X38" s="378" t="s">
        <v>69</v>
      </c>
      <c r="Y38" s="378" t="s">
        <v>69</v>
      </c>
      <c r="Z38" s="378" t="s">
        <v>69</v>
      </c>
      <c r="AA38" s="379" t="s">
        <v>72</v>
      </c>
      <c r="AB38" s="378" t="s">
        <v>69</v>
      </c>
      <c r="AC38" s="378" t="s">
        <v>69</v>
      </c>
      <c r="AD38" s="427" t="s">
        <v>108</v>
      </c>
      <c r="AE38" s="429" t="s">
        <v>111</v>
      </c>
      <c r="AF38" s="378" t="s">
        <v>69</v>
      </c>
      <c r="AG38" s="378" t="s">
        <v>69</v>
      </c>
      <c r="AH38" s="378" t="s">
        <v>69</v>
      </c>
      <c r="AI38" s="378" t="s">
        <v>69</v>
      </c>
      <c r="AJ38" s="378" t="s">
        <v>69</v>
      </c>
    </row>
    <row r="39" spans="1:36" ht="18">
      <c r="A39" s="5">
        <v>38</v>
      </c>
      <c r="B39" s="186" t="s">
        <v>118</v>
      </c>
      <c r="C39" s="7">
        <v>0</v>
      </c>
      <c r="D39" s="7">
        <v>0</v>
      </c>
      <c r="E39" s="7">
        <f t="shared" si="0"/>
        <v>0</v>
      </c>
      <c r="F39" s="400" t="s">
        <v>111</v>
      </c>
      <c r="G39" s="134" t="s">
        <v>69</v>
      </c>
      <c r="H39" s="134" t="s">
        <v>69</v>
      </c>
      <c r="I39" s="388" t="s">
        <v>108</v>
      </c>
      <c r="J39" s="134" t="s">
        <v>69</v>
      </c>
      <c r="K39" s="134" t="s">
        <v>69</v>
      </c>
      <c r="L39" s="134" t="s">
        <v>69</v>
      </c>
      <c r="M39" s="134" t="s">
        <v>69</v>
      </c>
      <c r="N39" s="134" t="s">
        <v>69</v>
      </c>
      <c r="O39" s="134" t="s">
        <v>69</v>
      </c>
      <c r="P39" s="329" t="s">
        <v>108</v>
      </c>
      <c r="Q39" s="389" t="s">
        <v>69</v>
      </c>
      <c r="R39" s="389" t="s">
        <v>69</v>
      </c>
      <c r="S39" s="389" t="s">
        <v>69</v>
      </c>
      <c r="T39" s="378" t="s">
        <v>69</v>
      </c>
      <c r="U39" s="378" t="s">
        <v>69</v>
      </c>
      <c r="V39" s="378" t="s">
        <v>69</v>
      </c>
      <c r="W39" s="329" t="s">
        <v>108</v>
      </c>
      <c r="X39" s="378" t="s">
        <v>69</v>
      </c>
      <c r="Y39" s="378" t="s">
        <v>69</v>
      </c>
      <c r="Z39" s="378" t="s">
        <v>69</v>
      </c>
      <c r="AA39" s="378" t="s">
        <v>69</v>
      </c>
      <c r="AB39" s="378" t="s">
        <v>69</v>
      </c>
      <c r="AC39" s="378" t="s">
        <v>69</v>
      </c>
      <c r="AD39" s="427" t="s">
        <v>108</v>
      </c>
      <c r="AE39" s="429" t="s">
        <v>111</v>
      </c>
      <c r="AF39" s="378" t="s">
        <v>69</v>
      </c>
      <c r="AG39" s="378" t="s">
        <v>69</v>
      </c>
      <c r="AH39" s="378" t="s">
        <v>69</v>
      </c>
      <c r="AI39" s="378" t="s">
        <v>69</v>
      </c>
      <c r="AJ39" s="378" t="s">
        <v>69</v>
      </c>
    </row>
    <row r="40" spans="1:36" ht="18">
      <c r="A40" s="5">
        <v>39</v>
      </c>
      <c r="B40" s="186" t="s">
        <v>223</v>
      </c>
      <c r="C40" s="7">
        <v>1</v>
      </c>
      <c r="D40" s="7">
        <v>1</v>
      </c>
      <c r="E40" s="7">
        <f t="shared" si="0"/>
        <v>0</v>
      </c>
      <c r="F40" s="400" t="s">
        <v>111</v>
      </c>
      <c r="G40" s="134" t="s">
        <v>69</v>
      </c>
      <c r="H40" s="134" t="s">
        <v>69</v>
      </c>
      <c r="I40" s="329" t="s">
        <v>108</v>
      </c>
      <c r="J40" s="134" t="s">
        <v>69</v>
      </c>
      <c r="K40" s="134" t="s">
        <v>69</v>
      </c>
      <c r="L40" s="134" t="s">
        <v>69</v>
      </c>
      <c r="M40" s="134" t="s">
        <v>69</v>
      </c>
      <c r="N40" s="134" t="s">
        <v>69</v>
      </c>
      <c r="O40" s="134" t="s">
        <v>69</v>
      </c>
      <c r="P40" s="329" t="s">
        <v>108</v>
      </c>
      <c r="Q40" s="389" t="s">
        <v>69</v>
      </c>
      <c r="R40" s="389" t="s">
        <v>69</v>
      </c>
      <c r="S40" s="389" t="s">
        <v>69</v>
      </c>
      <c r="T40" s="389" t="s">
        <v>69</v>
      </c>
      <c r="U40" s="389" t="s">
        <v>69</v>
      </c>
      <c r="V40" s="389" t="s">
        <v>69</v>
      </c>
      <c r="W40" s="329" t="s">
        <v>108</v>
      </c>
      <c r="X40" s="378" t="s">
        <v>69</v>
      </c>
      <c r="Y40" s="378" t="s">
        <v>69</v>
      </c>
      <c r="Z40" s="378" t="s">
        <v>69</v>
      </c>
      <c r="AA40" s="378" t="s">
        <v>69</v>
      </c>
      <c r="AB40" s="378" t="s">
        <v>69</v>
      </c>
      <c r="AC40" s="379" t="s">
        <v>72</v>
      </c>
      <c r="AD40" s="427" t="s">
        <v>108</v>
      </c>
      <c r="AE40" s="429" t="s">
        <v>111</v>
      </c>
      <c r="AF40" s="378" t="s">
        <v>69</v>
      </c>
      <c r="AG40" s="378" t="s">
        <v>69</v>
      </c>
      <c r="AH40" s="378" t="s">
        <v>69</v>
      </c>
      <c r="AI40" s="378" t="s">
        <v>69</v>
      </c>
      <c r="AJ40" s="378" t="s">
        <v>69</v>
      </c>
    </row>
    <row r="41" spans="1:36" ht="18">
      <c r="A41" s="5">
        <v>40</v>
      </c>
      <c r="B41" s="186" t="s">
        <v>36</v>
      </c>
      <c r="C41" s="7">
        <v>2</v>
      </c>
      <c r="D41" s="7">
        <v>1</v>
      </c>
      <c r="E41" s="7">
        <f t="shared" si="0"/>
        <v>1</v>
      </c>
      <c r="F41" s="400" t="s">
        <v>111</v>
      </c>
      <c r="G41" s="134" t="s">
        <v>69</v>
      </c>
      <c r="H41" s="134" t="s">
        <v>69</v>
      </c>
      <c r="I41" s="388" t="s">
        <v>108</v>
      </c>
      <c r="J41" s="134" t="s">
        <v>69</v>
      </c>
      <c r="K41" s="134" t="s">
        <v>69</v>
      </c>
      <c r="L41" s="134" t="s">
        <v>69</v>
      </c>
      <c r="M41" s="134" t="s">
        <v>69</v>
      </c>
      <c r="N41" s="134" t="s">
        <v>69</v>
      </c>
      <c r="O41" s="134" t="s">
        <v>69</v>
      </c>
      <c r="P41" s="329" t="s">
        <v>108</v>
      </c>
      <c r="Q41" s="389" t="s">
        <v>69</v>
      </c>
      <c r="R41" s="389" t="s">
        <v>69</v>
      </c>
      <c r="S41" s="420" t="s">
        <v>72</v>
      </c>
      <c r="T41" s="378" t="s">
        <v>111</v>
      </c>
      <c r="U41" s="390" t="s">
        <v>72</v>
      </c>
      <c r="V41" s="389" t="s">
        <v>69</v>
      </c>
      <c r="W41" s="329" t="s">
        <v>108</v>
      </c>
      <c r="X41" s="378" t="s">
        <v>69</v>
      </c>
      <c r="Y41" s="378" t="s">
        <v>69</v>
      </c>
      <c r="Z41" s="378" t="s">
        <v>69</v>
      </c>
      <c r="AA41" s="378" t="s">
        <v>69</v>
      </c>
      <c r="AB41" s="378" t="s">
        <v>69</v>
      </c>
      <c r="AC41" s="378" t="s">
        <v>69</v>
      </c>
      <c r="AD41" s="427" t="s">
        <v>108</v>
      </c>
      <c r="AE41" s="429" t="s">
        <v>111</v>
      </c>
      <c r="AF41" s="378" t="s">
        <v>69</v>
      </c>
      <c r="AG41" s="378" t="s">
        <v>69</v>
      </c>
      <c r="AH41" s="378" t="s">
        <v>69</v>
      </c>
      <c r="AI41" s="378" t="s">
        <v>69</v>
      </c>
      <c r="AJ41" s="378" t="s">
        <v>69</v>
      </c>
    </row>
    <row r="42" spans="1:36" ht="18">
      <c r="A42" s="5">
        <v>41</v>
      </c>
      <c r="B42" s="186" t="s">
        <v>239</v>
      </c>
      <c r="C42" s="7">
        <v>2</v>
      </c>
      <c r="D42" s="7">
        <v>1</v>
      </c>
      <c r="E42" s="7">
        <f t="shared" si="0"/>
        <v>1</v>
      </c>
      <c r="F42" s="400" t="s">
        <v>111</v>
      </c>
      <c r="G42" s="134" t="s">
        <v>69</v>
      </c>
      <c r="H42" s="134" t="s">
        <v>69</v>
      </c>
      <c r="I42" s="329" t="s">
        <v>108</v>
      </c>
      <c r="J42" s="168" t="s">
        <v>69</v>
      </c>
      <c r="K42" s="168" t="s">
        <v>69</v>
      </c>
      <c r="L42" s="168" t="s">
        <v>69</v>
      </c>
      <c r="M42" s="168" t="s">
        <v>69</v>
      </c>
      <c r="N42" s="168" t="s">
        <v>69</v>
      </c>
      <c r="O42" s="168" t="s">
        <v>69</v>
      </c>
      <c r="P42" s="329" t="s">
        <v>108</v>
      </c>
      <c r="Q42" s="389" t="s">
        <v>69</v>
      </c>
      <c r="R42" s="389" t="s">
        <v>69</v>
      </c>
      <c r="S42" s="389" t="s">
        <v>69</v>
      </c>
      <c r="T42" s="389" t="s">
        <v>69</v>
      </c>
      <c r="U42" s="389" t="s">
        <v>69</v>
      </c>
      <c r="V42" s="389" t="s">
        <v>69</v>
      </c>
      <c r="W42" s="329" t="s">
        <v>108</v>
      </c>
      <c r="X42" s="378" t="s">
        <v>69</v>
      </c>
      <c r="Y42" s="378" t="s">
        <v>69</v>
      </c>
      <c r="Z42" s="378" t="s">
        <v>69</v>
      </c>
      <c r="AA42" s="378" t="s">
        <v>69</v>
      </c>
      <c r="AB42" s="379" t="s">
        <v>72</v>
      </c>
      <c r="AC42" s="379" t="s">
        <v>72</v>
      </c>
      <c r="AD42" s="427" t="s">
        <v>108</v>
      </c>
      <c r="AE42" s="429" t="s">
        <v>111</v>
      </c>
      <c r="AF42" s="378" t="s">
        <v>69</v>
      </c>
      <c r="AG42" s="378" t="s">
        <v>69</v>
      </c>
      <c r="AH42" s="378" t="s">
        <v>69</v>
      </c>
      <c r="AI42" s="378" t="s">
        <v>69</v>
      </c>
      <c r="AJ42" s="378" t="s">
        <v>69</v>
      </c>
    </row>
    <row r="43" spans="1:36" ht="18">
      <c r="A43" s="5">
        <v>42</v>
      </c>
      <c r="B43" s="186" t="s">
        <v>143</v>
      </c>
      <c r="C43" s="7">
        <v>3</v>
      </c>
      <c r="D43" s="7">
        <v>1</v>
      </c>
      <c r="E43" s="7">
        <f t="shared" si="0"/>
        <v>2</v>
      </c>
      <c r="F43" s="400" t="s">
        <v>111</v>
      </c>
      <c r="G43" s="134" t="s">
        <v>69</v>
      </c>
      <c r="H43" s="134" t="s">
        <v>69</v>
      </c>
      <c r="I43" s="388" t="s">
        <v>108</v>
      </c>
      <c r="J43" s="120" t="s">
        <v>69</v>
      </c>
      <c r="K43" s="120" t="s">
        <v>69</v>
      </c>
      <c r="L43" s="120" t="s">
        <v>69</v>
      </c>
      <c r="M43" s="120" t="s">
        <v>69</v>
      </c>
      <c r="N43" s="120" t="s">
        <v>69</v>
      </c>
      <c r="O43" s="120" t="s">
        <v>69</v>
      </c>
      <c r="P43" s="329" t="s">
        <v>108</v>
      </c>
      <c r="Q43" s="389" t="s">
        <v>69</v>
      </c>
      <c r="R43" s="389" t="s">
        <v>69</v>
      </c>
      <c r="S43" s="426" t="s">
        <v>72</v>
      </c>
      <c r="T43" s="426" t="s">
        <v>72</v>
      </c>
      <c r="U43" s="426" t="s">
        <v>72</v>
      </c>
      <c r="V43" s="389" t="s">
        <v>69</v>
      </c>
      <c r="W43" s="329" t="s">
        <v>108</v>
      </c>
      <c r="X43" s="378" t="s">
        <v>69</v>
      </c>
      <c r="Y43" s="378" t="s">
        <v>69</v>
      </c>
      <c r="Z43" s="378" t="s">
        <v>69</v>
      </c>
      <c r="AA43" s="378" t="s">
        <v>69</v>
      </c>
      <c r="AB43" s="378" t="s">
        <v>69</v>
      </c>
      <c r="AC43" s="378" t="s">
        <v>69</v>
      </c>
      <c r="AD43" s="427" t="s">
        <v>108</v>
      </c>
      <c r="AE43" s="429" t="s">
        <v>111</v>
      </c>
      <c r="AF43" s="378" t="s">
        <v>69</v>
      </c>
      <c r="AG43" s="378" t="s">
        <v>69</v>
      </c>
      <c r="AH43" s="378" t="s">
        <v>69</v>
      </c>
      <c r="AI43" s="378" t="s">
        <v>69</v>
      </c>
      <c r="AJ43" s="378" t="s">
        <v>69</v>
      </c>
    </row>
    <row r="44" spans="1:36" ht="18">
      <c r="A44" s="5">
        <v>43</v>
      </c>
      <c r="B44" s="186" t="s">
        <v>225</v>
      </c>
      <c r="C44" s="7">
        <v>3</v>
      </c>
      <c r="D44" s="7">
        <v>1</v>
      </c>
      <c r="E44" s="7">
        <f t="shared" si="0"/>
        <v>2</v>
      </c>
      <c r="F44" s="400" t="s">
        <v>111</v>
      </c>
      <c r="G44" s="134" t="s">
        <v>69</v>
      </c>
      <c r="H44" s="134" t="s">
        <v>69</v>
      </c>
      <c r="I44" s="329" t="s">
        <v>108</v>
      </c>
      <c r="J44" s="120" t="s">
        <v>69</v>
      </c>
      <c r="K44" s="120" t="s">
        <v>69</v>
      </c>
      <c r="L44" s="120" t="s">
        <v>69</v>
      </c>
      <c r="M44" s="120" t="s">
        <v>69</v>
      </c>
      <c r="N44" s="120" t="s">
        <v>69</v>
      </c>
      <c r="O44" s="120" t="s">
        <v>69</v>
      </c>
      <c r="P44" s="329" t="s">
        <v>108</v>
      </c>
      <c r="Q44" s="389" t="s">
        <v>69</v>
      </c>
      <c r="R44" s="379" t="s">
        <v>72</v>
      </c>
      <c r="S44" s="409" t="s">
        <v>69</v>
      </c>
      <c r="T44" s="409" t="s">
        <v>69</v>
      </c>
      <c r="U44" s="409" t="s">
        <v>69</v>
      </c>
      <c r="V44" s="379" t="s">
        <v>72</v>
      </c>
      <c r="W44" s="329" t="s">
        <v>108</v>
      </c>
      <c r="X44" s="378" t="s">
        <v>69</v>
      </c>
      <c r="Y44" s="378" t="s">
        <v>69</v>
      </c>
      <c r="Z44" s="378" t="s">
        <v>69</v>
      </c>
      <c r="AA44" s="378" t="s">
        <v>69</v>
      </c>
      <c r="AB44" s="378" t="s">
        <v>69</v>
      </c>
      <c r="AC44" s="378" t="s">
        <v>69</v>
      </c>
      <c r="AD44" s="427" t="s">
        <v>108</v>
      </c>
      <c r="AE44" s="429" t="s">
        <v>111</v>
      </c>
      <c r="AF44" s="378" t="s">
        <v>69</v>
      </c>
      <c r="AG44" s="378" t="s">
        <v>69</v>
      </c>
      <c r="AH44" s="379" t="s">
        <v>72</v>
      </c>
      <c r="AI44" s="378" t="s">
        <v>69</v>
      </c>
      <c r="AJ44" s="378" t="s">
        <v>69</v>
      </c>
    </row>
    <row r="45" spans="1:36" ht="18">
      <c r="A45" s="5">
        <v>44</v>
      </c>
      <c r="B45" s="186" t="s">
        <v>255</v>
      </c>
      <c r="C45" s="7">
        <v>7</v>
      </c>
      <c r="D45" s="7">
        <v>0</v>
      </c>
      <c r="E45" s="7">
        <f t="shared" si="0"/>
        <v>7</v>
      </c>
      <c r="F45" s="121" t="s">
        <v>72</v>
      </c>
      <c r="G45" s="121" t="s">
        <v>72</v>
      </c>
      <c r="H45" s="121" t="s">
        <v>72</v>
      </c>
      <c r="I45" s="388" t="s">
        <v>108</v>
      </c>
      <c r="J45" s="131" t="s">
        <v>72</v>
      </c>
      <c r="K45" s="131" t="s">
        <v>72</v>
      </c>
      <c r="L45" s="120" t="s">
        <v>69</v>
      </c>
      <c r="M45" s="378" t="s">
        <v>69</v>
      </c>
      <c r="N45" s="378" t="s">
        <v>69</v>
      </c>
      <c r="O45" s="378" t="s">
        <v>69</v>
      </c>
      <c r="P45" s="329" t="s">
        <v>108</v>
      </c>
      <c r="Q45" s="378" t="s">
        <v>69</v>
      </c>
      <c r="R45" s="413" t="s">
        <v>111</v>
      </c>
      <c r="S45" s="409" t="s">
        <v>69</v>
      </c>
      <c r="T45" s="409" t="s">
        <v>69</v>
      </c>
      <c r="U45" s="409" t="s">
        <v>69</v>
      </c>
      <c r="V45" s="409" t="s">
        <v>69</v>
      </c>
      <c r="W45" s="329" t="s">
        <v>108</v>
      </c>
      <c r="X45" s="378" t="s">
        <v>69</v>
      </c>
      <c r="Y45" s="378" t="s">
        <v>69</v>
      </c>
      <c r="Z45" s="378" t="s">
        <v>69</v>
      </c>
      <c r="AA45" s="378" t="s">
        <v>69</v>
      </c>
      <c r="AB45" s="379" t="s">
        <v>72</v>
      </c>
      <c r="AC45" s="378" t="s">
        <v>69</v>
      </c>
      <c r="AD45" s="427" t="s">
        <v>108</v>
      </c>
      <c r="AE45" s="429" t="s">
        <v>111</v>
      </c>
      <c r="AF45" s="378" t="s">
        <v>69</v>
      </c>
      <c r="AG45" s="378" t="s">
        <v>69</v>
      </c>
      <c r="AH45" s="378" t="s">
        <v>69</v>
      </c>
      <c r="AI45" s="378" t="s">
        <v>69</v>
      </c>
      <c r="AJ45" s="378" t="s">
        <v>69</v>
      </c>
    </row>
    <row r="46" spans="1:36" ht="18">
      <c r="A46" s="5">
        <v>45</v>
      </c>
      <c r="B46" s="254" t="s">
        <v>38</v>
      </c>
      <c r="C46" s="7">
        <v>0</v>
      </c>
      <c r="D46" s="7">
        <v>0</v>
      </c>
      <c r="E46" s="7">
        <f t="shared" si="0"/>
        <v>0</v>
      </c>
      <c r="F46" s="400" t="s">
        <v>111</v>
      </c>
      <c r="G46" s="134" t="s">
        <v>69</v>
      </c>
      <c r="H46" s="134" t="s">
        <v>69</v>
      </c>
      <c r="I46" s="388" t="s">
        <v>108</v>
      </c>
      <c r="J46" s="120" t="s">
        <v>69</v>
      </c>
      <c r="K46" s="120" t="s">
        <v>69</v>
      </c>
      <c r="L46" s="120" t="s">
        <v>69</v>
      </c>
      <c r="M46" s="120" t="s">
        <v>69</v>
      </c>
      <c r="N46" s="120" t="s">
        <v>69</v>
      </c>
      <c r="O46" s="120" t="s">
        <v>69</v>
      </c>
      <c r="P46" s="329" t="s">
        <v>108</v>
      </c>
      <c r="Q46" s="378" t="s">
        <v>69</v>
      </c>
      <c r="R46" s="378" t="s">
        <v>69</v>
      </c>
      <c r="S46" s="378" t="s">
        <v>69</v>
      </c>
      <c r="T46" s="378" t="s">
        <v>69</v>
      </c>
      <c r="U46" s="378" t="s">
        <v>69</v>
      </c>
      <c r="V46" s="378" t="s">
        <v>69</v>
      </c>
      <c r="W46" s="329" t="s">
        <v>108</v>
      </c>
      <c r="X46" s="378" t="s">
        <v>69</v>
      </c>
      <c r="Y46" s="378" t="s">
        <v>69</v>
      </c>
      <c r="Z46" s="378" t="s">
        <v>69</v>
      </c>
      <c r="AA46" s="378" t="s">
        <v>69</v>
      </c>
      <c r="AB46" s="378" t="s">
        <v>69</v>
      </c>
      <c r="AC46" s="378" t="s">
        <v>69</v>
      </c>
      <c r="AD46" s="427" t="s">
        <v>108</v>
      </c>
      <c r="AE46" s="429" t="s">
        <v>111</v>
      </c>
      <c r="AF46" s="378" t="s">
        <v>69</v>
      </c>
      <c r="AG46" s="378" t="s">
        <v>69</v>
      </c>
      <c r="AH46" s="378" t="s">
        <v>69</v>
      </c>
      <c r="AI46" s="378" t="s">
        <v>69</v>
      </c>
      <c r="AJ46" s="378" t="s">
        <v>69</v>
      </c>
    </row>
    <row r="47" spans="1:36" ht="18">
      <c r="A47" s="5">
        <v>46</v>
      </c>
      <c r="B47" s="254" t="s">
        <v>39</v>
      </c>
      <c r="C47" s="7">
        <v>0</v>
      </c>
      <c r="D47" s="7">
        <v>0</v>
      </c>
      <c r="E47" s="7">
        <f t="shared" si="0"/>
        <v>0</v>
      </c>
      <c r="F47" s="400" t="s">
        <v>111</v>
      </c>
      <c r="G47" s="134" t="s">
        <v>69</v>
      </c>
      <c r="H47" s="134" t="s">
        <v>69</v>
      </c>
      <c r="I47" s="329" t="s">
        <v>108</v>
      </c>
      <c r="J47" s="120" t="s">
        <v>69</v>
      </c>
      <c r="K47" s="120" t="s">
        <v>69</v>
      </c>
      <c r="L47" s="120" t="s">
        <v>69</v>
      </c>
      <c r="M47" s="120" t="s">
        <v>69</v>
      </c>
      <c r="N47" s="120" t="s">
        <v>69</v>
      </c>
      <c r="O47" s="120" t="s">
        <v>69</v>
      </c>
      <c r="P47" s="329" t="s">
        <v>108</v>
      </c>
      <c r="Q47" s="378" t="s">
        <v>69</v>
      </c>
      <c r="R47" s="378" t="s">
        <v>69</v>
      </c>
      <c r="S47" s="378" t="s">
        <v>69</v>
      </c>
      <c r="T47" s="378" t="s">
        <v>69</v>
      </c>
      <c r="U47" s="378" t="s">
        <v>69</v>
      </c>
      <c r="V47" s="378" t="s">
        <v>69</v>
      </c>
      <c r="W47" s="329" t="s">
        <v>108</v>
      </c>
      <c r="X47" s="378" t="s">
        <v>69</v>
      </c>
      <c r="Y47" s="378" t="s">
        <v>69</v>
      </c>
      <c r="Z47" s="378" t="s">
        <v>69</v>
      </c>
      <c r="AA47" s="378" t="s">
        <v>69</v>
      </c>
      <c r="AB47" s="378" t="s">
        <v>69</v>
      </c>
      <c r="AC47" s="378" t="s">
        <v>69</v>
      </c>
      <c r="AD47" s="427" t="s">
        <v>108</v>
      </c>
      <c r="AE47" s="429" t="s">
        <v>111</v>
      </c>
      <c r="AF47" s="378" t="s">
        <v>69</v>
      </c>
      <c r="AG47" s="378" t="s">
        <v>69</v>
      </c>
      <c r="AH47" s="378" t="s">
        <v>69</v>
      </c>
      <c r="AI47" s="378" t="s">
        <v>69</v>
      </c>
      <c r="AJ47" s="378" t="s">
        <v>69</v>
      </c>
    </row>
    <row r="48" spans="1:36" ht="18">
      <c r="A48" s="5">
        <v>47</v>
      </c>
      <c r="B48" s="254" t="s">
        <v>40</v>
      </c>
      <c r="C48" s="7">
        <v>2</v>
      </c>
      <c r="D48" s="7">
        <v>2</v>
      </c>
      <c r="E48" s="7">
        <f t="shared" si="0"/>
        <v>0</v>
      </c>
      <c r="F48" s="400" t="s">
        <v>111</v>
      </c>
      <c r="G48" s="134" t="s">
        <v>69</v>
      </c>
      <c r="H48" s="134" t="s">
        <v>69</v>
      </c>
      <c r="I48" s="388" t="s">
        <v>108</v>
      </c>
      <c r="J48" s="120" t="s">
        <v>69</v>
      </c>
      <c r="K48" s="120" t="s">
        <v>69</v>
      </c>
      <c r="L48" s="120" t="s">
        <v>69</v>
      </c>
      <c r="M48" s="120" t="s">
        <v>69</v>
      </c>
      <c r="N48" s="120" t="s">
        <v>69</v>
      </c>
      <c r="O48" s="120" t="s">
        <v>69</v>
      </c>
      <c r="P48" s="329" t="s">
        <v>108</v>
      </c>
      <c r="Q48" s="378" t="s">
        <v>69</v>
      </c>
      <c r="R48" s="378" t="s">
        <v>69</v>
      </c>
      <c r="S48" s="420" t="s">
        <v>72</v>
      </c>
      <c r="T48" s="378" t="s">
        <v>69</v>
      </c>
      <c r="U48" s="378" t="s">
        <v>69</v>
      </c>
      <c r="V48" s="378" t="s">
        <v>69</v>
      </c>
      <c r="W48" s="329" t="s">
        <v>108</v>
      </c>
      <c r="X48" s="378" t="s">
        <v>69</v>
      </c>
      <c r="Y48" s="378" t="s">
        <v>69</v>
      </c>
      <c r="Z48" s="426" t="s">
        <v>72</v>
      </c>
      <c r="AA48" s="378" t="s">
        <v>69</v>
      </c>
      <c r="AB48" s="378" t="s">
        <v>69</v>
      </c>
      <c r="AC48" s="378" t="s">
        <v>69</v>
      </c>
      <c r="AD48" s="427" t="s">
        <v>108</v>
      </c>
      <c r="AE48" s="429" t="s">
        <v>111</v>
      </c>
      <c r="AF48" s="378" t="s">
        <v>69</v>
      </c>
      <c r="AG48" s="378" t="s">
        <v>69</v>
      </c>
      <c r="AH48" s="378" t="s">
        <v>69</v>
      </c>
      <c r="AI48" s="378" t="s">
        <v>69</v>
      </c>
      <c r="AJ48" s="378" t="s">
        <v>69</v>
      </c>
    </row>
    <row r="49" spans="1:36" ht="18">
      <c r="A49" s="5">
        <v>48</v>
      </c>
      <c r="B49" s="408" t="s">
        <v>256</v>
      </c>
      <c r="C49" s="7">
        <v>5</v>
      </c>
      <c r="D49" s="7">
        <v>1</v>
      </c>
      <c r="E49" s="7">
        <f t="shared" si="0"/>
        <v>4</v>
      </c>
      <c r="F49" s="121" t="s">
        <v>72</v>
      </c>
      <c r="G49" s="121" t="s">
        <v>72</v>
      </c>
      <c r="H49" s="121" t="s">
        <v>72</v>
      </c>
      <c r="I49" s="329" t="s">
        <v>108</v>
      </c>
      <c r="J49" s="672" t="s">
        <v>69</v>
      </c>
      <c r="K49" s="672" t="s">
        <v>69</v>
      </c>
      <c r="L49" s="672" t="s">
        <v>69</v>
      </c>
      <c r="M49" s="672" t="s">
        <v>69</v>
      </c>
      <c r="N49" s="672" t="s">
        <v>69</v>
      </c>
      <c r="O49" s="379" t="s">
        <v>72</v>
      </c>
      <c r="P49" s="329" t="s">
        <v>108</v>
      </c>
      <c r="Q49" s="378" t="s">
        <v>69</v>
      </c>
      <c r="R49" s="378" t="s">
        <v>69</v>
      </c>
      <c r="S49" s="414" t="s">
        <v>111</v>
      </c>
      <c r="T49" s="378" t="s">
        <v>69</v>
      </c>
      <c r="U49" s="378" t="s">
        <v>69</v>
      </c>
      <c r="V49" s="378" t="s">
        <v>69</v>
      </c>
      <c r="W49" s="329" t="s">
        <v>108</v>
      </c>
      <c r="X49" s="378" t="s">
        <v>69</v>
      </c>
      <c r="Y49" s="390" t="s">
        <v>72</v>
      </c>
      <c r="Z49" s="421" t="s">
        <v>69</v>
      </c>
      <c r="AA49" s="421" t="s">
        <v>69</v>
      </c>
      <c r="AB49" s="421" t="s">
        <v>69</v>
      </c>
      <c r="AC49" s="421" t="s">
        <v>69</v>
      </c>
      <c r="AD49" s="427" t="s">
        <v>108</v>
      </c>
      <c r="AE49" s="429" t="s">
        <v>111</v>
      </c>
      <c r="AF49" s="378" t="s">
        <v>69</v>
      </c>
      <c r="AG49" s="378" t="s">
        <v>69</v>
      </c>
      <c r="AH49" s="378" t="s">
        <v>69</v>
      </c>
      <c r="AI49" s="378" t="s">
        <v>69</v>
      </c>
      <c r="AJ49" s="378" t="s">
        <v>69</v>
      </c>
    </row>
    <row r="50" spans="1:36" ht="18">
      <c r="A50" s="5">
        <v>49</v>
      </c>
      <c r="B50" s="359" t="s">
        <v>227</v>
      </c>
      <c r="C50" s="7">
        <v>2</v>
      </c>
      <c r="D50" s="7">
        <v>1</v>
      </c>
      <c r="E50" s="7">
        <f t="shared" si="0"/>
        <v>1</v>
      </c>
      <c r="F50" s="400" t="s">
        <v>111</v>
      </c>
      <c r="G50" s="134" t="s">
        <v>69</v>
      </c>
      <c r="H50" s="134" t="s">
        <v>69</v>
      </c>
      <c r="I50" s="388" t="s">
        <v>108</v>
      </c>
      <c r="J50" s="131" t="s">
        <v>72</v>
      </c>
      <c r="K50" s="131" t="s">
        <v>72</v>
      </c>
      <c r="L50" s="409" t="s">
        <v>69</v>
      </c>
      <c r="M50" s="409" t="s">
        <v>69</v>
      </c>
      <c r="N50" s="409" t="s">
        <v>69</v>
      </c>
      <c r="O50" s="409" t="s">
        <v>69</v>
      </c>
      <c r="P50" s="329" t="s">
        <v>108</v>
      </c>
      <c r="Q50" s="378" t="s">
        <v>69</v>
      </c>
      <c r="R50" s="378" t="s">
        <v>69</v>
      </c>
      <c r="S50" s="378" t="s">
        <v>69</v>
      </c>
      <c r="T50" s="378" t="s">
        <v>69</v>
      </c>
      <c r="U50" s="378" t="s">
        <v>69</v>
      </c>
      <c r="V50" s="378" t="s">
        <v>69</v>
      </c>
      <c r="W50" s="329" t="s">
        <v>108</v>
      </c>
      <c r="X50" s="380" t="s">
        <v>69</v>
      </c>
      <c r="Y50" s="380" t="s">
        <v>69</v>
      </c>
      <c r="Z50" s="380" t="s">
        <v>69</v>
      </c>
      <c r="AA50" s="380" t="s">
        <v>69</v>
      </c>
      <c r="AB50" s="380" t="s">
        <v>69</v>
      </c>
      <c r="AC50" s="380" t="s">
        <v>69</v>
      </c>
      <c r="AD50" s="427" t="s">
        <v>108</v>
      </c>
      <c r="AE50" s="429" t="s">
        <v>111</v>
      </c>
      <c r="AF50" s="378" t="s">
        <v>69</v>
      </c>
      <c r="AG50" s="378" t="s">
        <v>69</v>
      </c>
      <c r="AH50" s="378" t="s">
        <v>69</v>
      </c>
      <c r="AI50" s="378" t="s">
        <v>69</v>
      </c>
      <c r="AJ50" s="378" t="s">
        <v>69</v>
      </c>
    </row>
    <row r="51" spans="1:36" ht="18">
      <c r="A51" s="5">
        <v>50</v>
      </c>
      <c r="B51" s="186" t="s">
        <v>41</v>
      </c>
      <c r="C51" s="7">
        <v>2</v>
      </c>
      <c r="D51" s="7">
        <v>2</v>
      </c>
      <c r="E51" s="7">
        <f t="shared" si="0"/>
        <v>0</v>
      </c>
      <c r="F51" s="400" t="s">
        <v>111</v>
      </c>
      <c r="G51" s="134" t="s">
        <v>69</v>
      </c>
      <c r="H51" s="406" t="s">
        <v>72</v>
      </c>
      <c r="I51" s="329" t="s">
        <v>108</v>
      </c>
      <c r="J51" s="120" t="s">
        <v>69</v>
      </c>
      <c r="K51" s="120" t="s">
        <v>69</v>
      </c>
      <c r="L51" s="120" t="s">
        <v>69</v>
      </c>
      <c r="M51" s="120" t="s">
        <v>69</v>
      </c>
      <c r="N51" s="120" t="s">
        <v>69</v>
      </c>
      <c r="O51" s="120" t="s">
        <v>69</v>
      </c>
      <c r="P51" s="329" t="s">
        <v>108</v>
      </c>
      <c r="Q51" s="378" t="s">
        <v>69</v>
      </c>
      <c r="R51" s="378" t="s">
        <v>69</v>
      </c>
      <c r="S51" s="378" t="s">
        <v>69</v>
      </c>
      <c r="T51" s="422" t="s">
        <v>111</v>
      </c>
      <c r="U51" s="378" t="s">
        <v>69</v>
      </c>
      <c r="V51" s="379" t="s">
        <v>72</v>
      </c>
      <c r="W51" s="329" t="s">
        <v>108</v>
      </c>
      <c r="X51" s="378" t="s">
        <v>69</v>
      </c>
      <c r="Y51" s="378" t="s">
        <v>69</v>
      </c>
      <c r="Z51" s="378" t="s">
        <v>69</v>
      </c>
      <c r="AA51" s="378" t="s">
        <v>69</v>
      </c>
      <c r="AB51" s="378" t="s">
        <v>69</v>
      </c>
      <c r="AC51" s="378" t="s">
        <v>69</v>
      </c>
      <c r="AD51" s="427" t="s">
        <v>108</v>
      </c>
      <c r="AE51" s="429" t="s">
        <v>111</v>
      </c>
      <c r="AF51" s="378" t="s">
        <v>69</v>
      </c>
      <c r="AG51" s="378" t="s">
        <v>69</v>
      </c>
      <c r="AH51" s="378" t="s">
        <v>69</v>
      </c>
      <c r="AI51" s="378" t="s">
        <v>69</v>
      </c>
      <c r="AJ51" s="378" t="s">
        <v>69</v>
      </c>
    </row>
    <row r="52" spans="1:36" ht="18">
      <c r="A52" s="5">
        <v>51</v>
      </c>
      <c r="B52" s="186" t="s">
        <v>241</v>
      </c>
      <c r="C52" s="7">
        <v>2</v>
      </c>
      <c r="D52" s="7">
        <v>1</v>
      </c>
      <c r="E52" s="7">
        <f t="shared" si="0"/>
        <v>1</v>
      </c>
      <c r="F52" s="400" t="s">
        <v>111</v>
      </c>
      <c r="G52" s="134" t="s">
        <v>69</v>
      </c>
      <c r="H52" s="134" t="s">
        <v>69</v>
      </c>
      <c r="I52" s="388" t="s">
        <v>108</v>
      </c>
      <c r="J52" s="120" t="s">
        <v>69</v>
      </c>
      <c r="K52" s="120" t="s">
        <v>69</v>
      </c>
      <c r="L52" s="120" t="s">
        <v>69</v>
      </c>
      <c r="M52" s="120" t="s">
        <v>69</v>
      </c>
      <c r="N52" s="120" t="s">
        <v>69</v>
      </c>
      <c r="O52" s="120" t="s">
        <v>69</v>
      </c>
      <c r="P52" s="329" t="s">
        <v>108</v>
      </c>
      <c r="Q52" s="378" t="s">
        <v>69</v>
      </c>
      <c r="R52" s="378" t="s">
        <v>69</v>
      </c>
      <c r="S52" s="378" t="s">
        <v>69</v>
      </c>
      <c r="T52" s="379" t="s">
        <v>72</v>
      </c>
      <c r="U52" s="378" t="s">
        <v>69</v>
      </c>
      <c r="V52" s="378" t="s">
        <v>69</v>
      </c>
      <c r="W52" s="329" t="s">
        <v>108</v>
      </c>
      <c r="X52" s="378" t="s">
        <v>69</v>
      </c>
      <c r="Y52" s="378" t="s">
        <v>69</v>
      </c>
      <c r="Z52" s="378" t="s">
        <v>69</v>
      </c>
      <c r="AA52" s="378" t="s">
        <v>69</v>
      </c>
      <c r="AB52" s="378" t="s">
        <v>69</v>
      </c>
      <c r="AC52" s="378" t="s">
        <v>69</v>
      </c>
      <c r="AD52" s="427" t="s">
        <v>108</v>
      </c>
      <c r="AE52" s="429" t="s">
        <v>111</v>
      </c>
      <c r="AF52" s="378" t="s">
        <v>69</v>
      </c>
      <c r="AG52" s="378" t="s">
        <v>69</v>
      </c>
      <c r="AH52" s="378" t="s">
        <v>69</v>
      </c>
      <c r="AI52" s="378" t="s">
        <v>69</v>
      </c>
      <c r="AJ52" s="379" t="s">
        <v>72</v>
      </c>
    </row>
    <row r="53" spans="1:36" ht="18">
      <c r="A53" s="5">
        <v>52</v>
      </c>
      <c r="B53" s="186" t="s">
        <v>228</v>
      </c>
      <c r="C53" s="7">
        <v>1</v>
      </c>
      <c r="D53" s="7">
        <v>1</v>
      </c>
      <c r="E53" s="7">
        <v>0</v>
      </c>
      <c r="F53" s="400" t="s">
        <v>111</v>
      </c>
      <c r="G53" s="134" t="s">
        <v>69</v>
      </c>
      <c r="H53" s="380"/>
      <c r="I53" s="329" t="s">
        <v>108</v>
      </c>
      <c r="J53" s="120" t="s">
        <v>69</v>
      </c>
      <c r="K53" s="120" t="s">
        <v>69</v>
      </c>
      <c r="L53" s="120" t="s">
        <v>69</v>
      </c>
      <c r="M53" s="120" t="s">
        <v>69</v>
      </c>
      <c r="N53" s="120" t="s">
        <v>69</v>
      </c>
      <c r="O53" s="120" t="s">
        <v>69</v>
      </c>
      <c r="P53" s="329" t="s">
        <v>108</v>
      </c>
      <c r="Q53" s="378" t="s">
        <v>69</v>
      </c>
      <c r="R53" s="413" t="s">
        <v>111</v>
      </c>
      <c r="S53" s="378" t="s">
        <v>69</v>
      </c>
      <c r="T53" s="379" t="s">
        <v>72</v>
      </c>
      <c r="U53" s="378" t="s">
        <v>69</v>
      </c>
      <c r="V53" s="378" t="s">
        <v>69</v>
      </c>
      <c r="W53" s="329" t="s">
        <v>108</v>
      </c>
      <c r="X53" s="378" t="s">
        <v>69</v>
      </c>
      <c r="Y53" s="378" t="s">
        <v>69</v>
      </c>
      <c r="Z53" s="378" t="s">
        <v>69</v>
      </c>
      <c r="AA53" s="378" t="s">
        <v>69</v>
      </c>
      <c r="AB53" s="378" t="s">
        <v>69</v>
      </c>
      <c r="AC53" s="378" t="s">
        <v>69</v>
      </c>
      <c r="AD53" s="427" t="s">
        <v>108</v>
      </c>
      <c r="AE53" s="429" t="s">
        <v>111</v>
      </c>
      <c r="AF53" s="378" t="s">
        <v>69</v>
      </c>
      <c r="AG53" s="378" t="s">
        <v>69</v>
      </c>
      <c r="AH53" s="378" t="s">
        <v>69</v>
      </c>
      <c r="AI53" s="378" t="s">
        <v>69</v>
      </c>
      <c r="AJ53" s="378" t="s">
        <v>69</v>
      </c>
    </row>
    <row r="54" spans="1:36" ht="18">
      <c r="A54" s="5">
        <v>53</v>
      </c>
      <c r="B54" s="254" t="s">
        <v>42</v>
      </c>
      <c r="C54" s="7">
        <v>1</v>
      </c>
      <c r="D54" s="7">
        <v>1</v>
      </c>
      <c r="E54" s="7">
        <f t="shared" si="0"/>
        <v>0</v>
      </c>
      <c r="F54" s="400" t="s">
        <v>111</v>
      </c>
      <c r="G54" s="134" t="s">
        <v>69</v>
      </c>
      <c r="H54" s="134" t="s">
        <v>69</v>
      </c>
      <c r="I54" s="388" t="s">
        <v>108</v>
      </c>
      <c r="J54" s="120" t="s">
        <v>69</v>
      </c>
      <c r="K54" s="120" t="s">
        <v>69</v>
      </c>
      <c r="L54" s="120" t="s">
        <v>69</v>
      </c>
      <c r="M54" s="120" t="s">
        <v>69</v>
      </c>
      <c r="N54" s="120" t="s">
        <v>69</v>
      </c>
      <c r="O54" s="120" t="s">
        <v>69</v>
      </c>
      <c r="P54" s="329" t="s">
        <v>108</v>
      </c>
      <c r="Q54" s="378" t="s">
        <v>69</v>
      </c>
      <c r="R54" s="378" t="s">
        <v>69</v>
      </c>
      <c r="S54" s="378" t="s">
        <v>69</v>
      </c>
      <c r="T54" s="422" t="s">
        <v>111</v>
      </c>
      <c r="U54" s="378" t="s">
        <v>69</v>
      </c>
      <c r="V54" s="378" t="s">
        <v>69</v>
      </c>
      <c r="W54" s="329" t="s">
        <v>108</v>
      </c>
      <c r="X54" s="378" t="s">
        <v>69</v>
      </c>
      <c r="Y54" s="378" t="s">
        <v>69</v>
      </c>
      <c r="Z54" s="378" t="s">
        <v>69</v>
      </c>
      <c r="AA54" s="378" t="s">
        <v>69</v>
      </c>
      <c r="AB54" s="379" t="s">
        <v>72</v>
      </c>
      <c r="AC54" s="378" t="s">
        <v>69</v>
      </c>
      <c r="AD54" s="427" t="s">
        <v>108</v>
      </c>
      <c r="AE54" s="429" t="s">
        <v>111</v>
      </c>
      <c r="AF54" s="378" t="s">
        <v>69</v>
      </c>
      <c r="AG54" s="378" t="s">
        <v>69</v>
      </c>
      <c r="AH54" s="378" t="s">
        <v>69</v>
      </c>
      <c r="AI54" s="378" t="s">
        <v>69</v>
      </c>
      <c r="AJ54" s="378" t="s">
        <v>69</v>
      </c>
    </row>
    <row r="55" spans="1:36" ht="18">
      <c r="A55" s="5">
        <v>54</v>
      </c>
      <c r="B55" s="254" t="s">
        <v>257</v>
      </c>
      <c r="C55" s="7">
        <v>0</v>
      </c>
      <c r="D55" s="7">
        <v>0</v>
      </c>
      <c r="E55" s="7">
        <f t="shared" si="0"/>
        <v>0</v>
      </c>
      <c r="F55" s="400" t="s">
        <v>111</v>
      </c>
      <c r="G55" s="134" t="s">
        <v>69</v>
      </c>
      <c r="H55" s="134" t="s">
        <v>69</v>
      </c>
      <c r="I55" s="329" t="s">
        <v>108</v>
      </c>
      <c r="J55" s="120" t="s">
        <v>69</v>
      </c>
      <c r="K55" s="120" t="s">
        <v>69</v>
      </c>
      <c r="L55" s="120" t="s">
        <v>69</v>
      </c>
      <c r="M55" s="120" t="s">
        <v>69</v>
      </c>
      <c r="N55" s="120" t="s">
        <v>69</v>
      </c>
      <c r="O55" s="120" t="s">
        <v>69</v>
      </c>
      <c r="P55" s="329" t="s">
        <v>108</v>
      </c>
      <c r="Q55" s="378" t="s">
        <v>69</v>
      </c>
      <c r="R55" s="378" t="s">
        <v>69</v>
      </c>
      <c r="S55" s="378" t="s">
        <v>69</v>
      </c>
      <c r="T55" s="378" t="s">
        <v>69</v>
      </c>
      <c r="U55" s="378" t="s">
        <v>69</v>
      </c>
      <c r="V55" s="378" t="s">
        <v>69</v>
      </c>
      <c r="W55" s="329" t="s">
        <v>108</v>
      </c>
      <c r="X55" s="378" t="s">
        <v>69</v>
      </c>
      <c r="Y55" s="378" t="s">
        <v>69</v>
      </c>
      <c r="Z55" s="378" t="s">
        <v>69</v>
      </c>
      <c r="AA55" s="378" t="s">
        <v>69</v>
      </c>
      <c r="AB55" s="378" t="s">
        <v>69</v>
      </c>
      <c r="AC55" s="378" t="s">
        <v>69</v>
      </c>
      <c r="AD55" s="427" t="s">
        <v>108</v>
      </c>
      <c r="AE55" s="429" t="s">
        <v>111</v>
      </c>
      <c r="AF55" s="378" t="s">
        <v>69</v>
      </c>
      <c r="AG55" s="378" t="s">
        <v>69</v>
      </c>
      <c r="AH55" s="378" t="s">
        <v>69</v>
      </c>
      <c r="AI55" s="378" t="s">
        <v>69</v>
      </c>
      <c r="AJ55" s="378" t="s">
        <v>69</v>
      </c>
    </row>
    <row r="56" spans="1:36" ht="18">
      <c r="A56" s="5">
        <v>55</v>
      </c>
      <c r="B56" s="254" t="s">
        <v>230</v>
      </c>
      <c r="C56" s="7">
        <v>2</v>
      </c>
      <c r="D56" s="7">
        <v>1</v>
      </c>
      <c r="E56" s="7">
        <f t="shared" si="0"/>
        <v>1</v>
      </c>
      <c r="F56" s="400" t="s">
        <v>111</v>
      </c>
      <c r="G56" s="134" t="s">
        <v>69</v>
      </c>
      <c r="H56" s="134" t="s">
        <v>69</v>
      </c>
      <c r="I56" s="388" t="s">
        <v>108</v>
      </c>
      <c r="J56" s="120" t="s">
        <v>69</v>
      </c>
      <c r="K56" s="120" t="s">
        <v>69</v>
      </c>
      <c r="L56" s="120" t="s">
        <v>69</v>
      </c>
      <c r="M56" s="120" t="s">
        <v>69</v>
      </c>
      <c r="N56" s="120" t="s">
        <v>69</v>
      </c>
      <c r="O56" s="120" t="s">
        <v>69</v>
      </c>
      <c r="P56" s="329" t="s">
        <v>108</v>
      </c>
      <c r="Q56" s="378" t="s">
        <v>69</v>
      </c>
      <c r="R56" s="378" t="s">
        <v>69</v>
      </c>
      <c r="S56" s="378" t="s">
        <v>69</v>
      </c>
      <c r="T56" s="378" t="s">
        <v>69</v>
      </c>
      <c r="U56" s="378" t="s">
        <v>69</v>
      </c>
      <c r="V56" s="378" t="s">
        <v>69</v>
      </c>
      <c r="W56" s="329" t="s">
        <v>108</v>
      </c>
      <c r="X56" s="378" t="s">
        <v>69</v>
      </c>
      <c r="Y56" s="378" t="s">
        <v>69</v>
      </c>
      <c r="Z56" s="378" t="s">
        <v>69</v>
      </c>
      <c r="AA56" s="379" t="s">
        <v>72</v>
      </c>
      <c r="AB56" s="379" t="s">
        <v>72</v>
      </c>
      <c r="AC56" s="378" t="s">
        <v>69</v>
      </c>
      <c r="AD56" s="427" t="s">
        <v>108</v>
      </c>
      <c r="AE56" s="429" t="s">
        <v>111</v>
      </c>
      <c r="AF56" s="378" t="s">
        <v>69</v>
      </c>
      <c r="AG56" s="378" t="s">
        <v>69</v>
      </c>
      <c r="AH56" s="378" t="s">
        <v>69</v>
      </c>
      <c r="AI56" s="378" t="s">
        <v>69</v>
      </c>
      <c r="AJ56" s="378" t="s">
        <v>69</v>
      </c>
    </row>
    <row r="57" spans="1:36" ht="18">
      <c r="A57" s="5">
        <v>56</v>
      </c>
      <c r="B57" s="186" t="s">
        <v>161</v>
      </c>
      <c r="C57" s="7">
        <v>2</v>
      </c>
      <c r="D57" s="7">
        <v>1</v>
      </c>
      <c r="E57" s="7">
        <f t="shared" si="0"/>
        <v>1</v>
      </c>
      <c r="F57" s="400" t="s">
        <v>111</v>
      </c>
      <c r="G57" s="134" t="s">
        <v>69</v>
      </c>
      <c r="H57" s="134" t="s">
        <v>69</v>
      </c>
      <c r="I57" s="329" t="s">
        <v>108</v>
      </c>
      <c r="J57" s="120" t="s">
        <v>69</v>
      </c>
      <c r="K57" s="120" t="s">
        <v>69</v>
      </c>
      <c r="L57" s="120" t="s">
        <v>69</v>
      </c>
      <c r="M57" s="120" t="s">
        <v>69</v>
      </c>
      <c r="N57" s="120" t="s">
        <v>69</v>
      </c>
      <c r="O57" s="120" t="s">
        <v>69</v>
      </c>
      <c r="P57" s="329" t="s">
        <v>108</v>
      </c>
      <c r="Q57" s="378" t="s">
        <v>69</v>
      </c>
      <c r="R57" s="378" t="s">
        <v>69</v>
      </c>
      <c r="S57" s="378" t="s">
        <v>69</v>
      </c>
      <c r="T57" s="422" t="s">
        <v>111</v>
      </c>
      <c r="U57" s="379" t="s">
        <v>72</v>
      </c>
      <c r="V57" s="378" t="s">
        <v>69</v>
      </c>
      <c r="W57" s="329" t="s">
        <v>108</v>
      </c>
      <c r="X57" s="378" t="s">
        <v>69</v>
      </c>
      <c r="Y57" s="378" t="s">
        <v>69</v>
      </c>
      <c r="Z57" s="378" t="s">
        <v>69</v>
      </c>
      <c r="AA57" s="378" t="s">
        <v>69</v>
      </c>
      <c r="AB57" s="378" t="s">
        <v>69</v>
      </c>
      <c r="AC57" s="378" t="s">
        <v>69</v>
      </c>
      <c r="AD57" s="427" t="s">
        <v>108</v>
      </c>
      <c r="AE57" s="429" t="s">
        <v>111</v>
      </c>
      <c r="AF57" s="378" t="s">
        <v>69</v>
      </c>
      <c r="AG57" s="121" t="s">
        <v>72</v>
      </c>
      <c r="AH57" s="120" t="s">
        <v>69</v>
      </c>
      <c r="AI57" s="120" t="s">
        <v>69</v>
      </c>
      <c r="AJ57" s="120" t="s">
        <v>69</v>
      </c>
    </row>
    <row r="58" spans="1:36" ht="18">
      <c r="A58" s="5">
        <v>57</v>
      </c>
      <c r="B58" s="254" t="s">
        <v>47</v>
      </c>
      <c r="C58" s="7">
        <v>3</v>
      </c>
      <c r="D58" s="7">
        <v>1</v>
      </c>
      <c r="E58" s="7">
        <f t="shared" si="0"/>
        <v>2</v>
      </c>
      <c r="F58" s="400" t="s">
        <v>111</v>
      </c>
      <c r="G58" s="405" t="s">
        <v>258</v>
      </c>
      <c r="H58" s="405" t="s">
        <v>258</v>
      </c>
      <c r="I58" s="388" t="s">
        <v>108</v>
      </c>
      <c r="J58" s="120" t="s">
        <v>69</v>
      </c>
      <c r="K58" s="120" t="s">
        <v>69</v>
      </c>
      <c r="L58" s="120" t="s">
        <v>69</v>
      </c>
      <c r="M58" s="120" t="s">
        <v>69</v>
      </c>
      <c r="N58" s="120" t="s">
        <v>69</v>
      </c>
      <c r="O58" s="120" t="s">
        <v>69</v>
      </c>
      <c r="P58" s="329" t="s">
        <v>108</v>
      </c>
      <c r="Q58" s="378" t="s">
        <v>69</v>
      </c>
      <c r="R58" s="378" t="s">
        <v>69</v>
      </c>
      <c r="S58" s="378" t="s">
        <v>69</v>
      </c>
      <c r="T58" s="378" t="s">
        <v>69</v>
      </c>
      <c r="U58" s="378" t="s">
        <v>69</v>
      </c>
      <c r="V58" s="378" t="s">
        <v>69</v>
      </c>
      <c r="W58" s="329" t="s">
        <v>108</v>
      </c>
      <c r="X58" s="394" t="s">
        <v>69</v>
      </c>
      <c r="Y58" s="394" t="s">
        <v>69</v>
      </c>
      <c r="Z58" s="394" t="s">
        <v>69</v>
      </c>
      <c r="AA58" s="394" t="s">
        <v>69</v>
      </c>
      <c r="AB58" s="394" t="s">
        <v>69</v>
      </c>
      <c r="AC58" s="379" t="s">
        <v>72</v>
      </c>
      <c r="AD58" s="427" t="s">
        <v>108</v>
      </c>
      <c r="AE58" s="429" t="s">
        <v>111</v>
      </c>
      <c r="AF58" s="378" t="s">
        <v>69</v>
      </c>
      <c r="AG58" s="378" t="s">
        <v>69</v>
      </c>
      <c r="AH58" s="378" t="s">
        <v>69</v>
      </c>
      <c r="AI58" s="378" t="s">
        <v>69</v>
      </c>
      <c r="AJ58" s="378" t="s">
        <v>69</v>
      </c>
    </row>
    <row r="59" spans="1:36" ht="18">
      <c r="A59" s="5">
        <v>58</v>
      </c>
      <c r="B59" s="254" t="s">
        <v>49</v>
      </c>
      <c r="C59" s="7">
        <v>1</v>
      </c>
      <c r="D59" s="7">
        <v>1</v>
      </c>
      <c r="E59" s="7">
        <f t="shared" si="0"/>
        <v>0</v>
      </c>
      <c r="F59" s="400" t="s">
        <v>111</v>
      </c>
      <c r="G59" s="120" t="s">
        <v>69</v>
      </c>
      <c r="H59" s="120" t="s">
        <v>69</v>
      </c>
      <c r="I59" s="329" t="s">
        <v>108</v>
      </c>
      <c r="J59" s="121" t="s">
        <v>72</v>
      </c>
      <c r="K59" s="134" t="s">
        <v>69</v>
      </c>
      <c r="L59" s="134" t="s">
        <v>69</v>
      </c>
      <c r="M59" s="134" t="s">
        <v>69</v>
      </c>
      <c r="N59" s="134" t="s">
        <v>69</v>
      </c>
      <c r="O59" s="134" t="s">
        <v>69</v>
      </c>
      <c r="P59" s="329" t="s">
        <v>108</v>
      </c>
      <c r="Q59" s="378" t="s">
        <v>69</v>
      </c>
      <c r="R59" s="378" t="s">
        <v>69</v>
      </c>
      <c r="S59" s="378" t="s">
        <v>69</v>
      </c>
      <c r="T59" s="423" t="s">
        <v>111</v>
      </c>
      <c r="U59" s="378" t="s">
        <v>69</v>
      </c>
      <c r="V59" s="378" t="s">
        <v>69</v>
      </c>
      <c r="W59" s="329" t="s">
        <v>108</v>
      </c>
      <c r="X59" s="120" t="s">
        <v>69</v>
      </c>
      <c r="Y59" s="120" t="s">
        <v>69</v>
      </c>
      <c r="Z59" s="120" t="s">
        <v>69</v>
      </c>
      <c r="AA59" s="120" t="s">
        <v>69</v>
      </c>
      <c r="AB59" s="120" t="s">
        <v>69</v>
      </c>
      <c r="AC59" s="120" t="s">
        <v>69</v>
      </c>
      <c r="AD59" s="427" t="s">
        <v>108</v>
      </c>
      <c r="AE59" s="429" t="s">
        <v>111</v>
      </c>
      <c r="AF59" s="378" t="s">
        <v>69</v>
      </c>
      <c r="AG59" s="378" t="s">
        <v>69</v>
      </c>
      <c r="AH59" s="378" t="s">
        <v>69</v>
      </c>
      <c r="AI59" s="378" t="s">
        <v>69</v>
      </c>
      <c r="AJ59" s="378" t="s">
        <v>69</v>
      </c>
    </row>
    <row r="60" spans="1:36" ht="18">
      <c r="A60" s="5">
        <v>59</v>
      </c>
      <c r="B60" s="254" t="s">
        <v>203</v>
      </c>
      <c r="C60" s="7">
        <v>1</v>
      </c>
      <c r="D60" s="7">
        <v>1</v>
      </c>
      <c r="E60" s="7">
        <f t="shared" si="0"/>
        <v>0</v>
      </c>
      <c r="F60" s="400" t="s">
        <v>111</v>
      </c>
      <c r="G60" s="120" t="s">
        <v>69</v>
      </c>
      <c r="H60" s="120" t="s">
        <v>69</v>
      </c>
      <c r="I60" s="388" t="s">
        <v>108</v>
      </c>
      <c r="J60" s="120" t="s">
        <v>69</v>
      </c>
      <c r="K60" s="120" t="s">
        <v>69</v>
      </c>
      <c r="L60" s="120" t="s">
        <v>69</v>
      </c>
      <c r="M60" s="120" t="s">
        <v>69</v>
      </c>
      <c r="N60" s="120" t="s">
        <v>69</v>
      </c>
      <c r="O60" s="120" t="s">
        <v>69</v>
      </c>
      <c r="P60" s="329" t="s">
        <v>108</v>
      </c>
      <c r="Q60" s="378" t="s">
        <v>69</v>
      </c>
      <c r="R60" s="378" t="s">
        <v>69</v>
      </c>
      <c r="S60" s="414" t="s">
        <v>111</v>
      </c>
      <c r="T60" s="121" t="s">
        <v>72</v>
      </c>
      <c r="U60" s="378" t="s">
        <v>69</v>
      </c>
      <c r="V60" s="378" t="s">
        <v>69</v>
      </c>
      <c r="W60" s="329" t="s">
        <v>108</v>
      </c>
      <c r="X60" s="120" t="s">
        <v>69</v>
      </c>
      <c r="Y60" s="120" t="s">
        <v>69</v>
      </c>
      <c r="Z60" s="120" t="s">
        <v>69</v>
      </c>
      <c r="AA60" s="120" t="s">
        <v>69</v>
      </c>
      <c r="AB60" s="120" t="s">
        <v>69</v>
      </c>
      <c r="AC60" s="120" t="s">
        <v>69</v>
      </c>
      <c r="AD60" s="427" t="s">
        <v>108</v>
      </c>
      <c r="AE60" s="429" t="s">
        <v>111</v>
      </c>
      <c r="AF60" s="378" t="s">
        <v>69</v>
      </c>
      <c r="AG60" s="378" t="s">
        <v>69</v>
      </c>
      <c r="AH60" s="378" t="s">
        <v>69</v>
      </c>
      <c r="AI60" s="378" t="s">
        <v>69</v>
      </c>
      <c r="AJ60" s="378" t="s">
        <v>69</v>
      </c>
    </row>
    <row r="61" spans="1:36" ht="18">
      <c r="A61" s="5">
        <v>60</v>
      </c>
      <c r="B61" s="254" t="s">
        <v>185</v>
      </c>
      <c r="C61" s="7">
        <v>20</v>
      </c>
      <c r="D61" s="7">
        <v>1</v>
      </c>
      <c r="E61" s="7">
        <f t="shared" si="0"/>
        <v>19</v>
      </c>
      <c r="F61" s="400" t="s">
        <v>111</v>
      </c>
      <c r="G61" s="120" t="s">
        <v>69</v>
      </c>
      <c r="H61" s="120" t="s">
        <v>69</v>
      </c>
      <c r="I61" s="329" t="s">
        <v>108</v>
      </c>
      <c r="J61" s="120" t="s">
        <v>69</v>
      </c>
      <c r="K61" s="120" t="s">
        <v>69</v>
      </c>
      <c r="L61" s="120" t="s">
        <v>69</v>
      </c>
      <c r="M61" s="120" t="s">
        <v>69</v>
      </c>
      <c r="N61" s="120" t="s">
        <v>69</v>
      </c>
      <c r="O61" s="120" t="s">
        <v>69</v>
      </c>
      <c r="P61" s="329" t="s">
        <v>108</v>
      </c>
      <c r="Q61" s="121" t="s">
        <v>72</v>
      </c>
      <c r="R61" s="121" t="s">
        <v>72</v>
      </c>
      <c r="S61" s="121" t="s">
        <v>72</v>
      </c>
      <c r="T61" s="121" t="s">
        <v>72</v>
      </c>
      <c r="U61" s="121" t="s">
        <v>72</v>
      </c>
      <c r="V61" s="121" t="s">
        <v>72</v>
      </c>
      <c r="W61" s="329" t="s">
        <v>108</v>
      </c>
      <c r="X61" s="121" t="s">
        <v>72</v>
      </c>
      <c r="Y61" s="121" t="s">
        <v>72</v>
      </c>
      <c r="Z61" s="121" t="s">
        <v>72</v>
      </c>
      <c r="AA61" s="121" t="s">
        <v>72</v>
      </c>
      <c r="AB61" s="121" t="s">
        <v>72</v>
      </c>
      <c r="AC61" s="121" t="s">
        <v>72</v>
      </c>
      <c r="AD61" s="427" t="s">
        <v>108</v>
      </c>
      <c r="AE61" s="429" t="s">
        <v>111</v>
      </c>
      <c r="AF61" s="131" t="s">
        <v>72</v>
      </c>
      <c r="AG61" s="131" t="s">
        <v>72</v>
      </c>
      <c r="AH61" s="131" t="s">
        <v>72</v>
      </c>
      <c r="AI61" s="131" t="s">
        <v>72</v>
      </c>
      <c r="AJ61" s="131" t="s">
        <v>72</v>
      </c>
    </row>
    <row r="62" spans="1:36" ht="18">
      <c r="A62" s="5">
        <v>61</v>
      </c>
      <c r="B62" s="254" t="s">
        <v>244</v>
      </c>
      <c r="C62" s="7">
        <v>2</v>
      </c>
      <c r="D62" s="7">
        <v>1</v>
      </c>
      <c r="E62" s="7">
        <f t="shared" si="0"/>
        <v>1</v>
      </c>
      <c r="F62" s="400" t="s">
        <v>111</v>
      </c>
      <c r="G62" s="120" t="s">
        <v>69</v>
      </c>
      <c r="H62" s="120" t="s">
        <v>69</v>
      </c>
      <c r="I62" s="388" t="s">
        <v>108</v>
      </c>
      <c r="J62" s="120" t="s">
        <v>69</v>
      </c>
      <c r="K62" s="120" t="s">
        <v>69</v>
      </c>
      <c r="L62" s="120" t="s">
        <v>69</v>
      </c>
      <c r="M62" s="120" t="s">
        <v>69</v>
      </c>
      <c r="N62" s="120" t="s">
        <v>69</v>
      </c>
      <c r="O62" s="120" t="s">
        <v>69</v>
      </c>
      <c r="P62" s="329" t="s">
        <v>108</v>
      </c>
      <c r="Q62" s="120" t="s">
        <v>69</v>
      </c>
      <c r="R62" s="120" t="s">
        <v>69</v>
      </c>
      <c r="S62" s="120" t="s">
        <v>69</v>
      </c>
      <c r="T62" s="120" t="s">
        <v>69</v>
      </c>
      <c r="U62" s="120" t="s">
        <v>69</v>
      </c>
      <c r="V62" s="120" t="s">
        <v>69</v>
      </c>
      <c r="W62" s="329" t="s">
        <v>108</v>
      </c>
      <c r="X62" s="120" t="s">
        <v>69</v>
      </c>
      <c r="Y62" s="120" t="s">
        <v>69</v>
      </c>
      <c r="Z62" s="420" t="s">
        <v>72</v>
      </c>
      <c r="AA62" s="120" t="s">
        <v>69</v>
      </c>
      <c r="AB62" s="120" t="s">
        <v>69</v>
      </c>
      <c r="AC62" s="120" t="s">
        <v>69</v>
      </c>
      <c r="AD62" s="427" t="s">
        <v>108</v>
      </c>
      <c r="AE62" s="429" t="s">
        <v>111</v>
      </c>
      <c r="AF62" s="120" t="s">
        <v>69</v>
      </c>
      <c r="AG62" s="120" t="s">
        <v>69</v>
      </c>
      <c r="AH62" s="120" t="s">
        <v>69</v>
      </c>
      <c r="AI62" s="120" t="s">
        <v>69</v>
      </c>
      <c r="AJ62" s="121" t="s">
        <v>72</v>
      </c>
    </row>
    <row r="63" spans="1:36" ht="18">
      <c r="A63" s="5">
        <v>62</v>
      </c>
      <c r="B63" s="254" t="s">
        <v>50</v>
      </c>
      <c r="C63" s="7">
        <v>3</v>
      </c>
      <c r="D63" s="7">
        <v>3</v>
      </c>
      <c r="E63" s="7">
        <f t="shared" si="0"/>
        <v>0</v>
      </c>
      <c r="F63" s="400" t="s">
        <v>111</v>
      </c>
      <c r="G63" s="120" t="s">
        <v>69</v>
      </c>
      <c r="H63" s="120" t="s">
        <v>69</v>
      </c>
      <c r="I63" s="329" t="s">
        <v>108</v>
      </c>
      <c r="J63" s="120" t="s">
        <v>69</v>
      </c>
      <c r="K63" s="120" t="s">
        <v>69</v>
      </c>
      <c r="L63" s="120" t="s">
        <v>69</v>
      </c>
      <c r="M63" s="120" t="s">
        <v>69</v>
      </c>
      <c r="N63" s="120" t="s">
        <v>69</v>
      </c>
      <c r="O63" s="120" t="s">
        <v>69</v>
      </c>
      <c r="P63" s="329" t="s">
        <v>108</v>
      </c>
      <c r="Q63" s="120" t="s">
        <v>69</v>
      </c>
      <c r="R63" s="120" t="s">
        <v>69</v>
      </c>
      <c r="S63" s="420" t="s">
        <v>72</v>
      </c>
      <c r="T63" s="120" t="s">
        <v>69</v>
      </c>
      <c r="U63" s="120" t="s">
        <v>69</v>
      </c>
      <c r="V63" s="120" t="s">
        <v>69</v>
      </c>
      <c r="W63" s="329" t="s">
        <v>108</v>
      </c>
      <c r="X63" s="120" t="s">
        <v>69</v>
      </c>
      <c r="Y63" s="120" t="s">
        <v>69</v>
      </c>
      <c r="Z63" s="120" t="s">
        <v>69</v>
      </c>
      <c r="AA63" s="120" t="s">
        <v>69</v>
      </c>
      <c r="AB63" s="120" t="s">
        <v>69</v>
      </c>
      <c r="AC63" s="121" t="s">
        <v>72</v>
      </c>
      <c r="AD63" s="427" t="s">
        <v>108</v>
      </c>
      <c r="AE63" s="429" t="s">
        <v>111</v>
      </c>
      <c r="AF63" s="121" t="s">
        <v>72</v>
      </c>
      <c r="AG63" s="120" t="s">
        <v>69</v>
      </c>
      <c r="AH63" s="120" t="s">
        <v>69</v>
      </c>
      <c r="AI63" s="120" t="s">
        <v>69</v>
      </c>
      <c r="AJ63" s="120" t="s">
        <v>69</v>
      </c>
    </row>
    <row r="64" spans="1:36" ht="18">
      <c r="A64" s="5">
        <v>63</v>
      </c>
      <c r="B64" s="359" t="s">
        <v>186</v>
      </c>
      <c r="C64" s="7">
        <v>5</v>
      </c>
      <c r="D64" s="7">
        <v>1</v>
      </c>
      <c r="E64" s="7">
        <f t="shared" si="0"/>
        <v>4</v>
      </c>
      <c r="F64" s="400" t="s">
        <v>111</v>
      </c>
      <c r="G64" s="380" t="s">
        <v>69</v>
      </c>
      <c r="H64" s="380" t="s">
        <v>69</v>
      </c>
      <c r="I64" s="388" t="s">
        <v>108</v>
      </c>
      <c r="J64" s="120" t="s">
        <v>69</v>
      </c>
      <c r="K64" s="120" t="s">
        <v>69</v>
      </c>
      <c r="L64" s="120" t="s">
        <v>69</v>
      </c>
      <c r="M64" s="120" t="s">
        <v>69</v>
      </c>
      <c r="N64" s="120" t="s">
        <v>69</v>
      </c>
      <c r="O64" s="120" t="s">
        <v>69</v>
      </c>
      <c r="P64" s="329" t="s">
        <v>108</v>
      </c>
      <c r="Q64" s="120" t="s">
        <v>69</v>
      </c>
      <c r="R64" s="120" t="s">
        <v>69</v>
      </c>
      <c r="S64" s="420" t="s">
        <v>72</v>
      </c>
      <c r="T64" s="407" t="s">
        <v>111</v>
      </c>
      <c r="U64" s="131" t="s">
        <v>72</v>
      </c>
      <c r="V64" s="131" t="s">
        <v>72</v>
      </c>
      <c r="W64" s="329" t="s">
        <v>108</v>
      </c>
      <c r="X64" s="120" t="s">
        <v>69</v>
      </c>
      <c r="Y64" s="120" t="s">
        <v>69</v>
      </c>
      <c r="Z64" s="120" t="s">
        <v>69</v>
      </c>
      <c r="AA64" s="120" t="s">
        <v>69</v>
      </c>
      <c r="AB64" s="120" t="s">
        <v>69</v>
      </c>
      <c r="AC64" s="120" t="s">
        <v>69</v>
      </c>
      <c r="AD64" s="427" t="s">
        <v>108</v>
      </c>
      <c r="AE64" s="429" t="s">
        <v>111</v>
      </c>
      <c r="AF64" s="120" t="s">
        <v>69</v>
      </c>
      <c r="AG64" s="418" t="s">
        <v>72</v>
      </c>
      <c r="AH64" s="120" t="s">
        <v>69</v>
      </c>
      <c r="AI64" s="121" t="s">
        <v>72</v>
      </c>
      <c r="AJ64" s="120" t="s">
        <v>69</v>
      </c>
    </row>
    <row r="65" spans="1:36" ht="18">
      <c r="A65" s="5">
        <v>64</v>
      </c>
      <c r="B65" s="359" t="s">
        <v>232</v>
      </c>
      <c r="C65" s="7">
        <v>2</v>
      </c>
      <c r="D65" s="7">
        <v>1</v>
      </c>
      <c r="E65" s="7">
        <f t="shared" si="0"/>
        <v>1</v>
      </c>
      <c r="F65" s="400" t="s">
        <v>111</v>
      </c>
      <c r="G65" s="120" t="s">
        <v>69</v>
      </c>
      <c r="H65" s="121" t="s">
        <v>72</v>
      </c>
      <c r="I65" s="329" t="s">
        <v>108</v>
      </c>
      <c r="J65" s="120" t="s">
        <v>69</v>
      </c>
      <c r="K65" s="120" t="s">
        <v>69</v>
      </c>
      <c r="L65" s="120" t="s">
        <v>69</v>
      </c>
      <c r="M65" s="120" t="s">
        <v>69</v>
      </c>
      <c r="N65" s="120" t="s">
        <v>69</v>
      </c>
      <c r="O65" s="120" t="s">
        <v>69</v>
      </c>
      <c r="P65" s="329" t="s">
        <v>108</v>
      </c>
      <c r="Q65" s="120" t="s">
        <v>69</v>
      </c>
      <c r="R65" s="120" t="s">
        <v>69</v>
      </c>
      <c r="S65" s="120" t="s">
        <v>69</v>
      </c>
      <c r="T65" s="407" t="s">
        <v>111</v>
      </c>
      <c r="U65" s="120" t="s">
        <v>69</v>
      </c>
      <c r="V65" s="121" t="s">
        <v>72</v>
      </c>
      <c r="W65" s="329" t="s">
        <v>108</v>
      </c>
      <c r="X65" s="120" t="s">
        <v>69</v>
      </c>
      <c r="Y65" s="120" t="s">
        <v>69</v>
      </c>
      <c r="Z65" s="120" t="s">
        <v>69</v>
      </c>
      <c r="AA65" s="120" t="s">
        <v>69</v>
      </c>
      <c r="AB65" s="120" t="s">
        <v>69</v>
      </c>
      <c r="AC65" s="120" t="s">
        <v>69</v>
      </c>
      <c r="AD65" s="427" t="s">
        <v>108</v>
      </c>
      <c r="AE65" s="429" t="s">
        <v>111</v>
      </c>
      <c r="AF65" s="120" t="s">
        <v>69</v>
      </c>
      <c r="AG65" s="120" t="s">
        <v>69</v>
      </c>
      <c r="AH65" s="120" t="s">
        <v>69</v>
      </c>
      <c r="AI65" s="120" t="s">
        <v>69</v>
      </c>
      <c r="AJ65" s="120" t="s">
        <v>69</v>
      </c>
    </row>
    <row r="66" spans="1:36" ht="18">
      <c r="A66" s="5">
        <v>65</v>
      </c>
      <c r="B66" s="255" t="s">
        <v>259</v>
      </c>
      <c r="C66" s="7">
        <v>26</v>
      </c>
      <c r="D66" s="7">
        <v>0</v>
      </c>
      <c r="E66" s="7">
        <f t="shared" si="0"/>
        <v>26</v>
      </c>
      <c r="F66" s="400" t="s">
        <v>111</v>
      </c>
      <c r="G66" s="120" t="s">
        <v>69</v>
      </c>
      <c r="H66" s="120" t="s">
        <v>69</v>
      </c>
      <c r="I66" s="388" t="s">
        <v>108</v>
      </c>
      <c r="J66" s="120" t="s">
        <v>69</v>
      </c>
      <c r="K66" s="131" t="s">
        <v>72</v>
      </c>
      <c r="L66" s="131" t="s">
        <v>72</v>
      </c>
      <c r="M66" s="131" t="s">
        <v>72</v>
      </c>
      <c r="N66" s="121" t="s">
        <v>76</v>
      </c>
      <c r="O66" s="121" t="s">
        <v>76</v>
      </c>
      <c r="P66" s="329" t="s">
        <v>108</v>
      </c>
      <c r="Q66" s="121" t="s">
        <v>76</v>
      </c>
      <c r="R66" s="121" t="s">
        <v>76</v>
      </c>
      <c r="S66" s="121" t="s">
        <v>76</v>
      </c>
      <c r="T66" s="121" t="s">
        <v>76</v>
      </c>
      <c r="U66" s="121" t="s">
        <v>76</v>
      </c>
      <c r="V66" s="121" t="s">
        <v>76</v>
      </c>
      <c r="W66" s="329" t="s">
        <v>108</v>
      </c>
      <c r="X66" s="121" t="s">
        <v>76</v>
      </c>
      <c r="Y66" s="121" t="s">
        <v>76</v>
      </c>
      <c r="Z66" s="121" t="s">
        <v>76</v>
      </c>
      <c r="AA66" s="121" t="s">
        <v>76</v>
      </c>
      <c r="AB66" s="121" t="s">
        <v>76</v>
      </c>
      <c r="AC66" s="121" t="s">
        <v>76</v>
      </c>
      <c r="AD66" s="427" t="s">
        <v>108</v>
      </c>
      <c r="AE66" s="406" t="s">
        <v>76</v>
      </c>
      <c r="AF66" s="121" t="s">
        <v>76</v>
      </c>
      <c r="AG66" s="121" t="s">
        <v>76</v>
      </c>
      <c r="AH66" s="121" t="s">
        <v>76</v>
      </c>
      <c r="AI66" s="121" t="s">
        <v>76</v>
      </c>
      <c r="AJ66" s="121" t="s">
        <v>76</v>
      </c>
    </row>
    <row r="67" spans="1:36" ht="18">
      <c r="A67" s="5">
        <v>66</v>
      </c>
      <c r="B67" s="254" t="s">
        <v>245</v>
      </c>
      <c r="C67" s="7">
        <v>2.5</v>
      </c>
      <c r="D67" s="7">
        <v>1</v>
      </c>
      <c r="E67" s="7">
        <f t="shared" ref="E67:E82" si="1">C67-D67</f>
        <v>1.5</v>
      </c>
      <c r="F67" s="400" t="s">
        <v>111</v>
      </c>
      <c r="G67" s="168" t="s">
        <v>69</v>
      </c>
      <c r="H67" s="168" t="s">
        <v>69</v>
      </c>
      <c r="I67" s="329" t="s">
        <v>108</v>
      </c>
      <c r="J67" s="168" t="s">
        <v>69</v>
      </c>
      <c r="K67" s="168" t="s">
        <v>69</v>
      </c>
      <c r="L67" s="168" t="s">
        <v>69</v>
      </c>
      <c r="M67" s="168" t="s">
        <v>69</v>
      </c>
      <c r="N67" s="168" t="s">
        <v>69</v>
      </c>
      <c r="O67" s="168" t="s">
        <v>69</v>
      </c>
      <c r="P67" s="329" t="s">
        <v>108</v>
      </c>
      <c r="Q67" s="120" t="s">
        <v>69</v>
      </c>
      <c r="R67" s="120" t="s">
        <v>69</v>
      </c>
      <c r="S67" s="120" t="s">
        <v>69</v>
      </c>
      <c r="T67" s="120" t="s">
        <v>69</v>
      </c>
      <c r="U67" s="120" t="s">
        <v>69</v>
      </c>
      <c r="V67" s="120" t="s">
        <v>69</v>
      </c>
      <c r="W67" s="329" t="s">
        <v>108</v>
      </c>
      <c r="X67" s="120" t="s">
        <v>69</v>
      </c>
      <c r="Y67" s="120" t="s">
        <v>69</v>
      </c>
      <c r="Z67" s="120" t="s">
        <v>69</v>
      </c>
      <c r="AA67" s="120" t="s">
        <v>69</v>
      </c>
      <c r="AB67" s="120" t="s">
        <v>69</v>
      </c>
      <c r="AC67" s="132" t="s">
        <v>94</v>
      </c>
      <c r="AD67" s="427" t="s">
        <v>108</v>
      </c>
      <c r="AE67" s="429" t="s">
        <v>111</v>
      </c>
      <c r="AF67" s="120" t="s">
        <v>69</v>
      </c>
      <c r="AG67" s="120" t="s">
        <v>69</v>
      </c>
      <c r="AH67" s="120" t="s">
        <v>69</v>
      </c>
      <c r="AI67" s="131" t="s">
        <v>72</v>
      </c>
      <c r="AJ67" s="131" t="s">
        <v>72</v>
      </c>
    </row>
    <row r="68" spans="1:36" ht="18">
      <c r="A68" s="5">
        <v>67</v>
      </c>
      <c r="B68" s="254" t="s">
        <v>52</v>
      </c>
      <c r="C68" s="7">
        <v>1</v>
      </c>
      <c r="D68" s="7">
        <v>1</v>
      </c>
      <c r="E68" s="7">
        <f t="shared" si="1"/>
        <v>0</v>
      </c>
      <c r="F68" s="400" t="s">
        <v>111</v>
      </c>
      <c r="G68" s="391" t="s">
        <v>92</v>
      </c>
      <c r="H68" s="380" t="s">
        <v>69</v>
      </c>
      <c r="I68" s="388" t="s">
        <v>108</v>
      </c>
      <c r="J68" s="120" t="s">
        <v>69</v>
      </c>
      <c r="K68" s="120" t="s">
        <v>69</v>
      </c>
      <c r="L68" s="120" t="s">
        <v>69</v>
      </c>
      <c r="M68" s="120" t="s">
        <v>69</v>
      </c>
      <c r="N68" s="120" t="s">
        <v>69</v>
      </c>
      <c r="O68" s="120" t="s">
        <v>69</v>
      </c>
      <c r="P68" s="329" t="s">
        <v>108</v>
      </c>
      <c r="Q68" s="120" t="s">
        <v>69</v>
      </c>
      <c r="R68" s="120" t="s">
        <v>69</v>
      </c>
      <c r="S68" s="120" t="s">
        <v>69</v>
      </c>
      <c r="T68" s="120" t="s">
        <v>69</v>
      </c>
      <c r="U68" s="120" t="s">
        <v>69</v>
      </c>
      <c r="V68" s="121" t="s">
        <v>72</v>
      </c>
      <c r="W68" s="329" t="s">
        <v>108</v>
      </c>
      <c r="X68" s="120" t="s">
        <v>69</v>
      </c>
      <c r="Y68" s="120" t="s">
        <v>69</v>
      </c>
      <c r="Z68" s="120" t="s">
        <v>69</v>
      </c>
      <c r="AA68" s="120" t="s">
        <v>69</v>
      </c>
      <c r="AB68" s="120" t="s">
        <v>69</v>
      </c>
      <c r="AC68" s="120" t="s">
        <v>69</v>
      </c>
      <c r="AD68" s="427" t="s">
        <v>108</v>
      </c>
      <c r="AE68" s="429" t="s">
        <v>111</v>
      </c>
      <c r="AF68" s="120" t="s">
        <v>69</v>
      </c>
      <c r="AG68" s="120" t="s">
        <v>69</v>
      </c>
      <c r="AH68" s="120" t="s">
        <v>69</v>
      </c>
      <c r="AI68" s="120" t="s">
        <v>69</v>
      </c>
      <c r="AJ68" s="120" t="s">
        <v>69</v>
      </c>
    </row>
    <row r="69" spans="1:36" ht="18">
      <c r="A69" s="5">
        <v>68</v>
      </c>
      <c r="B69" s="254" t="s">
        <v>53</v>
      </c>
      <c r="C69" s="7">
        <v>3</v>
      </c>
      <c r="D69" s="7">
        <v>2</v>
      </c>
      <c r="E69" s="7">
        <f t="shared" si="1"/>
        <v>1</v>
      </c>
      <c r="F69" s="400" t="s">
        <v>111</v>
      </c>
      <c r="G69" s="120" t="s">
        <v>69</v>
      </c>
      <c r="H69" s="120" t="s">
        <v>69</v>
      </c>
      <c r="I69" s="329" t="s">
        <v>108</v>
      </c>
      <c r="J69" s="120" t="s">
        <v>69</v>
      </c>
      <c r="K69" s="120" t="s">
        <v>69</v>
      </c>
      <c r="L69" s="120" t="s">
        <v>69</v>
      </c>
      <c r="M69" s="120" t="s">
        <v>69</v>
      </c>
      <c r="N69" s="120" t="s">
        <v>69</v>
      </c>
      <c r="O69" s="121" t="s">
        <v>72</v>
      </c>
      <c r="P69" s="329" t="s">
        <v>108</v>
      </c>
      <c r="Q69" s="120"/>
      <c r="R69" s="120" t="s">
        <v>69</v>
      </c>
      <c r="S69" s="120" t="s">
        <v>69</v>
      </c>
      <c r="T69" s="120" t="s">
        <v>111</v>
      </c>
      <c r="U69" s="120" t="s">
        <v>69</v>
      </c>
      <c r="V69" s="120" t="s">
        <v>69</v>
      </c>
      <c r="W69" s="329" t="s">
        <v>108</v>
      </c>
      <c r="X69" s="120" t="s">
        <v>69</v>
      </c>
      <c r="Y69" s="120" t="s">
        <v>69</v>
      </c>
      <c r="Z69" s="120" t="s">
        <v>69</v>
      </c>
      <c r="AA69" s="121" t="s">
        <v>72</v>
      </c>
      <c r="AB69" s="121" t="s">
        <v>72</v>
      </c>
      <c r="AC69" s="147" t="s">
        <v>92</v>
      </c>
      <c r="AD69" s="427" t="s">
        <v>108</v>
      </c>
      <c r="AE69" s="429" t="s">
        <v>111</v>
      </c>
      <c r="AF69" s="120" t="s">
        <v>69</v>
      </c>
      <c r="AG69" s="120" t="s">
        <v>69</v>
      </c>
      <c r="AH69" s="120" t="s">
        <v>69</v>
      </c>
      <c r="AI69" s="120" t="s">
        <v>69</v>
      </c>
      <c r="AJ69" s="120" t="s">
        <v>69</v>
      </c>
    </row>
    <row r="70" spans="1:36" ht="18">
      <c r="A70" s="5">
        <v>69</v>
      </c>
      <c r="B70" s="254" t="s">
        <v>260</v>
      </c>
      <c r="C70" s="7">
        <v>1</v>
      </c>
      <c r="D70" s="7">
        <v>1</v>
      </c>
      <c r="E70" s="7">
        <f t="shared" si="1"/>
        <v>0</v>
      </c>
      <c r="F70" s="400" t="s">
        <v>111</v>
      </c>
      <c r="G70" s="120" t="s">
        <v>69</v>
      </c>
      <c r="H70" s="120" t="s">
        <v>69</v>
      </c>
      <c r="I70" s="388" t="s">
        <v>108</v>
      </c>
      <c r="J70" s="120" t="s">
        <v>69</v>
      </c>
      <c r="K70" s="120" t="s">
        <v>69</v>
      </c>
      <c r="L70" s="120" t="s">
        <v>69</v>
      </c>
      <c r="M70" s="120" t="s">
        <v>69</v>
      </c>
      <c r="N70" s="120" t="s">
        <v>69</v>
      </c>
      <c r="O70" s="120" t="s">
        <v>69</v>
      </c>
      <c r="P70" s="329" t="s">
        <v>108</v>
      </c>
      <c r="Q70" s="121" t="s">
        <v>72</v>
      </c>
      <c r="R70" s="120" t="s">
        <v>69</v>
      </c>
      <c r="S70" s="120" t="s">
        <v>69</v>
      </c>
      <c r="T70" s="120" t="s">
        <v>69</v>
      </c>
      <c r="U70" s="120" t="s">
        <v>69</v>
      </c>
      <c r="V70" s="120" t="s">
        <v>69</v>
      </c>
      <c r="W70" s="329" t="s">
        <v>108</v>
      </c>
      <c r="X70" s="120" t="s">
        <v>69</v>
      </c>
      <c r="Y70" s="120" t="s">
        <v>69</v>
      </c>
      <c r="Z70" s="120" t="s">
        <v>69</v>
      </c>
      <c r="AA70" s="120" t="s">
        <v>69</v>
      </c>
      <c r="AB70" s="120" t="s">
        <v>69</v>
      </c>
      <c r="AC70" s="120" t="s">
        <v>69</v>
      </c>
      <c r="AD70" s="427" t="s">
        <v>108</v>
      </c>
      <c r="AE70" s="429" t="s">
        <v>111</v>
      </c>
      <c r="AF70" s="120" t="s">
        <v>69</v>
      </c>
      <c r="AG70" s="120" t="s">
        <v>69</v>
      </c>
      <c r="AH70" s="120" t="s">
        <v>69</v>
      </c>
      <c r="AI70" s="120" t="s">
        <v>69</v>
      </c>
      <c r="AJ70" s="120" t="s">
        <v>69</v>
      </c>
    </row>
    <row r="71" spans="1:36" ht="18">
      <c r="A71" s="5">
        <v>70</v>
      </c>
      <c r="B71" s="255" t="s">
        <v>261</v>
      </c>
      <c r="C71" s="7">
        <v>25</v>
      </c>
      <c r="D71" s="7">
        <v>0</v>
      </c>
      <c r="E71" s="7">
        <f t="shared" si="1"/>
        <v>25</v>
      </c>
      <c r="F71" s="400" t="s">
        <v>111</v>
      </c>
      <c r="G71" s="120" t="s">
        <v>69</v>
      </c>
      <c r="H71" s="121" t="s">
        <v>72</v>
      </c>
      <c r="I71" s="329" t="s">
        <v>108</v>
      </c>
      <c r="J71" s="168" t="s">
        <v>69</v>
      </c>
      <c r="K71" s="168" t="s">
        <v>69</v>
      </c>
      <c r="L71" s="168" t="s">
        <v>69</v>
      </c>
      <c r="M71" s="168" t="s">
        <v>69</v>
      </c>
      <c r="N71" s="121" t="s">
        <v>72</v>
      </c>
      <c r="O71" s="120" t="s">
        <v>69</v>
      </c>
      <c r="P71" s="329" t="s">
        <v>108</v>
      </c>
      <c r="Q71" s="121" t="s">
        <v>72</v>
      </c>
      <c r="R71" s="121" t="s">
        <v>72</v>
      </c>
      <c r="S71" s="121" t="s">
        <v>72</v>
      </c>
      <c r="T71" s="131" t="s">
        <v>76</v>
      </c>
      <c r="U71" s="131" t="s">
        <v>76</v>
      </c>
      <c r="V71" s="131" t="s">
        <v>76</v>
      </c>
      <c r="W71" s="329" t="s">
        <v>108</v>
      </c>
      <c r="X71" s="131" t="s">
        <v>76</v>
      </c>
      <c r="Y71" s="131" t="s">
        <v>76</v>
      </c>
      <c r="Z71" s="131" t="s">
        <v>76</v>
      </c>
      <c r="AA71" s="131" t="s">
        <v>76</v>
      </c>
      <c r="AB71" s="131" t="s">
        <v>76</v>
      </c>
      <c r="AC71" s="131" t="s">
        <v>76</v>
      </c>
      <c r="AD71" s="427" t="s">
        <v>108</v>
      </c>
      <c r="AE71" s="406" t="s">
        <v>76</v>
      </c>
      <c r="AF71" s="131" t="s">
        <v>76</v>
      </c>
      <c r="AG71" s="131" t="s">
        <v>76</v>
      </c>
      <c r="AH71" s="131" t="s">
        <v>76</v>
      </c>
      <c r="AI71" s="131" t="s">
        <v>76</v>
      </c>
      <c r="AJ71" s="131" t="s">
        <v>76</v>
      </c>
    </row>
    <row r="72" spans="1:36" ht="18">
      <c r="A72" s="5">
        <v>71</v>
      </c>
      <c r="B72" s="254" t="s">
        <v>55</v>
      </c>
      <c r="C72" s="7">
        <v>1</v>
      </c>
      <c r="D72" s="7">
        <v>1</v>
      </c>
      <c r="E72" s="7">
        <f t="shared" si="1"/>
        <v>0</v>
      </c>
      <c r="F72" s="400" t="s">
        <v>111</v>
      </c>
      <c r="G72" s="121" t="s">
        <v>72</v>
      </c>
      <c r="H72" s="120" t="s">
        <v>69</v>
      </c>
      <c r="I72" s="388" t="s">
        <v>108</v>
      </c>
      <c r="J72" s="120" t="s">
        <v>69</v>
      </c>
      <c r="K72" s="120" t="s">
        <v>69</v>
      </c>
      <c r="L72" s="168" t="s">
        <v>69</v>
      </c>
      <c r="M72" s="120" t="s">
        <v>69</v>
      </c>
      <c r="N72" s="120" t="s">
        <v>69</v>
      </c>
      <c r="O72" s="120" t="s">
        <v>69</v>
      </c>
      <c r="P72" s="329" t="s">
        <v>108</v>
      </c>
      <c r="Q72" s="120" t="s">
        <v>69</v>
      </c>
      <c r="R72" s="120" t="s">
        <v>69</v>
      </c>
      <c r="S72" s="120" t="s">
        <v>69</v>
      </c>
      <c r="T72" s="120" t="s">
        <v>69</v>
      </c>
      <c r="U72" s="120" t="s">
        <v>69</v>
      </c>
      <c r="V72" s="120" t="s">
        <v>69</v>
      </c>
      <c r="W72" s="329" t="s">
        <v>108</v>
      </c>
      <c r="X72" s="120" t="s">
        <v>69</v>
      </c>
      <c r="Y72" s="120" t="s">
        <v>69</v>
      </c>
      <c r="Z72" s="120" t="s">
        <v>69</v>
      </c>
      <c r="AA72" s="120" t="s">
        <v>69</v>
      </c>
      <c r="AB72" s="120" t="s">
        <v>69</v>
      </c>
      <c r="AC72" s="120" t="s">
        <v>69</v>
      </c>
      <c r="AD72" s="427" t="s">
        <v>108</v>
      </c>
      <c r="AE72" s="429" t="s">
        <v>111</v>
      </c>
      <c r="AF72" s="120" t="s">
        <v>69</v>
      </c>
      <c r="AG72" s="120" t="s">
        <v>69</v>
      </c>
      <c r="AH72" s="120" t="s">
        <v>69</v>
      </c>
      <c r="AI72" s="120" t="s">
        <v>69</v>
      </c>
      <c r="AJ72" s="120" t="s">
        <v>69</v>
      </c>
    </row>
    <row r="73" spans="1:36" ht="18">
      <c r="A73" s="5">
        <v>72</v>
      </c>
      <c r="B73" s="186" t="s">
        <v>233</v>
      </c>
      <c r="C73" s="7">
        <v>0</v>
      </c>
      <c r="D73" s="7">
        <v>0</v>
      </c>
      <c r="E73" s="7">
        <f t="shared" si="1"/>
        <v>0</v>
      </c>
      <c r="F73" s="400" t="s">
        <v>111</v>
      </c>
      <c r="G73" s="120" t="s">
        <v>69</v>
      </c>
      <c r="H73" s="120" t="s">
        <v>69</v>
      </c>
      <c r="I73" s="329" t="s">
        <v>108</v>
      </c>
      <c r="J73" s="120" t="s">
        <v>69</v>
      </c>
      <c r="K73" s="120" t="s">
        <v>69</v>
      </c>
      <c r="L73" s="168" t="s">
        <v>69</v>
      </c>
      <c r="M73" s="120" t="s">
        <v>69</v>
      </c>
      <c r="N73" s="120" t="s">
        <v>69</v>
      </c>
      <c r="O73" s="120" t="s">
        <v>69</v>
      </c>
      <c r="P73" s="329" t="s">
        <v>108</v>
      </c>
      <c r="Q73" s="120" t="s">
        <v>69</v>
      </c>
      <c r="R73" s="120" t="s">
        <v>69</v>
      </c>
      <c r="S73" s="120" t="s">
        <v>69</v>
      </c>
      <c r="T73" s="407" t="s">
        <v>111</v>
      </c>
      <c r="U73" s="120" t="s">
        <v>69</v>
      </c>
      <c r="V73" s="120" t="s">
        <v>69</v>
      </c>
      <c r="W73" s="329" t="s">
        <v>108</v>
      </c>
      <c r="X73" s="120" t="s">
        <v>69</v>
      </c>
      <c r="Y73" s="120" t="s">
        <v>69</v>
      </c>
      <c r="Z73" s="120" t="s">
        <v>69</v>
      </c>
      <c r="AA73" s="120" t="s">
        <v>69</v>
      </c>
      <c r="AB73" s="120" t="s">
        <v>69</v>
      </c>
      <c r="AC73" s="120" t="s">
        <v>69</v>
      </c>
      <c r="AD73" s="427" t="s">
        <v>108</v>
      </c>
      <c r="AE73" s="429" t="s">
        <v>111</v>
      </c>
      <c r="AF73" s="120" t="s">
        <v>69</v>
      </c>
      <c r="AG73" s="120" t="s">
        <v>69</v>
      </c>
      <c r="AH73" s="120" t="s">
        <v>69</v>
      </c>
      <c r="AI73" s="120" t="s">
        <v>69</v>
      </c>
      <c r="AJ73" s="120" t="s">
        <v>69</v>
      </c>
    </row>
    <row r="74" spans="1:36" ht="18">
      <c r="A74" s="5">
        <v>73</v>
      </c>
      <c r="B74" s="254" t="s">
        <v>57</v>
      </c>
      <c r="C74" s="7">
        <v>0</v>
      </c>
      <c r="D74" s="7">
        <v>0</v>
      </c>
      <c r="E74" s="7">
        <f t="shared" si="1"/>
        <v>0</v>
      </c>
      <c r="F74" s="400" t="s">
        <v>111</v>
      </c>
      <c r="G74" s="120" t="s">
        <v>69</v>
      </c>
      <c r="H74" s="120" t="s">
        <v>69</v>
      </c>
      <c r="I74" s="407" t="s">
        <v>69</v>
      </c>
      <c r="J74" s="168" t="s">
        <v>69</v>
      </c>
      <c r="K74" s="168" t="s">
        <v>69</v>
      </c>
      <c r="L74" s="120" t="s">
        <v>69</v>
      </c>
      <c r="M74" s="120" t="s">
        <v>69</v>
      </c>
      <c r="N74" s="120" t="s">
        <v>69</v>
      </c>
      <c r="O74" s="120" t="s">
        <v>69</v>
      </c>
      <c r="P74" s="329" t="s">
        <v>108</v>
      </c>
      <c r="Q74" s="120" t="s">
        <v>69</v>
      </c>
      <c r="R74" s="120" t="s">
        <v>69</v>
      </c>
      <c r="S74" s="388" t="s">
        <v>262</v>
      </c>
      <c r="T74" s="120" t="s">
        <v>69</v>
      </c>
      <c r="U74" s="120" t="s">
        <v>69</v>
      </c>
      <c r="V74" s="120" t="s">
        <v>69</v>
      </c>
      <c r="W74" s="329" t="s">
        <v>108</v>
      </c>
      <c r="X74" s="120" t="s">
        <v>69</v>
      </c>
      <c r="Y74" s="120" t="s">
        <v>69</v>
      </c>
      <c r="Z74" s="120" t="s">
        <v>69</v>
      </c>
      <c r="AA74" s="120" t="s">
        <v>69</v>
      </c>
      <c r="AB74" s="120" t="s">
        <v>69</v>
      </c>
      <c r="AC74" s="120" t="s">
        <v>69</v>
      </c>
      <c r="AD74" s="427" t="s">
        <v>108</v>
      </c>
      <c r="AE74" s="429" t="s">
        <v>111</v>
      </c>
      <c r="AF74" s="120" t="s">
        <v>69</v>
      </c>
      <c r="AG74" s="120" t="s">
        <v>69</v>
      </c>
      <c r="AH74" s="120" t="s">
        <v>69</v>
      </c>
      <c r="AI74" s="120" t="s">
        <v>69</v>
      </c>
      <c r="AJ74" s="120" t="s">
        <v>69</v>
      </c>
    </row>
    <row r="75" spans="1:36" ht="18">
      <c r="A75" s="5">
        <v>74</v>
      </c>
      <c r="B75" s="254" t="s">
        <v>247</v>
      </c>
      <c r="C75" s="7">
        <v>2</v>
      </c>
      <c r="D75" s="7">
        <v>1</v>
      </c>
      <c r="E75" s="7">
        <f t="shared" si="1"/>
        <v>1</v>
      </c>
      <c r="F75" s="400" t="s">
        <v>111</v>
      </c>
      <c r="G75" s="120" t="s">
        <v>69</v>
      </c>
      <c r="H75" s="380" t="s">
        <v>69</v>
      </c>
      <c r="I75" s="388" t="s">
        <v>108</v>
      </c>
      <c r="J75" s="120" t="s">
        <v>69</v>
      </c>
      <c r="K75" s="120" t="s">
        <v>69</v>
      </c>
      <c r="L75" s="120" t="s">
        <v>69</v>
      </c>
      <c r="M75" s="120" t="s">
        <v>69</v>
      </c>
      <c r="N75" s="131" t="s">
        <v>72</v>
      </c>
      <c r="O75" s="131" t="s">
        <v>72</v>
      </c>
      <c r="P75" s="329" t="s">
        <v>108</v>
      </c>
      <c r="Q75" s="120" t="s">
        <v>69</v>
      </c>
      <c r="R75" s="120" t="s">
        <v>69</v>
      </c>
      <c r="S75" s="120" t="s">
        <v>69</v>
      </c>
      <c r="T75" s="120" t="s">
        <v>69</v>
      </c>
      <c r="U75" s="120" t="s">
        <v>69</v>
      </c>
      <c r="V75" s="120" t="s">
        <v>69</v>
      </c>
      <c r="W75" s="329" t="s">
        <v>108</v>
      </c>
      <c r="X75" s="120" t="s">
        <v>69</v>
      </c>
      <c r="Y75" s="120" t="s">
        <v>69</v>
      </c>
      <c r="Z75" s="120" t="s">
        <v>69</v>
      </c>
      <c r="AA75" s="120" t="s">
        <v>69</v>
      </c>
      <c r="AB75" s="120" t="s">
        <v>69</v>
      </c>
      <c r="AC75" s="428" t="s">
        <v>92</v>
      </c>
      <c r="AD75" s="427" t="s">
        <v>108</v>
      </c>
      <c r="AE75" s="429" t="s">
        <v>111</v>
      </c>
      <c r="AF75" s="120" t="s">
        <v>69</v>
      </c>
      <c r="AG75" s="120" t="s">
        <v>69</v>
      </c>
      <c r="AH75" s="120" t="s">
        <v>69</v>
      </c>
      <c r="AI75" s="120" t="s">
        <v>69</v>
      </c>
      <c r="AJ75" s="120" t="s">
        <v>69</v>
      </c>
    </row>
    <row r="76" spans="1:36" ht="18">
      <c r="A76" s="5">
        <v>75</v>
      </c>
      <c r="B76" s="254" t="s">
        <v>263</v>
      </c>
      <c r="C76" s="7">
        <v>16</v>
      </c>
      <c r="D76" s="7">
        <v>0</v>
      </c>
      <c r="E76" s="7">
        <f t="shared" si="1"/>
        <v>16</v>
      </c>
      <c r="F76" s="406" t="s">
        <v>72</v>
      </c>
      <c r="G76" s="406" t="s">
        <v>72</v>
      </c>
      <c r="H76" s="406" t="s">
        <v>72</v>
      </c>
      <c r="I76" s="388" t="s">
        <v>108</v>
      </c>
      <c r="J76" s="406" t="s">
        <v>72</v>
      </c>
      <c r="K76" s="406" t="s">
        <v>72</v>
      </c>
      <c r="L76" s="406" t="s">
        <v>72</v>
      </c>
      <c r="M76" s="406" t="s">
        <v>72</v>
      </c>
      <c r="N76" s="406" t="s">
        <v>72</v>
      </c>
      <c r="O76" s="406" t="s">
        <v>72</v>
      </c>
      <c r="P76" s="329" t="s">
        <v>108</v>
      </c>
      <c r="Q76" s="406" t="s">
        <v>72</v>
      </c>
      <c r="R76" s="406" t="s">
        <v>72</v>
      </c>
      <c r="S76" s="406" t="s">
        <v>72</v>
      </c>
      <c r="T76" s="406" t="s">
        <v>72</v>
      </c>
      <c r="U76" s="120" t="s">
        <v>69</v>
      </c>
      <c r="V76" s="120" t="s">
        <v>69</v>
      </c>
      <c r="W76" s="329" t="s">
        <v>108</v>
      </c>
      <c r="X76" s="120" t="s">
        <v>69</v>
      </c>
      <c r="Y76" s="120" t="s">
        <v>69</v>
      </c>
      <c r="Z76" s="120" t="s">
        <v>69</v>
      </c>
      <c r="AA76" s="121" t="s">
        <v>72</v>
      </c>
      <c r="AB76" s="120" t="s">
        <v>69</v>
      </c>
      <c r="AC76" s="120" t="s">
        <v>69</v>
      </c>
      <c r="AD76" s="427" t="s">
        <v>108</v>
      </c>
      <c r="AE76" s="429" t="s">
        <v>111</v>
      </c>
      <c r="AF76" s="120" t="s">
        <v>69</v>
      </c>
      <c r="AG76" s="120" t="s">
        <v>69</v>
      </c>
      <c r="AH76" s="120" t="s">
        <v>69</v>
      </c>
      <c r="AI76" s="120" t="s">
        <v>69</v>
      </c>
      <c r="AJ76" s="120" t="s">
        <v>69</v>
      </c>
    </row>
    <row r="77" spans="1:36" ht="18">
      <c r="A77" s="5">
        <v>76</v>
      </c>
      <c r="B77" s="254" t="s">
        <v>248</v>
      </c>
      <c r="C77" s="7">
        <v>1</v>
      </c>
      <c r="D77" s="7">
        <v>1</v>
      </c>
      <c r="E77" s="7">
        <f t="shared" si="1"/>
        <v>0</v>
      </c>
      <c r="F77" s="400" t="s">
        <v>111</v>
      </c>
      <c r="G77" s="134" t="s">
        <v>69</v>
      </c>
      <c r="H77" s="121" t="s">
        <v>72</v>
      </c>
      <c r="I77" s="329" t="s">
        <v>108</v>
      </c>
      <c r="J77" s="134" t="s">
        <v>69</v>
      </c>
      <c r="K77" s="134" t="s">
        <v>69</v>
      </c>
      <c r="L77" s="134" t="s">
        <v>69</v>
      </c>
      <c r="M77" s="134" t="s">
        <v>69</v>
      </c>
      <c r="N77" s="134" t="s">
        <v>69</v>
      </c>
      <c r="O77" s="134" t="s">
        <v>69</v>
      </c>
      <c r="P77" s="329" t="s">
        <v>108</v>
      </c>
      <c r="Q77" s="378" t="s">
        <v>69</v>
      </c>
      <c r="R77" s="378" t="s">
        <v>69</v>
      </c>
      <c r="S77" s="378" t="s">
        <v>69</v>
      </c>
      <c r="T77" s="378" t="s">
        <v>69</v>
      </c>
      <c r="U77" s="378" t="s">
        <v>69</v>
      </c>
      <c r="V77" s="378" t="s">
        <v>69</v>
      </c>
      <c r="W77" s="329" t="s">
        <v>108</v>
      </c>
      <c r="X77" s="378" t="s">
        <v>69</v>
      </c>
      <c r="Y77" s="378" t="s">
        <v>69</v>
      </c>
      <c r="Z77" s="378" t="s">
        <v>69</v>
      </c>
      <c r="AA77" s="378" t="s">
        <v>69</v>
      </c>
      <c r="AB77" s="378" t="s">
        <v>69</v>
      </c>
      <c r="AC77" s="378" t="s">
        <v>69</v>
      </c>
      <c r="AD77" s="427" t="s">
        <v>108</v>
      </c>
      <c r="AE77" s="429" t="s">
        <v>111</v>
      </c>
      <c r="AF77" s="120" t="s">
        <v>69</v>
      </c>
      <c r="AG77" s="120" t="s">
        <v>69</v>
      </c>
      <c r="AH77" s="120" t="s">
        <v>69</v>
      </c>
      <c r="AI77" s="120" t="s">
        <v>69</v>
      </c>
      <c r="AJ77" s="134" t="s">
        <v>69</v>
      </c>
    </row>
    <row r="78" spans="1:36" ht="18">
      <c r="A78" s="5">
        <v>77</v>
      </c>
      <c r="B78" s="186" t="s">
        <v>60</v>
      </c>
      <c r="C78" s="7">
        <v>3</v>
      </c>
      <c r="D78" s="7">
        <v>1</v>
      </c>
      <c r="E78" s="7">
        <f t="shared" si="1"/>
        <v>2</v>
      </c>
      <c r="F78" s="400" t="s">
        <v>111</v>
      </c>
      <c r="G78" s="120" t="s">
        <v>69</v>
      </c>
      <c r="H78" s="120" t="s">
        <v>69</v>
      </c>
      <c r="I78" s="388" t="s">
        <v>108</v>
      </c>
      <c r="J78" s="120" t="s">
        <v>69</v>
      </c>
      <c r="K78" s="120" t="s">
        <v>69</v>
      </c>
      <c r="L78" s="120" t="s">
        <v>69</v>
      </c>
      <c r="M78" s="120" t="s">
        <v>69</v>
      </c>
      <c r="N78" s="120" t="s">
        <v>69</v>
      </c>
      <c r="O78" s="120" t="s">
        <v>69</v>
      </c>
      <c r="P78" s="329" t="s">
        <v>108</v>
      </c>
      <c r="Q78" s="378" t="s">
        <v>69</v>
      </c>
      <c r="R78" s="378" t="s">
        <v>69</v>
      </c>
      <c r="S78" s="420" t="s">
        <v>72</v>
      </c>
      <c r="T78" s="422" t="s">
        <v>111</v>
      </c>
      <c r="U78" s="378" t="s">
        <v>69</v>
      </c>
      <c r="V78" s="379" t="s">
        <v>72</v>
      </c>
      <c r="W78" s="329" t="s">
        <v>108</v>
      </c>
      <c r="X78" s="378" t="s">
        <v>69</v>
      </c>
      <c r="Y78" s="378" t="s">
        <v>69</v>
      </c>
      <c r="Z78" s="378" t="s">
        <v>69</v>
      </c>
      <c r="AA78" s="378" t="s">
        <v>69</v>
      </c>
      <c r="AB78" s="378" t="s">
        <v>69</v>
      </c>
      <c r="AC78" s="378" t="s">
        <v>69</v>
      </c>
      <c r="AD78" s="427" t="s">
        <v>108</v>
      </c>
      <c r="AE78" s="429" t="s">
        <v>111</v>
      </c>
      <c r="AF78" s="120" t="s">
        <v>69</v>
      </c>
      <c r="AG78" s="120" t="s">
        <v>69</v>
      </c>
      <c r="AH78" s="120" t="s">
        <v>69</v>
      </c>
      <c r="AI78" s="121" t="s">
        <v>72</v>
      </c>
      <c r="AJ78" s="134" t="s">
        <v>69</v>
      </c>
    </row>
    <row r="79" spans="1:36" ht="18">
      <c r="A79" s="5">
        <v>78</v>
      </c>
      <c r="B79" s="186" t="s">
        <v>106</v>
      </c>
      <c r="C79" s="7">
        <v>0</v>
      </c>
      <c r="D79" s="7">
        <v>0</v>
      </c>
      <c r="E79" s="7">
        <f t="shared" si="1"/>
        <v>0</v>
      </c>
      <c r="F79" s="400" t="s">
        <v>111</v>
      </c>
      <c r="G79" s="120" t="s">
        <v>69</v>
      </c>
      <c r="H79" s="120" t="s">
        <v>69</v>
      </c>
      <c r="I79" s="329" t="s">
        <v>108</v>
      </c>
      <c r="J79" s="120" t="s">
        <v>69</v>
      </c>
      <c r="K79" s="120" t="s">
        <v>69</v>
      </c>
      <c r="L79" s="120" t="s">
        <v>69</v>
      </c>
      <c r="M79" s="120" t="s">
        <v>69</v>
      </c>
      <c r="N79" s="120" t="s">
        <v>69</v>
      </c>
      <c r="O79" s="120" t="s">
        <v>69</v>
      </c>
      <c r="P79" s="329" t="s">
        <v>108</v>
      </c>
      <c r="Q79" s="378" t="s">
        <v>69</v>
      </c>
      <c r="R79" s="378" t="s">
        <v>69</v>
      </c>
      <c r="S79" s="378" t="s">
        <v>69</v>
      </c>
      <c r="T79" s="378" t="s">
        <v>69</v>
      </c>
      <c r="U79" s="378" t="s">
        <v>69</v>
      </c>
      <c r="V79" s="378" t="s">
        <v>69</v>
      </c>
      <c r="W79" s="329" t="s">
        <v>108</v>
      </c>
      <c r="X79" s="378" t="s">
        <v>69</v>
      </c>
      <c r="Y79" s="378" t="s">
        <v>69</v>
      </c>
      <c r="Z79" s="378" t="s">
        <v>69</v>
      </c>
      <c r="AA79" s="378" t="s">
        <v>69</v>
      </c>
      <c r="AB79" s="378" t="s">
        <v>69</v>
      </c>
      <c r="AC79" s="378" t="s">
        <v>69</v>
      </c>
      <c r="AD79" s="427" t="s">
        <v>108</v>
      </c>
      <c r="AE79" s="429" t="s">
        <v>111</v>
      </c>
      <c r="AF79" s="120" t="s">
        <v>69</v>
      </c>
      <c r="AG79" s="120" t="s">
        <v>69</v>
      </c>
      <c r="AH79" s="120" t="s">
        <v>69</v>
      </c>
      <c r="AI79" s="120" t="s">
        <v>69</v>
      </c>
      <c r="AJ79" s="134" t="s">
        <v>69</v>
      </c>
    </row>
    <row r="80" spans="1:36" ht="18">
      <c r="A80" s="5">
        <v>79</v>
      </c>
      <c r="B80" s="254" t="s">
        <v>61</v>
      </c>
      <c r="C80" s="7">
        <v>1</v>
      </c>
      <c r="D80" s="7">
        <v>1</v>
      </c>
      <c r="E80" s="7">
        <f t="shared" si="1"/>
        <v>0</v>
      </c>
      <c r="F80" s="400" t="s">
        <v>111</v>
      </c>
      <c r="G80" s="378" t="s">
        <v>69</v>
      </c>
      <c r="H80" s="378" t="s">
        <v>69</v>
      </c>
      <c r="I80" s="388" t="s">
        <v>108</v>
      </c>
      <c r="J80" s="121" t="s">
        <v>72</v>
      </c>
      <c r="K80" s="120" t="s">
        <v>69</v>
      </c>
      <c r="L80" s="120" t="s">
        <v>69</v>
      </c>
      <c r="M80" s="120" t="s">
        <v>69</v>
      </c>
      <c r="N80" s="120" t="s">
        <v>69</v>
      </c>
      <c r="O80" s="120" t="s">
        <v>69</v>
      </c>
      <c r="P80" s="329" t="s">
        <v>108</v>
      </c>
      <c r="Q80" s="378" t="s">
        <v>69</v>
      </c>
      <c r="R80" s="378" t="s">
        <v>69</v>
      </c>
      <c r="S80" s="378" t="s">
        <v>69</v>
      </c>
      <c r="T80" s="422" t="s">
        <v>111</v>
      </c>
      <c r="U80" s="378" t="s">
        <v>69</v>
      </c>
      <c r="V80" s="378" t="s">
        <v>69</v>
      </c>
      <c r="W80" s="329" t="s">
        <v>108</v>
      </c>
      <c r="X80" s="378" t="s">
        <v>69</v>
      </c>
      <c r="Y80" s="378" t="s">
        <v>69</v>
      </c>
      <c r="Z80" s="378" t="s">
        <v>69</v>
      </c>
      <c r="AA80" s="378" t="s">
        <v>69</v>
      </c>
      <c r="AB80" s="378" t="s">
        <v>69</v>
      </c>
      <c r="AC80" s="378" t="s">
        <v>69</v>
      </c>
      <c r="AD80" s="427" t="s">
        <v>108</v>
      </c>
      <c r="AE80" s="429" t="s">
        <v>111</v>
      </c>
      <c r="AF80" s="120" t="s">
        <v>69</v>
      </c>
      <c r="AG80" s="120" t="s">
        <v>69</v>
      </c>
      <c r="AH80" s="120" t="s">
        <v>69</v>
      </c>
      <c r="AI80" s="120" t="s">
        <v>69</v>
      </c>
      <c r="AJ80" s="120" t="s">
        <v>69</v>
      </c>
    </row>
    <row r="81" spans="1:36" ht="18">
      <c r="A81" s="5">
        <v>80</v>
      </c>
      <c r="B81" s="254" t="s">
        <v>62</v>
      </c>
      <c r="C81" s="7">
        <v>3</v>
      </c>
      <c r="D81" s="7">
        <v>3</v>
      </c>
      <c r="E81" s="7">
        <f t="shared" si="1"/>
        <v>0</v>
      </c>
      <c r="F81" s="400" t="s">
        <v>111</v>
      </c>
      <c r="G81" s="120" t="s">
        <v>69</v>
      </c>
      <c r="H81" s="120" t="s">
        <v>69</v>
      </c>
      <c r="I81" s="329" t="s">
        <v>108</v>
      </c>
      <c r="J81" s="120" t="s">
        <v>69</v>
      </c>
      <c r="K81" s="120" t="s">
        <v>69</v>
      </c>
      <c r="L81" s="120" t="s">
        <v>69</v>
      </c>
      <c r="M81" s="120" t="s">
        <v>69</v>
      </c>
      <c r="N81" s="120" t="s">
        <v>69</v>
      </c>
      <c r="O81" s="120" t="s">
        <v>69</v>
      </c>
      <c r="P81" s="329" t="s">
        <v>108</v>
      </c>
      <c r="Q81" s="378" t="s">
        <v>69</v>
      </c>
      <c r="R81" s="378" t="s">
        <v>69</v>
      </c>
      <c r="S81" s="378" t="s">
        <v>69</v>
      </c>
      <c r="T81" s="378" t="s">
        <v>69</v>
      </c>
      <c r="U81" s="378" t="s">
        <v>69</v>
      </c>
      <c r="V81" s="378" t="s">
        <v>69</v>
      </c>
      <c r="W81" s="329" t="s">
        <v>108</v>
      </c>
      <c r="X81" s="378" t="s">
        <v>69</v>
      </c>
      <c r="Y81" s="378" t="s">
        <v>69</v>
      </c>
      <c r="Z81" s="378" t="s">
        <v>69</v>
      </c>
      <c r="AA81" s="131" t="s">
        <v>72</v>
      </c>
      <c r="AB81" s="131" t="s">
        <v>72</v>
      </c>
      <c r="AC81" s="131" t="s">
        <v>72</v>
      </c>
      <c r="AD81" s="427" t="s">
        <v>108</v>
      </c>
      <c r="AE81" s="429" t="s">
        <v>111</v>
      </c>
      <c r="AF81" s="120" t="s">
        <v>69</v>
      </c>
      <c r="AG81" s="120" t="s">
        <v>69</v>
      </c>
      <c r="AH81" s="120" t="s">
        <v>69</v>
      </c>
      <c r="AI81" s="120" t="s">
        <v>69</v>
      </c>
      <c r="AJ81" s="120" t="s">
        <v>69</v>
      </c>
    </row>
    <row r="82" spans="1:36" ht="18">
      <c r="A82" s="5">
        <v>81</v>
      </c>
      <c r="B82" s="255" t="s">
        <v>264</v>
      </c>
      <c r="C82" s="7">
        <v>19</v>
      </c>
      <c r="D82" s="7">
        <v>0</v>
      </c>
      <c r="E82" s="7">
        <f t="shared" si="1"/>
        <v>19</v>
      </c>
      <c r="F82" s="416" t="s">
        <v>111</v>
      </c>
      <c r="G82" s="157" t="s">
        <v>69</v>
      </c>
      <c r="H82" s="157" t="s">
        <v>69</v>
      </c>
      <c r="I82" s="417" t="s">
        <v>108</v>
      </c>
      <c r="J82" s="157" t="s">
        <v>69</v>
      </c>
      <c r="K82" s="157" t="s">
        <v>69</v>
      </c>
      <c r="L82" s="157" t="s">
        <v>69</v>
      </c>
      <c r="M82" s="157" t="s">
        <v>69</v>
      </c>
      <c r="N82" s="157" t="s">
        <v>69</v>
      </c>
      <c r="O82" s="120" t="s">
        <v>69</v>
      </c>
      <c r="P82" s="348" t="s">
        <v>108</v>
      </c>
      <c r="Q82" s="378" t="s">
        <v>69</v>
      </c>
      <c r="R82" s="142" t="s">
        <v>72</v>
      </c>
      <c r="S82" s="142" t="s">
        <v>72</v>
      </c>
      <c r="T82" s="142" t="s">
        <v>72</v>
      </c>
      <c r="U82" s="142" t="s">
        <v>72</v>
      </c>
      <c r="V82" s="204" t="s">
        <v>76</v>
      </c>
      <c r="W82" s="329" t="s">
        <v>108</v>
      </c>
      <c r="X82" s="204" t="s">
        <v>76</v>
      </c>
      <c r="Y82" s="204" t="s">
        <v>76</v>
      </c>
      <c r="Z82" s="204" t="s">
        <v>76</v>
      </c>
      <c r="AA82" s="204" t="s">
        <v>76</v>
      </c>
      <c r="AB82" s="204" t="s">
        <v>76</v>
      </c>
      <c r="AC82" s="204" t="s">
        <v>76</v>
      </c>
      <c r="AD82" s="427" t="s">
        <v>108</v>
      </c>
      <c r="AE82" s="406" t="s">
        <v>76</v>
      </c>
      <c r="AF82" s="204" t="s">
        <v>76</v>
      </c>
      <c r="AG82" s="204" t="s">
        <v>76</v>
      </c>
      <c r="AH82" s="204" t="s">
        <v>76</v>
      </c>
      <c r="AI82" s="204" t="s">
        <v>76</v>
      </c>
      <c r="AJ82" s="204" t="s">
        <v>76</v>
      </c>
    </row>
    <row r="83" spans="1:36">
      <c r="A83" s="5"/>
      <c r="B83" s="5"/>
      <c r="C83" s="7"/>
      <c r="D83" s="7"/>
      <c r="E83" s="415"/>
      <c r="F83" s="120"/>
      <c r="G83" s="361"/>
      <c r="H83" s="120"/>
      <c r="I83" s="120"/>
      <c r="J83" s="120"/>
      <c r="K83" s="131"/>
      <c r="L83" s="120"/>
      <c r="M83" s="120"/>
      <c r="N83" s="361"/>
      <c r="O83" s="120"/>
      <c r="P83" s="120"/>
      <c r="Q83" s="120"/>
      <c r="R83" s="120"/>
      <c r="S83" s="120"/>
      <c r="T83" s="120"/>
      <c r="U83" s="361"/>
      <c r="V83" s="120"/>
      <c r="W83" s="120"/>
      <c r="X83" s="120"/>
      <c r="Y83" s="120"/>
      <c r="Z83" s="120"/>
      <c r="AA83" s="120"/>
      <c r="AB83" s="361"/>
      <c r="AC83" s="120"/>
      <c r="AD83" s="120"/>
      <c r="AE83" s="120"/>
      <c r="AF83" s="120"/>
      <c r="AG83" s="120"/>
      <c r="AH83" s="120"/>
      <c r="AI83" s="361"/>
      <c r="AJ83" s="120"/>
    </row>
    <row r="92" spans="1:36">
      <c r="K92" s="411"/>
    </row>
  </sheetData>
  <autoFilter ref="A1:AJ92" xr:uid="{55A4BE42-E9F3-4DB4-ABA9-C6D48DCC063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C828-759A-4B93-B1E2-CF491C4D6E6F}">
  <dimension ref="A1:AG86"/>
  <sheetViews>
    <sheetView workbookViewId="0">
      <pane xSplit="2" ySplit="1" topLeftCell="Z26" activePane="bottomRight" state="frozen"/>
      <selection pane="topRight"/>
      <selection pane="bottomLeft"/>
      <selection pane="bottomRight" activeCell="AG22" sqref="AG22"/>
    </sheetView>
  </sheetViews>
  <sheetFormatPr defaultRowHeight="14.25"/>
  <cols>
    <col min="2" max="2" width="28.86328125" customWidth="1"/>
    <col min="16" max="16" width="10.1328125" customWidth="1"/>
    <col min="22" max="22" width="10.73046875" customWidth="1"/>
  </cols>
  <sheetData>
    <row r="1" spans="1:33" ht="18">
      <c r="A1" s="29" t="s">
        <v>64</v>
      </c>
      <c r="B1" s="29" t="s">
        <v>65</v>
      </c>
      <c r="C1" s="336" t="s">
        <v>68</v>
      </c>
      <c r="D1" s="336" t="s">
        <v>66</v>
      </c>
      <c r="E1" s="336" t="s">
        <v>67</v>
      </c>
      <c r="F1" s="165">
        <v>1</v>
      </c>
      <c r="G1" s="165">
        <v>2</v>
      </c>
      <c r="H1" s="165">
        <v>3</v>
      </c>
      <c r="I1" s="165">
        <v>4</v>
      </c>
      <c r="J1" s="165">
        <v>5</v>
      </c>
      <c r="K1" s="165">
        <v>6</v>
      </c>
      <c r="L1" s="165">
        <v>7</v>
      </c>
      <c r="M1" s="122">
        <v>8</v>
      </c>
      <c r="N1" s="165">
        <v>9</v>
      </c>
      <c r="O1" s="165">
        <v>10</v>
      </c>
      <c r="P1" s="165">
        <v>11</v>
      </c>
      <c r="Q1" s="165">
        <v>12</v>
      </c>
      <c r="R1" s="165">
        <v>13</v>
      </c>
      <c r="S1" s="165">
        <v>14</v>
      </c>
      <c r="T1" s="165">
        <v>15</v>
      </c>
      <c r="U1" s="165">
        <v>16</v>
      </c>
      <c r="V1" s="165">
        <v>17</v>
      </c>
      <c r="W1" s="165">
        <v>18</v>
      </c>
      <c r="X1" s="165">
        <v>19</v>
      </c>
      <c r="Y1" s="165">
        <v>20</v>
      </c>
      <c r="Z1" s="165">
        <v>21</v>
      </c>
      <c r="AA1" s="165">
        <v>22</v>
      </c>
      <c r="AB1" s="165">
        <v>23</v>
      </c>
      <c r="AC1" s="165">
        <v>24</v>
      </c>
      <c r="AD1" s="165">
        <v>25</v>
      </c>
      <c r="AE1" s="165">
        <v>26</v>
      </c>
      <c r="AF1" s="165">
        <v>27</v>
      </c>
      <c r="AG1" s="165">
        <v>28</v>
      </c>
    </row>
    <row r="2" spans="1:33" ht="18">
      <c r="A2" s="5">
        <v>1</v>
      </c>
      <c r="B2" s="254" t="s">
        <v>6</v>
      </c>
      <c r="C2" s="7">
        <v>4</v>
      </c>
      <c r="D2" s="7">
        <v>4</v>
      </c>
      <c r="E2" s="7">
        <f t="shared" ref="E2:E33" si="0">C2-D2</f>
        <v>0</v>
      </c>
      <c r="F2" s="427" t="s">
        <v>108</v>
      </c>
      <c r="G2" s="131" t="s">
        <v>72</v>
      </c>
      <c r="H2" s="131" t="s">
        <v>72</v>
      </c>
      <c r="I2" s="419" t="s">
        <v>69</v>
      </c>
      <c r="J2" s="419" t="s">
        <v>69</v>
      </c>
      <c r="K2" s="419" t="s">
        <v>69</v>
      </c>
      <c r="L2" s="419" t="s">
        <v>69</v>
      </c>
      <c r="M2" s="329" t="s">
        <v>108</v>
      </c>
      <c r="N2" s="168" t="s">
        <v>69</v>
      </c>
      <c r="O2" s="168" t="s">
        <v>69</v>
      </c>
      <c r="P2" s="168" t="s">
        <v>69</v>
      </c>
      <c r="Q2" s="168" t="s">
        <v>69</v>
      </c>
      <c r="R2" s="168" t="s">
        <v>69</v>
      </c>
      <c r="S2" s="168" t="s">
        <v>69</v>
      </c>
      <c r="T2" s="329" t="s">
        <v>108</v>
      </c>
      <c r="U2" s="120" t="s">
        <v>69</v>
      </c>
      <c r="V2" s="120" t="s">
        <v>69</v>
      </c>
      <c r="W2" s="120" t="s">
        <v>69</v>
      </c>
      <c r="X2" s="121" t="s">
        <v>72</v>
      </c>
      <c r="Y2" s="120" t="s">
        <v>69</v>
      </c>
      <c r="Z2" s="121" t="s">
        <v>72</v>
      </c>
      <c r="AA2" s="388" t="s">
        <v>108</v>
      </c>
      <c r="AB2" s="672" t="s">
        <v>69</v>
      </c>
      <c r="AC2" s="672" t="s">
        <v>69</v>
      </c>
      <c r="AD2" s="120" t="s">
        <v>69</v>
      </c>
      <c r="AE2" s="120" t="s">
        <v>69</v>
      </c>
      <c r="AF2" s="120" t="s">
        <v>69</v>
      </c>
      <c r="AG2" s="120" t="s">
        <v>69</v>
      </c>
    </row>
    <row r="3" spans="1:33" ht="18">
      <c r="A3" s="5">
        <v>2</v>
      </c>
      <c r="B3" s="254" t="s">
        <v>249</v>
      </c>
      <c r="C3" s="7">
        <v>2</v>
      </c>
      <c r="D3" s="7">
        <v>1</v>
      </c>
      <c r="E3" s="7">
        <f t="shared" si="0"/>
        <v>1</v>
      </c>
      <c r="F3" s="427" t="s">
        <v>108</v>
      </c>
      <c r="G3" s="672" t="s">
        <v>69</v>
      </c>
      <c r="H3" s="672" t="s">
        <v>69</v>
      </c>
      <c r="I3" s="672" t="s">
        <v>69</v>
      </c>
      <c r="J3" s="672" t="s">
        <v>69</v>
      </c>
      <c r="K3" s="672" t="s">
        <v>69</v>
      </c>
      <c r="L3" s="672" t="s">
        <v>69</v>
      </c>
      <c r="M3" s="329" t="s">
        <v>108</v>
      </c>
      <c r="N3" s="120" t="s">
        <v>69</v>
      </c>
      <c r="O3" s="120" t="s">
        <v>69</v>
      </c>
      <c r="P3" s="120" t="s">
        <v>69</v>
      </c>
      <c r="Q3" s="120" t="s">
        <v>69</v>
      </c>
      <c r="R3" s="120" t="s">
        <v>69</v>
      </c>
      <c r="S3" s="418" t="s">
        <v>72</v>
      </c>
      <c r="T3" s="329" t="s">
        <v>108</v>
      </c>
      <c r="U3" s="120" t="s">
        <v>69</v>
      </c>
      <c r="V3" s="120" t="s">
        <v>69</v>
      </c>
      <c r="W3" s="120" t="s">
        <v>69</v>
      </c>
      <c r="X3" s="120" t="s">
        <v>69</v>
      </c>
      <c r="Y3" s="120" t="s">
        <v>69</v>
      </c>
      <c r="Z3" s="120" t="s">
        <v>69</v>
      </c>
      <c r="AA3" s="388" t="s">
        <v>108</v>
      </c>
      <c r="AB3" s="672" t="s">
        <v>69</v>
      </c>
      <c r="AC3" s="672" t="s">
        <v>69</v>
      </c>
      <c r="AD3" s="120" t="s">
        <v>69</v>
      </c>
      <c r="AE3" s="120" t="s">
        <v>69</v>
      </c>
      <c r="AF3" s="121" t="s">
        <v>72</v>
      </c>
      <c r="AG3" s="120" t="s">
        <v>69</v>
      </c>
    </row>
    <row r="4" spans="1:33" ht="18">
      <c r="A4" s="5">
        <v>3</v>
      </c>
      <c r="B4" s="254" t="s">
        <v>7</v>
      </c>
      <c r="C4" s="7">
        <v>1</v>
      </c>
      <c r="D4" s="7">
        <v>1</v>
      </c>
      <c r="E4" s="7">
        <f t="shared" si="0"/>
        <v>0</v>
      </c>
      <c r="F4" s="427" t="s">
        <v>108</v>
      </c>
      <c r="G4" s="672" t="s">
        <v>69</v>
      </c>
      <c r="H4" s="672" t="s">
        <v>69</v>
      </c>
      <c r="I4" s="672" t="s">
        <v>69</v>
      </c>
      <c r="J4" s="672" t="s">
        <v>69</v>
      </c>
      <c r="K4" s="672" t="s">
        <v>69</v>
      </c>
      <c r="L4" s="672" t="s">
        <v>69</v>
      </c>
      <c r="M4" s="329" t="s">
        <v>108</v>
      </c>
      <c r="N4" s="120" t="s">
        <v>69</v>
      </c>
      <c r="O4" s="120" t="s">
        <v>69</v>
      </c>
      <c r="P4" s="120" t="s">
        <v>69</v>
      </c>
      <c r="Q4" s="120" t="s">
        <v>69</v>
      </c>
      <c r="R4" s="120" t="s">
        <v>69</v>
      </c>
      <c r="S4" s="120" t="s">
        <v>69</v>
      </c>
      <c r="T4" s="329" t="s">
        <v>108</v>
      </c>
      <c r="U4" s="120" t="s">
        <v>69</v>
      </c>
      <c r="V4" s="120" t="s">
        <v>69</v>
      </c>
      <c r="W4" s="121" t="s">
        <v>72</v>
      </c>
      <c r="X4" s="120" t="s">
        <v>69</v>
      </c>
      <c r="Y4" s="120" t="s">
        <v>69</v>
      </c>
      <c r="Z4" s="120" t="s">
        <v>69</v>
      </c>
      <c r="AA4" s="388" t="s">
        <v>108</v>
      </c>
      <c r="AB4" s="672" t="s">
        <v>69</v>
      </c>
      <c r="AC4" s="672" t="s">
        <v>69</v>
      </c>
      <c r="AD4" s="120" t="s">
        <v>69</v>
      </c>
      <c r="AE4" s="120" t="s">
        <v>69</v>
      </c>
      <c r="AF4" s="120" t="s">
        <v>69</v>
      </c>
      <c r="AG4" s="120" t="s">
        <v>69</v>
      </c>
    </row>
    <row r="5" spans="1:33" ht="18">
      <c r="A5" s="5">
        <v>4</v>
      </c>
      <c r="B5" s="254" t="s">
        <v>265</v>
      </c>
      <c r="C5" s="7">
        <v>8</v>
      </c>
      <c r="D5" s="7">
        <v>0</v>
      </c>
      <c r="E5" s="7">
        <f t="shared" si="0"/>
        <v>8</v>
      </c>
      <c r="F5" s="427" t="s">
        <v>108</v>
      </c>
      <c r="G5" s="121" t="s">
        <v>72</v>
      </c>
      <c r="H5" s="121" t="s">
        <v>72</v>
      </c>
      <c r="I5" s="121" t="s">
        <v>72</v>
      </c>
      <c r="J5" s="121" t="s">
        <v>72</v>
      </c>
      <c r="K5" s="121" t="s">
        <v>72</v>
      </c>
      <c r="L5" s="121" t="s">
        <v>72</v>
      </c>
      <c r="M5" s="329" t="s">
        <v>108</v>
      </c>
      <c r="N5" s="120" t="s">
        <v>69</v>
      </c>
      <c r="O5" s="120" t="s">
        <v>69</v>
      </c>
      <c r="P5" s="120" t="s">
        <v>69</v>
      </c>
      <c r="Q5" s="120" t="s">
        <v>69</v>
      </c>
      <c r="R5" s="120" t="s">
        <v>69</v>
      </c>
      <c r="S5" s="120" t="s">
        <v>69</v>
      </c>
      <c r="T5" s="329" t="s">
        <v>108</v>
      </c>
      <c r="U5" s="120" t="s">
        <v>69</v>
      </c>
      <c r="V5" s="120" t="s">
        <v>69</v>
      </c>
      <c r="W5" s="120" t="s">
        <v>69</v>
      </c>
      <c r="X5" s="120" t="s">
        <v>69</v>
      </c>
      <c r="Y5" s="120" t="s">
        <v>69</v>
      </c>
      <c r="Z5" s="120" t="s">
        <v>69</v>
      </c>
      <c r="AA5" s="388" t="s">
        <v>108</v>
      </c>
      <c r="AB5" s="672" t="s">
        <v>69</v>
      </c>
      <c r="AC5" s="672" t="s">
        <v>69</v>
      </c>
      <c r="AD5" s="672" t="s">
        <v>69</v>
      </c>
      <c r="AE5" s="672" t="s">
        <v>69</v>
      </c>
      <c r="AF5" s="672" t="s">
        <v>69</v>
      </c>
      <c r="AG5" s="672" t="s">
        <v>69</v>
      </c>
    </row>
    <row r="6" spans="1:33" ht="18">
      <c r="A6" s="5">
        <v>5</v>
      </c>
      <c r="B6" s="254" t="s">
        <v>266</v>
      </c>
      <c r="C6" s="7">
        <v>8</v>
      </c>
      <c r="D6" s="7">
        <v>0</v>
      </c>
      <c r="E6" s="7">
        <f t="shared" si="0"/>
        <v>8</v>
      </c>
      <c r="F6" s="427" t="s">
        <v>108</v>
      </c>
      <c r="G6" s="121" t="s">
        <v>72</v>
      </c>
      <c r="H6" s="121" t="s">
        <v>72</v>
      </c>
      <c r="I6" s="121" t="s">
        <v>72</v>
      </c>
      <c r="J6" s="121" t="s">
        <v>72</v>
      </c>
      <c r="K6" s="121" t="s">
        <v>72</v>
      </c>
      <c r="L6" s="121" t="s">
        <v>72</v>
      </c>
      <c r="M6" s="329" t="s">
        <v>108</v>
      </c>
      <c r="N6" s="120" t="s">
        <v>69</v>
      </c>
      <c r="O6" s="120" t="s">
        <v>69</v>
      </c>
      <c r="P6" s="120" t="s">
        <v>69</v>
      </c>
      <c r="Q6" s="120" t="s">
        <v>69</v>
      </c>
      <c r="R6" s="120" t="s">
        <v>69</v>
      </c>
      <c r="S6" s="120" t="s">
        <v>69</v>
      </c>
      <c r="T6" s="329" t="s">
        <v>108</v>
      </c>
      <c r="U6" s="120" t="s">
        <v>69</v>
      </c>
      <c r="V6" s="120" t="s">
        <v>69</v>
      </c>
      <c r="W6" s="120" t="s">
        <v>69</v>
      </c>
      <c r="X6" s="120" t="s">
        <v>69</v>
      </c>
      <c r="Y6" s="120" t="s">
        <v>69</v>
      </c>
      <c r="Z6" s="120" t="s">
        <v>69</v>
      </c>
      <c r="AA6" s="388" t="s">
        <v>108</v>
      </c>
      <c r="AB6" s="672" t="s">
        <v>69</v>
      </c>
      <c r="AC6" s="672" t="s">
        <v>69</v>
      </c>
      <c r="AD6" s="672" t="s">
        <v>69</v>
      </c>
      <c r="AE6" s="672" t="s">
        <v>69</v>
      </c>
      <c r="AF6" s="672" t="s">
        <v>69</v>
      </c>
      <c r="AG6" s="672" t="s">
        <v>69</v>
      </c>
    </row>
    <row r="7" spans="1:33" ht="18">
      <c r="A7" s="5">
        <v>6</v>
      </c>
      <c r="B7" s="254" t="s">
        <v>8</v>
      </c>
      <c r="C7" s="7">
        <v>0.5</v>
      </c>
      <c r="D7" s="7">
        <v>0.5</v>
      </c>
      <c r="E7" s="7">
        <f t="shared" si="0"/>
        <v>0</v>
      </c>
      <c r="F7" s="427" t="s">
        <v>108</v>
      </c>
      <c r="G7" s="672" t="s">
        <v>69</v>
      </c>
      <c r="H7" s="672" t="s">
        <v>69</v>
      </c>
      <c r="I7" s="672" t="s">
        <v>69</v>
      </c>
      <c r="J7" s="672" t="s">
        <v>69</v>
      </c>
      <c r="K7" s="672" t="s">
        <v>69</v>
      </c>
      <c r="L7" s="672" t="s">
        <v>69</v>
      </c>
      <c r="M7" s="329" t="s">
        <v>108</v>
      </c>
      <c r="N7" s="120" t="s">
        <v>69</v>
      </c>
      <c r="O7" s="120" t="s">
        <v>69</v>
      </c>
      <c r="P7" s="120" t="s">
        <v>69</v>
      </c>
      <c r="Q7" s="120" t="s">
        <v>69</v>
      </c>
      <c r="R7" s="120" t="s">
        <v>69</v>
      </c>
      <c r="S7" s="120" t="s">
        <v>69</v>
      </c>
      <c r="T7" s="329" t="s">
        <v>108</v>
      </c>
      <c r="U7" s="120" t="s">
        <v>69</v>
      </c>
      <c r="V7" s="120" t="s">
        <v>69</v>
      </c>
      <c r="W7" s="120" t="s">
        <v>69</v>
      </c>
      <c r="X7" s="120" t="s">
        <v>69</v>
      </c>
      <c r="Y7" s="120" t="s">
        <v>69</v>
      </c>
      <c r="Z7" s="120" t="s">
        <v>69</v>
      </c>
      <c r="AA7" s="388" t="s">
        <v>108</v>
      </c>
      <c r="AB7" s="672" t="s">
        <v>69</v>
      </c>
      <c r="AC7" s="672" t="s">
        <v>69</v>
      </c>
      <c r="AD7" s="236" t="s">
        <v>94</v>
      </c>
      <c r="AE7" s="672" t="s">
        <v>69</v>
      </c>
      <c r="AF7" s="672" t="s">
        <v>69</v>
      </c>
      <c r="AG7" s="672" t="s">
        <v>69</v>
      </c>
    </row>
    <row r="8" spans="1:33" ht="18">
      <c r="A8" s="5">
        <v>7</v>
      </c>
      <c r="B8" s="254" t="s">
        <v>11</v>
      </c>
      <c r="C8" s="7">
        <v>11</v>
      </c>
      <c r="D8">
        <v>4</v>
      </c>
      <c r="E8" s="7">
        <f t="shared" si="0"/>
        <v>7</v>
      </c>
      <c r="F8" s="427" t="s">
        <v>108</v>
      </c>
      <c r="G8" s="672" t="s">
        <v>69</v>
      </c>
      <c r="H8" s="672" t="s">
        <v>69</v>
      </c>
      <c r="I8" s="121" t="s">
        <v>72</v>
      </c>
      <c r="J8" s="672" t="s">
        <v>69</v>
      </c>
      <c r="K8" s="672" t="s">
        <v>69</v>
      </c>
      <c r="L8" s="672" t="s">
        <v>69</v>
      </c>
      <c r="M8" s="329" t="s">
        <v>108</v>
      </c>
      <c r="N8" s="409" t="s">
        <v>69</v>
      </c>
      <c r="O8" s="409" t="s">
        <v>69</v>
      </c>
      <c r="P8" s="131" t="s">
        <v>72</v>
      </c>
      <c r="Q8" s="131" t="s">
        <v>72</v>
      </c>
      <c r="R8" s="131" t="s">
        <v>72</v>
      </c>
      <c r="S8" s="131" t="s">
        <v>72</v>
      </c>
      <c r="T8" s="329" t="s">
        <v>108</v>
      </c>
      <c r="U8" s="131" t="s">
        <v>72</v>
      </c>
      <c r="V8" s="131" t="s">
        <v>72</v>
      </c>
      <c r="W8" s="131" t="s">
        <v>72</v>
      </c>
      <c r="X8" s="131" t="s">
        <v>72</v>
      </c>
      <c r="Y8" s="131" t="s">
        <v>72</v>
      </c>
      <c r="Z8" s="131" t="s">
        <v>72</v>
      </c>
      <c r="AA8" s="388" t="s">
        <v>108</v>
      </c>
      <c r="AB8" s="672" t="s">
        <v>69</v>
      </c>
      <c r="AC8" s="672" t="s">
        <v>69</v>
      </c>
      <c r="AD8" s="672" t="s">
        <v>69</v>
      </c>
      <c r="AE8" s="672" t="s">
        <v>69</v>
      </c>
      <c r="AF8" s="672" t="s">
        <v>69</v>
      </c>
      <c r="AG8" s="672" t="s">
        <v>69</v>
      </c>
    </row>
    <row r="9" spans="1:33" ht="18">
      <c r="A9" s="5">
        <v>8</v>
      </c>
      <c r="B9" s="254" t="s">
        <v>193</v>
      </c>
      <c r="C9" s="7">
        <v>0</v>
      </c>
      <c r="D9" s="7">
        <v>0</v>
      </c>
      <c r="E9" s="7">
        <f t="shared" si="0"/>
        <v>0</v>
      </c>
      <c r="F9" s="427" t="s">
        <v>108</v>
      </c>
      <c r="G9" s="672" t="s">
        <v>69</v>
      </c>
      <c r="H9" s="672" t="s">
        <v>69</v>
      </c>
      <c r="I9" s="672" t="s">
        <v>69</v>
      </c>
      <c r="J9" s="672" t="s">
        <v>69</v>
      </c>
      <c r="K9" s="672" t="s">
        <v>69</v>
      </c>
      <c r="L9" s="672" t="s">
        <v>69</v>
      </c>
      <c r="M9" s="329" t="s">
        <v>108</v>
      </c>
      <c r="N9" s="134" t="s">
        <v>69</v>
      </c>
      <c r="O9" s="134" t="s">
        <v>69</v>
      </c>
      <c r="P9" s="134" t="s">
        <v>69</v>
      </c>
      <c r="Q9" s="134" t="s">
        <v>69</v>
      </c>
      <c r="R9" s="134" t="s">
        <v>69</v>
      </c>
      <c r="S9" s="134" t="s">
        <v>69</v>
      </c>
      <c r="T9" s="329" t="s">
        <v>108</v>
      </c>
      <c r="U9" s="120" t="s">
        <v>69</v>
      </c>
      <c r="V9" s="120" t="s">
        <v>69</v>
      </c>
      <c r="W9" s="120" t="s">
        <v>69</v>
      </c>
      <c r="X9" s="120" t="s">
        <v>69</v>
      </c>
      <c r="Y9" s="120" t="s">
        <v>69</v>
      </c>
      <c r="Z9" s="120" t="s">
        <v>69</v>
      </c>
      <c r="AA9" s="388" t="s">
        <v>108</v>
      </c>
      <c r="AB9" s="672" t="s">
        <v>69</v>
      </c>
      <c r="AC9" s="672" t="s">
        <v>69</v>
      </c>
      <c r="AD9" s="672" t="s">
        <v>69</v>
      </c>
      <c r="AE9" s="672" t="s">
        <v>69</v>
      </c>
      <c r="AF9" s="672" t="s">
        <v>69</v>
      </c>
      <c r="AG9" s="672" t="s">
        <v>69</v>
      </c>
    </row>
    <row r="10" spans="1:33" ht="18">
      <c r="A10" s="5">
        <v>9</v>
      </c>
      <c r="B10" s="254" t="s">
        <v>137</v>
      </c>
      <c r="C10" s="7">
        <v>0</v>
      </c>
      <c r="D10" s="7">
        <v>0</v>
      </c>
      <c r="E10" s="7">
        <f t="shared" si="0"/>
        <v>0</v>
      </c>
      <c r="F10" s="427" t="s">
        <v>108</v>
      </c>
      <c r="G10" s="672" t="s">
        <v>69</v>
      </c>
      <c r="H10" s="672" t="s">
        <v>69</v>
      </c>
      <c r="I10" s="672" t="s">
        <v>69</v>
      </c>
      <c r="J10" s="672" t="s">
        <v>69</v>
      </c>
      <c r="K10" s="672" t="s">
        <v>69</v>
      </c>
      <c r="L10" s="672" t="s">
        <v>69</v>
      </c>
      <c r="M10" s="329" t="s">
        <v>108</v>
      </c>
      <c r="N10" s="134" t="s">
        <v>69</v>
      </c>
      <c r="O10" s="134" t="s">
        <v>69</v>
      </c>
      <c r="P10" s="134" t="s">
        <v>69</v>
      </c>
      <c r="Q10" s="134" t="s">
        <v>69</v>
      </c>
      <c r="R10" s="134" t="s">
        <v>69</v>
      </c>
      <c r="S10" s="134" t="s">
        <v>69</v>
      </c>
      <c r="T10" s="329" t="s">
        <v>108</v>
      </c>
      <c r="U10" s="120" t="s">
        <v>69</v>
      </c>
      <c r="V10" s="120" t="s">
        <v>69</v>
      </c>
      <c r="W10" s="120" t="s">
        <v>69</v>
      </c>
      <c r="X10" s="120" t="s">
        <v>69</v>
      </c>
      <c r="Y10" s="120" t="s">
        <v>69</v>
      </c>
      <c r="Z10" s="120" t="s">
        <v>69</v>
      </c>
      <c r="AA10" s="388" t="s">
        <v>108</v>
      </c>
      <c r="AB10" s="672" t="s">
        <v>69</v>
      </c>
      <c r="AC10" s="672" t="s">
        <v>69</v>
      </c>
      <c r="AD10" s="672" t="s">
        <v>69</v>
      </c>
      <c r="AE10" s="672" t="s">
        <v>69</v>
      </c>
      <c r="AF10" s="672" t="s">
        <v>69</v>
      </c>
      <c r="AG10" s="378" t="s">
        <v>69</v>
      </c>
    </row>
    <row r="11" spans="1:33" ht="18">
      <c r="A11" s="5">
        <v>10</v>
      </c>
      <c r="B11" s="254" t="s">
        <v>95</v>
      </c>
      <c r="C11" s="7">
        <v>1</v>
      </c>
      <c r="D11" s="7">
        <v>1</v>
      </c>
      <c r="E11" s="7">
        <f t="shared" si="0"/>
        <v>0</v>
      </c>
      <c r="F11" s="427" t="s">
        <v>108</v>
      </c>
      <c r="G11" s="672" t="s">
        <v>69</v>
      </c>
      <c r="H11" s="672" t="s">
        <v>69</v>
      </c>
      <c r="I11" s="672" t="s">
        <v>69</v>
      </c>
      <c r="J11" s="672" t="s">
        <v>69</v>
      </c>
      <c r="K11" s="672" t="s">
        <v>69</v>
      </c>
      <c r="L11" s="672" t="s">
        <v>69</v>
      </c>
      <c r="M11" s="329" t="s">
        <v>108</v>
      </c>
      <c r="N11" s="134" t="s">
        <v>69</v>
      </c>
      <c r="O11" s="134" t="s">
        <v>69</v>
      </c>
      <c r="P11" s="134" t="s">
        <v>69</v>
      </c>
      <c r="Q11" s="134" t="s">
        <v>69</v>
      </c>
      <c r="R11" s="134" t="s">
        <v>69</v>
      </c>
      <c r="S11" s="134" t="s">
        <v>69</v>
      </c>
      <c r="T11" s="329" t="s">
        <v>108</v>
      </c>
      <c r="U11" s="120" t="s">
        <v>69</v>
      </c>
      <c r="V11" s="120" t="s">
        <v>69</v>
      </c>
      <c r="W11" s="120" t="s">
        <v>69</v>
      </c>
      <c r="X11" s="120" t="s">
        <v>69</v>
      </c>
      <c r="Y11" s="120" t="s">
        <v>69</v>
      </c>
      <c r="Z11" s="379" t="s">
        <v>72</v>
      </c>
      <c r="AA11" s="388" t="s">
        <v>108</v>
      </c>
      <c r="AB11" s="672" t="s">
        <v>69</v>
      </c>
      <c r="AC11" s="672" t="s">
        <v>69</v>
      </c>
      <c r="AD11" s="672" t="s">
        <v>69</v>
      </c>
      <c r="AE11" s="672" t="s">
        <v>69</v>
      </c>
      <c r="AF11" s="672" t="s">
        <v>69</v>
      </c>
      <c r="AG11" s="672" t="s">
        <v>69</v>
      </c>
    </row>
    <row r="12" spans="1:33" ht="18">
      <c r="A12" s="5">
        <v>11</v>
      </c>
      <c r="B12" s="254" t="s">
        <v>237</v>
      </c>
      <c r="C12" s="7">
        <v>6</v>
      </c>
      <c r="D12" s="7">
        <v>1</v>
      </c>
      <c r="E12" s="7">
        <f t="shared" si="0"/>
        <v>5</v>
      </c>
      <c r="F12" s="427" t="s">
        <v>108</v>
      </c>
      <c r="G12" s="672" t="s">
        <v>69</v>
      </c>
      <c r="H12" s="672" t="s">
        <v>69</v>
      </c>
      <c r="I12" s="672" t="s">
        <v>69</v>
      </c>
      <c r="J12" s="121" t="s">
        <v>72</v>
      </c>
      <c r="K12" s="121" t="s">
        <v>72</v>
      </c>
      <c r="L12" s="672" t="s">
        <v>69</v>
      </c>
      <c r="M12" s="329" t="s">
        <v>108</v>
      </c>
      <c r="N12" s="134" t="s">
        <v>69</v>
      </c>
      <c r="O12" s="134" t="s">
        <v>69</v>
      </c>
      <c r="P12" s="134" t="s">
        <v>69</v>
      </c>
      <c r="Q12" s="134" t="s">
        <v>69</v>
      </c>
      <c r="R12" s="134" t="s">
        <v>69</v>
      </c>
      <c r="S12" s="134" t="s">
        <v>69</v>
      </c>
      <c r="T12" s="329" t="s">
        <v>108</v>
      </c>
      <c r="U12" s="120" t="s">
        <v>69</v>
      </c>
      <c r="V12" s="120" t="s">
        <v>69</v>
      </c>
      <c r="W12" s="131" t="s">
        <v>72</v>
      </c>
      <c r="X12" s="120" t="s">
        <v>69</v>
      </c>
      <c r="Y12" s="120" t="s">
        <v>69</v>
      </c>
      <c r="Z12" s="120" t="s">
        <v>69</v>
      </c>
      <c r="AA12" s="388" t="s">
        <v>108</v>
      </c>
      <c r="AB12" s="379" t="s">
        <v>72</v>
      </c>
      <c r="AC12" s="379" t="s">
        <v>72</v>
      </c>
      <c r="AD12" s="134" t="s">
        <v>69</v>
      </c>
      <c r="AE12" s="672" t="s">
        <v>69</v>
      </c>
      <c r="AF12" s="672" t="s">
        <v>69</v>
      </c>
      <c r="AG12" s="379" t="s">
        <v>72</v>
      </c>
    </row>
    <row r="13" spans="1:33" ht="18">
      <c r="A13" s="5">
        <v>12</v>
      </c>
      <c r="B13" s="254" t="s">
        <v>13</v>
      </c>
      <c r="C13" s="7">
        <v>2</v>
      </c>
      <c r="D13" s="7">
        <v>2</v>
      </c>
      <c r="E13" s="7">
        <f t="shared" si="0"/>
        <v>0</v>
      </c>
      <c r="F13" s="427" t="s">
        <v>108</v>
      </c>
      <c r="G13" s="672" t="s">
        <v>69</v>
      </c>
      <c r="H13" s="672" t="s">
        <v>69</v>
      </c>
      <c r="I13" s="672" t="s">
        <v>69</v>
      </c>
      <c r="J13" s="672" t="s">
        <v>69</v>
      </c>
      <c r="K13" s="121" t="s">
        <v>72</v>
      </c>
      <c r="L13" s="672" t="s">
        <v>69</v>
      </c>
      <c r="M13" s="329" t="s">
        <v>108</v>
      </c>
      <c r="N13" s="134" t="s">
        <v>69</v>
      </c>
      <c r="O13" s="134" t="s">
        <v>69</v>
      </c>
      <c r="P13" s="134" t="s">
        <v>69</v>
      </c>
      <c r="Q13" s="134" t="s">
        <v>69</v>
      </c>
      <c r="R13" s="134" t="s">
        <v>69</v>
      </c>
      <c r="S13" s="134" t="s">
        <v>69</v>
      </c>
      <c r="T13" s="329" t="s">
        <v>108</v>
      </c>
      <c r="U13" s="120" t="s">
        <v>69</v>
      </c>
      <c r="V13" s="120" t="s">
        <v>69</v>
      </c>
      <c r="W13" s="120" t="s">
        <v>69</v>
      </c>
      <c r="X13" s="120" t="s">
        <v>69</v>
      </c>
      <c r="Y13" s="120" t="s">
        <v>69</v>
      </c>
      <c r="Z13" s="120" t="s">
        <v>69</v>
      </c>
      <c r="AA13" s="388" t="s">
        <v>108</v>
      </c>
      <c r="AB13" s="378" t="s">
        <v>69</v>
      </c>
      <c r="AC13" s="378" t="s">
        <v>69</v>
      </c>
      <c r="AD13" s="134" t="s">
        <v>69</v>
      </c>
      <c r="AE13" s="406" t="s">
        <v>72</v>
      </c>
      <c r="AF13" s="134" t="s">
        <v>69</v>
      </c>
      <c r="AG13" s="134" t="s">
        <v>69</v>
      </c>
    </row>
    <row r="14" spans="1:33" ht="18">
      <c r="A14" s="5">
        <v>13</v>
      </c>
      <c r="B14" s="254" t="s">
        <v>194</v>
      </c>
      <c r="C14" s="7">
        <v>1</v>
      </c>
      <c r="D14" s="7">
        <v>1</v>
      </c>
      <c r="E14" s="7">
        <f t="shared" si="0"/>
        <v>0</v>
      </c>
      <c r="F14" s="427" t="s">
        <v>108</v>
      </c>
      <c r="G14" s="672" t="s">
        <v>69</v>
      </c>
      <c r="H14" s="672" t="s">
        <v>69</v>
      </c>
      <c r="I14" s="672" t="s">
        <v>69</v>
      </c>
      <c r="J14" s="672" t="s">
        <v>69</v>
      </c>
      <c r="K14" s="672" t="s">
        <v>69</v>
      </c>
      <c r="L14" s="672" t="s">
        <v>69</v>
      </c>
      <c r="M14" s="329" t="s">
        <v>108</v>
      </c>
      <c r="N14" s="134" t="s">
        <v>69</v>
      </c>
      <c r="O14" s="134" t="s">
        <v>69</v>
      </c>
      <c r="P14" s="134" t="s">
        <v>69</v>
      </c>
      <c r="Q14" s="134" t="s">
        <v>69</v>
      </c>
      <c r="R14" s="134" t="s">
        <v>69</v>
      </c>
      <c r="S14" s="134" t="s">
        <v>69</v>
      </c>
      <c r="T14" s="329" t="s">
        <v>108</v>
      </c>
      <c r="U14" s="120" t="s">
        <v>69</v>
      </c>
      <c r="V14" s="120" t="s">
        <v>69</v>
      </c>
      <c r="W14" s="120" t="s">
        <v>69</v>
      </c>
      <c r="X14" s="120" t="s">
        <v>69</v>
      </c>
      <c r="Y14" s="120" t="s">
        <v>69</v>
      </c>
      <c r="Z14" s="379" t="s">
        <v>72</v>
      </c>
      <c r="AA14" s="388" t="s">
        <v>108</v>
      </c>
      <c r="AB14" s="378" t="s">
        <v>69</v>
      </c>
      <c r="AC14" s="378" t="s">
        <v>69</v>
      </c>
      <c r="AD14" s="378" t="s">
        <v>69</v>
      </c>
      <c r="AE14" s="378" t="s">
        <v>69</v>
      </c>
      <c r="AF14" s="134" t="s">
        <v>69</v>
      </c>
      <c r="AG14" s="134" t="s">
        <v>69</v>
      </c>
    </row>
    <row r="15" spans="1:33" ht="18">
      <c r="A15" s="5">
        <v>14</v>
      </c>
      <c r="B15" s="254" t="s">
        <v>177</v>
      </c>
      <c r="C15" s="7">
        <v>1</v>
      </c>
      <c r="D15" s="7">
        <v>1</v>
      </c>
      <c r="E15" s="7">
        <f t="shared" si="0"/>
        <v>0</v>
      </c>
      <c r="F15" s="427" t="s">
        <v>108</v>
      </c>
      <c r="G15" s="672" t="s">
        <v>69</v>
      </c>
      <c r="H15" s="672" t="s">
        <v>69</v>
      </c>
      <c r="I15" s="672" t="s">
        <v>69</v>
      </c>
      <c r="J15" s="672" t="s">
        <v>69</v>
      </c>
      <c r="K15" s="672" t="s">
        <v>69</v>
      </c>
      <c r="L15" s="672" t="s">
        <v>69</v>
      </c>
      <c r="M15" s="329" t="s">
        <v>108</v>
      </c>
      <c r="N15" s="134" t="s">
        <v>69</v>
      </c>
      <c r="O15" s="134" t="s">
        <v>69</v>
      </c>
      <c r="P15" s="134" t="s">
        <v>69</v>
      </c>
      <c r="Q15" s="134" t="s">
        <v>69</v>
      </c>
      <c r="R15" s="134" t="s">
        <v>69</v>
      </c>
      <c r="S15" s="134" t="s">
        <v>69</v>
      </c>
      <c r="T15" s="329" t="s">
        <v>108</v>
      </c>
      <c r="U15" s="121" t="s">
        <v>72</v>
      </c>
      <c r="V15" s="120" t="s">
        <v>69</v>
      </c>
      <c r="W15" s="120" t="s">
        <v>69</v>
      </c>
      <c r="X15" s="120" t="s">
        <v>69</v>
      </c>
      <c r="Y15" s="120" t="s">
        <v>69</v>
      </c>
      <c r="Z15" s="120" t="s">
        <v>69</v>
      </c>
      <c r="AA15" s="388" t="s">
        <v>108</v>
      </c>
      <c r="AB15" s="378" t="s">
        <v>69</v>
      </c>
      <c r="AC15" s="378" t="s">
        <v>69</v>
      </c>
      <c r="AD15" s="378" t="s">
        <v>69</v>
      </c>
      <c r="AE15" s="134" t="s">
        <v>69</v>
      </c>
      <c r="AF15" s="134" t="s">
        <v>69</v>
      </c>
      <c r="AG15" s="378" t="s">
        <v>69</v>
      </c>
    </row>
    <row r="16" spans="1:33" ht="18">
      <c r="A16" s="5">
        <v>15</v>
      </c>
      <c r="B16" s="254" t="s">
        <v>154</v>
      </c>
      <c r="C16" s="7">
        <v>2</v>
      </c>
      <c r="D16" s="7">
        <v>1</v>
      </c>
      <c r="E16" s="7">
        <f t="shared" si="0"/>
        <v>1</v>
      </c>
      <c r="F16" s="427" t="s">
        <v>108</v>
      </c>
      <c r="G16" s="672" t="s">
        <v>69</v>
      </c>
      <c r="H16" s="672" t="s">
        <v>69</v>
      </c>
      <c r="I16" s="121" t="s">
        <v>72</v>
      </c>
      <c r="J16" s="672" t="s">
        <v>69</v>
      </c>
      <c r="K16" s="672" t="s">
        <v>69</v>
      </c>
      <c r="L16" s="672" t="s">
        <v>69</v>
      </c>
      <c r="M16" s="329" t="s">
        <v>108</v>
      </c>
      <c r="N16" s="120" t="s">
        <v>69</v>
      </c>
      <c r="O16" s="120" t="s">
        <v>69</v>
      </c>
      <c r="P16" s="120" t="s">
        <v>69</v>
      </c>
      <c r="Q16" s="120" t="s">
        <v>69</v>
      </c>
      <c r="R16" s="120" t="s">
        <v>69</v>
      </c>
      <c r="S16" s="120" t="s">
        <v>69</v>
      </c>
      <c r="T16" s="329" t="s">
        <v>108</v>
      </c>
      <c r="U16" s="120" t="s">
        <v>69</v>
      </c>
      <c r="V16" s="120" t="s">
        <v>69</v>
      </c>
      <c r="W16" s="120" t="s">
        <v>69</v>
      </c>
      <c r="X16" s="379" t="s">
        <v>72</v>
      </c>
      <c r="Y16" s="120" t="s">
        <v>69</v>
      </c>
      <c r="Z16" s="120" t="s">
        <v>69</v>
      </c>
      <c r="AA16" s="388" t="s">
        <v>108</v>
      </c>
      <c r="AB16" s="378" t="s">
        <v>69</v>
      </c>
      <c r="AC16" s="378" t="s">
        <v>69</v>
      </c>
      <c r="AD16" s="378" t="s">
        <v>69</v>
      </c>
      <c r="AE16" s="378" t="s">
        <v>69</v>
      </c>
      <c r="AF16" s="378" t="s">
        <v>69</v>
      </c>
      <c r="AG16" s="378" t="s">
        <v>267</v>
      </c>
    </row>
    <row r="17" spans="1:33" ht="18">
      <c r="A17" s="5">
        <v>16</v>
      </c>
      <c r="B17" s="254" t="s">
        <v>16</v>
      </c>
      <c r="C17" s="7">
        <v>1</v>
      </c>
      <c r="D17" s="7">
        <v>1</v>
      </c>
      <c r="E17" s="7">
        <f t="shared" si="0"/>
        <v>0</v>
      </c>
      <c r="F17" s="427" t="s">
        <v>108</v>
      </c>
      <c r="G17" s="672" t="s">
        <v>69</v>
      </c>
      <c r="H17" s="672" t="s">
        <v>69</v>
      </c>
      <c r="I17" s="672" t="s">
        <v>69</v>
      </c>
      <c r="J17" s="672" t="s">
        <v>69</v>
      </c>
      <c r="K17" s="672" t="s">
        <v>69</v>
      </c>
      <c r="L17" s="672" t="s">
        <v>69</v>
      </c>
      <c r="M17" s="329" t="s">
        <v>108</v>
      </c>
      <c r="N17" s="134" t="s">
        <v>69</v>
      </c>
      <c r="O17" s="121" t="s">
        <v>72</v>
      </c>
      <c r="P17" s="134" t="s">
        <v>69</v>
      </c>
      <c r="Q17" s="134" t="s">
        <v>69</v>
      </c>
      <c r="R17" s="134" t="s">
        <v>69</v>
      </c>
      <c r="S17" s="134" t="s">
        <v>69</v>
      </c>
      <c r="T17" s="329" t="s">
        <v>108</v>
      </c>
      <c r="U17" s="120" t="s">
        <v>69</v>
      </c>
      <c r="V17" s="120" t="s">
        <v>69</v>
      </c>
      <c r="W17" s="120" t="s">
        <v>69</v>
      </c>
      <c r="X17" s="120" t="s">
        <v>69</v>
      </c>
      <c r="Y17" s="120" t="s">
        <v>69</v>
      </c>
      <c r="Z17" s="120" t="s">
        <v>69</v>
      </c>
      <c r="AA17" s="388" t="s">
        <v>108</v>
      </c>
      <c r="AB17" s="378" t="s">
        <v>69</v>
      </c>
      <c r="AC17" s="378" t="s">
        <v>69</v>
      </c>
      <c r="AD17" s="378" t="s">
        <v>69</v>
      </c>
      <c r="AE17" s="378" t="s">
        <v>69</v>
      </c>
      <c r="AF17" s="378" t="s">
        <v>69</v>
      </c>
      <c r="AG17" s="378" t="s">
        <v>69</v>
      </c>
    </row>
    <row r="18" spans="1:33" ht="18">
      <c r="A18" s="5">
        <v>17</v>
      </c>
      <c r="B18" s="254" t="s">
        <v>17</v>
      </c>
      <c r="C18" s="7">
        <v>1</v>
      </c>
      <c r="D18" s="7">
        <v>1</v>
      </c>
      <c r="E18" s="7">
        <f t="shared" si="0"/>
        <v>0</v>
      </c>
      <c r="F18" s="427" t="s">
        <v>108</v>
      </c>
      <c r="G18" s="672" t="s">
        <v>69</v>
      </c>
      <c r="H18" s="672" t="s">
        <v>69</v>
      </c>
      <c r="I18" s="672" t="s">
        <v>69</v>
      </c>
      <c r="J18" s="672" t="s">
        <v>69</v>
      </c>
      <c r="K18" s="672" t="s">
        <v>69</v>
      </c>
      <c r="L18" s="672" t="s">
        <v>69</v>
      </c>
      <c r="M18" s="329" t="s">
        <v>108</v>
      </c>
      <c r="N18" s="134" t="s">
        <v>69</v>
      </c>
      <c r="O18" s="134" t="s">
        <v>69</v>
      </c>
      <c r="P18" s="121" t="s">
        <v>72</v>
      </c>
      <c r="Q18" s="120" t="s">
        <v>69</v>
      </c>
      <c r="R18" s="120" t="s">
        <v>69</v>
      </c>
      <c r="S18" s="120" t="s">
        <v>69</v>
      </c>
      <c r="T18" s="329" t="s">
        <v>108</v>
      </c>
      <c r="U18" s="120" t="s">
        <v>69</v>
      </c>
      <c r="V18" s="120" t="s">
        <v>69</v>
      </c>
      <c r="W18" s="120" t="s">
        <v>69</v>
      </c>
      <c r="X18" s="120" t="s">
        <v>69</v>
      </c>
      <c r="Y18" s="120" t="s">
        <v>69</v>
      </c>
      <c r="Z18" s="120" t="s">
        <v>69</v>
      </c>
      <c r="AA18" s="388" t="s">
        <v>108</v>
      </c>
      <c r="AB18" s="378" t="s">
        <v>69</v>
      </c>
      <c r="AC18" s="378" t="s">
        <v>69</v>
      </c>
      <c r="AD18" s="378" t="s">
        <v>69</v>
      </c>
      <c r="AE18" s="378" t="s">
        <v>69</v>
      </c>
      <c r="AF18" s="378" t="s">
        <v>69</v>
      </c>
      <c r="AG18" s="378" t="s">
        <v>69</v>
      </c>
    </row>
    <row r="19" spans="1:33" ht="18">
      <c r="A19" s="5">
        <v>18</v>
      </c>
      <c r="B19" s="254" t="s">
        <v>219</v>
      </c>
      <c r="C19" s="7">
        <v>1</v>
      </c>
      <c r="D19" s="7">
        <v>1</v>
      </c>
      <c r="E19" s="7">
        <f t="shared" si="0"/>
        <v>0</v>
      </c>
      <c r="F19" s="427" t="s">
        <v>108</v>
      </c>
      <c r="G19" s="672" t="s">
        <v>69</v>
      </c>
      <c r="H19" s="672" t="s">
        <v>69</v>
      </c>
      <c r="I19" s="672" t="s">
        <v>69</v>
      </c>
      <c r="J19" s="672" t="s">
        <v>69</v>
      </c>
      <c r="K19" s="672" t="s">
        <v>69</v>
      </c>
      <c r="L19" s="672" t="s">
        <v>69</v>
      </c>
      <c r="M19" s="329" t="s">
        <v>108</v>
      </c>
      <c r="N19" s="134" t="s">
        <v>69</v>
      </c>
      <c r="O19" s="134" t="s">
        <v>69</v>
      </c>
      <c r="P19" s="134" t="s">
        <v>69</v>
      </c>
      <c r="Q19" s="134" t="s">
        <v>69</v>
      </c>
      <c r="R19" s="134" t="s">
        <v>69</v>
      </c>
      <c r="S19" s="134" t="s">
        <v>69</v>
      </c>
      <c r="T19" s="329" t="s">
        <v>108</v>
      </c>
      <c r="U19" s="120" t="s">
        <v>69</v>
      </c>
      <c r="V19" s="120" t="s">
        <v>69</v>
      </c>
      <c r="W19" s="120" t="s">
        <v>69</v>
      </c>
      <c r="X19" s="120" t="s">
        <v>69</v>
      </c>
      <c r="Y19" s="120" t="s">
        <v>69</v>
      </c>
      <c r="Z19" s="120" t="s">
        <v>69</v>
      </c>
      <c r="AA19" s="388" t="s">
        <v>108</v>
      </c>
      <c r="AB19" s="378" t="s">
        <v>69</v>
      </c>
      <c r="AC19" s="378" t="s">
        <v>69</v>
      </c>
      <c r="AD19" s="378" t="s">
        <v>69</v>
      </c>
      <c r="AE19" s="378" t="s">
        <v>69</v>
      </c>
      <c r="AF19" s="378" t="s">
        <v>69</v>
      </c>
      <c r="AG19" s="378" t="s">
        <v>69</v>
      </c>
    </row>
    <row r="20" spans="1:33" ht="18">
      <c r="A20" s="5">
        <v>19</v>
      </c>
      <c r="B20" s="186" t="s">
        <v>155</v>
      </c>
      <c r="C20" s="7">
        <v>1</v>
      </c>
      <c r="D20" s="7">
        <v>1</v>
      </c>
      <c r="E20" s="7">
        <f t="shared" si="0"/>
        <v>0</v>
      </c>
      <c r="F20" s="427" t="s">
        <v>108</v>
      </c>
      <c r="G20" s="672" t="s">
        <v>69</v>
      </c>
      <c r="H20" s="672" t="s">
        <v>69</v>
      </c>
      <c r="I20" s="672" t="s">
        <v>69</v>
      </c>
      <c r="J20" s="672" t="s">
        <v>69</v>
      </c>
      <c r="K20" s="672" t="s">
        <v>69</v>
      </c>
      <c r="L20" s="672" t="s">
        <v>69</v>
      </c>
      <c r="M20" s="329" t="s">
        <v>108</v>
      </c>
      <c r="N20" s="120" t="s">
        <v>69</v>
      </c>
      <c r="O20" s="120" t="s">
        <v>69</v>
      </c>
      <c r="P20" s="120" t="s">
        <v>69</v>
      </c>
      <c r="Q20" s="672" t="s">
        <v>268</v>
      </c>
      <c r="R20" s="120" t="s">
        <v>69</v>
      </c>
      <c r="S20" s="120" t="s">
        <v>69</v>
      </c>
      <c r="T20" s="329" t="s">
        <v>108</v>
      </c>
      <c r="U20" s="120" t="s">
        <v>69</v>
      </c>
      <c r="V20" s="120" t="s">
        <v>69</v>
      </c>
      <c r="W20" s="120" t="s">
        <v>69</v>
      </c>
      <c r="X20" s="120" t="s">
        <v>69</v>
      </c>
      <c r="Y20" s="120" t="s">
        <v>69</v>
      </c>
      <c r="Z20" s="120" t="s">
        <v>69</v>
      </c>
      <c r="AA20" s="388" t="s">
        <v>108</v>
      </c>
      <c r="AB20" s="379" t="s">
        <v>72</v>
      </c>
      <c r="AC20" s="378" t="s">
        <v>69</v>
      </c>
      <c r="AD20" s="378" t="s">
        <v>69</v>
      </c>
      <c r="AE20" s="378" t="s">
        <v>69</v>
      </c>
      <c r="AF20" s="378" t="s">
        <v>69</v>
      </c>
      <c r="AG20" s="378" t="s">
        <v>69</v>
      </c>
    </row>
    <row r="21" spans="1:33" ht="18">
      <c r="A21" s="5">
        <v>20</v>
      </c>
      <c r="B21" s="186" t="s">
        <v>252</v>
      </c>
      <c r="C21" s="7">
        <v>6</v>
      </c>
      <c r="D21" s="7">
        <v>1</v>
      </c>
      <c r="E21" s="7">
        <f t="shared" si="0"/>
        <v>5</v>
      </c>
      <c r="F21" s="427" t="s">
        <v>108</v>
      </c>
      <c r="G21" s="121" t="s">
        <v>72</v>
      </c>
      <c r="H21" s="121" t="s">
        <v>72</v>
      </c>
      <c r="I21" s="121" t="s">
        <v>72</v>
      </c>
      <c r="J21" s="121" t="s">
        <v>72</v>
      </c>
      <c r="K21" s="672" t="s">
        <v>69</v>
      </c>
      <c r="L21" s="672" t="s">
        <v>69</v>
      </c>
      <c r="M21" s="329" t="s">
        <v>108</v>
      </c>
      <c r="N21" s="120" t="s">
        <v>69</v>
      </c>
      <c r="O21" s="120" t="s">
        <v>69</v>
      </c>
      <c r="P21" s="121" t="s">
        <v>72</v>
      </c>
      <c r="Q21" s="168" t="s">
        <v>69</v>
      </c>
      <c r="R21" s="168" t="s">
        <v>69</v>
      </c>
      <c r="S21" s="168" t="s">
        <v>69</v>
      </c>
      <c r="T21" s="329" t="s">
        <v>108</v>
      </c>
      <c r="U21" s="120" t="s">
        <v>69</v>
      </c>
      <c r="V21" s="120" t="s">
        <v>69</v>
      </c>
      <c r="W21" s="120" t="s">
        <v>69</v>
      </c>
      <c r="X21" s="120" t="s">
        <v>69</v>
      </c>
      <c r="Y21" s="120" t="s">
        <v>69</v>
      </c>
      <c r="Z21" s="120" t="s">
        <v>69</v>
      </c>
      <c r="AA21" s="388" t="s">
        <v>108</v>
      </c>
      <c r="AB21" s="389" t="s">
        <v>69</v>
      </c>
      <c r="AC21" s="389" t="s">
        <v>69</v>
      </c>
      <c r="AD21" s="389" t="s">
        <v>69</v>
      </c>
      <c r="AE21" s="389" t="s">
        <v>69</v>
      </c>
      <c r="AF21" s="378" t="s">
        <v>69</v>
      </c>
      <c r="AG21" s="378" t="s">
        <v>69</v>
      </c>
    </row>
    <row r="22" spans="1:33" ht="18">
      <c r="A22" s="5">
        <v>21</v>
      </c>
      <c r="B22" s="186" t="s">
        <v>238</v>
      </c>
      <c r="C22" s="7">
        <v>1.5</v>
      </c>
      <c r="D22" s="7">
        <v>1</v>
      </c>
      <c r="E22" s="7">
        <f t="shared" si="0"/>
        <v>0.5</v>
      </c>
      <c r="F22" s="427" t="s">
        <v>108</v>
      </c>
      <c r="G22" s="120" t="s">
        <v>69</v>
      </c>
      <c r="H22" s="120" t="s">
        <v>69</v>
      </c>
      <c r="I22" s="120" t="s">
        <v>69</v>
      </c>
      <c r="J22" s="120" t="s">
        <v>69</v>
      </c>
      <c r="K22" s="120" t="s">
        <v>69</v>
      </c>
      <c r="L22" s="121" t="s">
        <v>72</v>
      </c>
      <c r="M22" s="329" t="s">
        <v>108</v>
      </c>
      <c r="N22" s="120" t="s">
        <v>69</v>
      </c>
      <c r="O22" s="120" t="s">
        <v>69</v>
      </c>
      <c r="P22" s="120" t="s">
        <v>69</v>
      </c>
      <c r="Q22" s="120" t="s">
        <v>69</v>
      </c>
      <c r="R22" s="120" t="s">
        <v>69</v>
      </c>
      <c r="S22" s="120" t="s">
        <v>69</v>
      </c>
      <c r="T22" s="329" t="s">
        <v>108</v>
      </c>
      <c r="U22" s="120" t="s">
        <v>69</v>
      </c>
      <c r="V22" s="120" t="s">
        <v>69</v>
      </c>
      <c r="W22" s="120" t="s">
        <v>69</v>
      </c>
      <c r="X22" s="120" t="s">
        <v>69</v>
      </c>
      <c r="Y22" s="120" t="s">
        <v>69</v>
      </c>
      <c r="Z22" s="120" t="s">
        <v>69</v>
      </c>
      <c r="AA22" s="388" t="s">
        <v>108</v>
      </c>
      <c r="AB22" s="389" t="s">
        <v>69</v>
      </c>
      <c r="AC22" s="389" t="s">
        <v>69</v>
      </c>
      <c r="AD22" s="389" t="s">
        <v>69</v>
      </c>
      <c r="AE22" s="389" t="s">
        <v>69</v>
      </c>
      <c r="AF22" s="378" t="s">
        <v>69</v>
      </c>
      <c r="AG22" s="378" t="s">
        <v>73</v>
      </c>
    </row>
    <row r="23" spans="1:33" ht="18">
      <c r="A23" s="5">
        <v>22</v>
      </c>
      <c r="B23" s="254" t="s">
        <v>22</v>
      </c>
      <c r="C23" s="7">
        <v>0</v>
      </c>
      <c r="D23" s="7">
        <v>0</v>
      </c>
      <c r="E23" s="7">
        <f t="shared" si="0"/>
        <v>0</v>
      </c>
      <c r="F23" s="427" t="s">
        <v>108</v>
      </c>
      <c r="G23" s="120" t="s">
        <v>69</v>
      </c>
      <c r="H23" s="120" t="s">
        <v>69</v>
      </c>
      <c r="I23" s="120" t="s">
        <v>69</v>
      </c>
      <c r="J23" s="120" t="s">
        <v>69</v>
      </c>
      <c r="K23" s="120" t="s">
        <v>69</v>
      </c>
      <c r="L23" s="120" t="s">
        <v>69</v>
      </c>
      <c r="M23" s="329" t="s">
        <v>108</v>
      </c>
      <c r="N23" s="134" t="s">
        <v>69</v>
      </c>
      <c r="O23" s="134" t="s">
        <v>69</v>
      </c>
      <c r="P23" s="134" t="s">
        <v>69</v>
      </c>
      <c r="Q23" s="134" t="s">
        <v>69</v>
      </c>
      <c r="R23" s="134" t="s">
        <v>69</v>
      </c>
      <c r="S23" s="134" t="s">
        <v>69</v>
      </c>
      <c r="T23" s="329" t="s">
        <v>108</v>
      </c>
      <c r="U23" s="120" t="s">
        <v>69</v>
      </c>
      <c r="V23" s="120" t="s">
        <v>69</v>
      </c>
      <c r="W23" s="120" t="s">
        <v>69</v>
      </c>
      <c r="X23" s="120" t="s">
        <v>69</v>
      </c>
      <c r="Y23" s="120" t="s">
        <v>69</v>
      </c>
      <c r="Z23" s="120" t="s">
        <v>69</v>
      </c>
      <c r="AA23" s="388" t="s">
        <v>108</v>
      </c>
      <c r="AB23" s="389" t="s">
        <v>69</v>
      </c>
      <c r="AC23" s="389" t="s">
        <v>69</v>
      </c>
      <c r="AD23" s="389" t="s">
        <v>69</v>
      </c>
      <c r="AE23" s="389" t="s">
        <v>69</v>
      </c>
      <c r="AF23" s="389" t="s">
        <v>69</v>
      </c>
      <c r="AG23" s="389" t="s">
        <v>69</v>
      </c>
    </row>
    <row r="24" spans="1:33" ht="18">
      <c r="A24" s="5">
        <v>23</v>
      </c>
      <c r="B24" s="254" t="s">
        <v>221</v>
      </c>
      <c r="C24" s="7">
        <v>1</v>
      </c>
      <c r="D24" s="7">
        <v>1</v>
      </c>
      <c r="E24" s="7">
        <f t="shared" si="0"/>
        <v>0</v>
      </c>
      <c r="F24" s="427" t="s">
        <v>108</v>
      </c>
      <c r="G24" s="120" t="s">
        <v>69</v>
      </c>
      <c r="H24" s="120" t="s">
        <v>69</v>
      </c>
      <c r="I24" s="120" t="s">
        <v>69</v>
      </c>
      <c r="J24" s="120" t="s">
        <v>69</v>
      </c>
      <c r="K24" s="120" t="s">
        <v>69</v>
      </c>
      <c r="L24" s="120" t="s">
        <v>69</v>
      </c>
      <c r="M24" s="329" t="s">
        <v>108</v>
      </c>
      <c r="N24" s="134" t="s">
        <v>69</v>
      </c>
      <c r="O24" s="134" t="s">
        <v>69</v>
      </c>
      <c r="P24" s="134" t="s">
        <v>69</v>
      </c>
      <c r="Q24" s="672" t="s">
        <v>121</v>
      </c>
      <c r="R24" s="120" t="s">
        <v>69</v>
      </c>
      <c r="S24" s="120" t="s">
        <v>69</v>
      </c>
      <c r="T24" s="329" t="s">
        <v>108</v>
      </c>
      <c r="U24" s="120" t="s">
        <v>69</v>
      </c>
      <c r="V24" s="120" t="s">
        <v>69</v>
      </c>
      <c r="W24" s="120" t="s">
        <v>69</v>
      </c>
      <c r="X24" s="120" t="s">
        <v>69</v>
      </c>
      <c r="Y24" s="120" t="s">
        <v>69</v>
      </c>
      <c r="Z24" s="120" t="s">
        <v>69</v>
      </c>
      <c r="AA24" s="388" t="s">
        <v>108</v>
      </c>
      <c r="AB24" s="389" t="s">
        <v>69</v>
      </c>
      <c r="AC24" s="389" t="s">
        <v>69</v>
      </c>
      <c r="AD24" s="389" t="s">
        <v>69</v>
      </c>
      <c r="AE24" s="389" t="s">
        <v>69</v>
      </c>
      <c r="AF24" s="379" t="s">
        <v>72</v>
      </c>
      <c r="AG24" s="378" t="s">
        <v>69</v>
      </c>
    </row>
    <row r="25" spans="1:33" ht="18">
      <c r="A25" s="5">
        <v>24</v>
      </c>
      <c r="B25" s="254" t="s">
        <v>179</v>
      </c>
      <c r="C25" s="7">
        <v>1</v>
      </c>
      <c r="D25" s="7">
        <v>1</v>
      </c>
      <c r="E25" s="7">
        <f t="shared" si="0"/>
        <v>0</v>
      </c>
      <c r="F25" s="427" t="s">
        <v>108</v>
      </c>
      <c r="G25" s="120" t="s">
        <v>69</v>
      </c>
      <c r="H25" s="120" t="s">
        <v>69</v>
      </c>
      <c r="I25" s="120" t="s">
        <v>69</v>
      </c>
      <c r="J25" s="120" t="s">
        <v>69</v>
      </c>
      <c r="K25" s="121" t="s">
        <v>72</v>
      </c>
      <c r="L25" s="120" t="s">
        <v>69</v>
      </c>
      <c r="M25" s="329" t="s">
        <v>108</v>
      </c>
      <c r="N25" s="134" t="s">
        <v>69</v>
      </c>
      <c r="O25" s="134" t="s">
        <v>69</v>
      </c>
      <c r="P25" s="134" t="s">
        <v>69</v>
      </c>
      <c r="Q25" s="134" t="s">
        <v>69</v>
      </c>
      <c r="R25" s="134" t="s">
        <v>69</v>
      </c>
      <c r="S25" s="134" t="s">
        <v>69</v>
      </c>
      <c r="T25" s="329" t="s">
        <v>108</v>
      </c>
      <c r="U25" s="120" t="s">
        <v>69</v>
      </c>
      <c r="V25" s="120" t="s">
        <v>69</v>
      </c>
      <c r="W25" s="120" t="s">
        <v>69</v>
      </c>
      <c r="X25" s="120" t="s">
        <v>69</v>
      </c>
      <c r="Y25" s="120" t="s">
        <v>69</v>
      </c>
      <c r="Z25" s="120" t="s">
        <v>69</v>
      </c>
      <c r="AA25" s="388" t="s">
        <v>108</v>
      </c>
      <c r="AB25" s="389" t="s">
        <v>69</v>
      </c>
      <c r="AC25" s="389" t="s">
        <v>69</v>
      </c>
      <c r="AD25" s="389" t="s">
        <v>69</v>
      </c>
      <c r="AE25" s="389" t="s">
        <v>69</v>
      </c>
      <c r="AF25" s="389" t="s">
        <v>69</v>
      </c>
      <c r="AG25" s="389" t="s">
        <v>69</v>
      </c>
    </row>
    <row r="26" spans="1:33" ht="18">
      <c r="A26" s="5">
        <v>25</v>
      </c>
      <c r="B26" s="254" t="s">
        <v>140</v>
      </c>
      <c r="C26" s="7">
        <v>2</v>
      </c>
      <c r="D26" s="7">
        <v>2</v>
      </c>
      <c r="E26" s="7">
        <f t="shared" si="0"/>
        <v>0</v>
      </c>
      <c r="F26" s="427" t="s">
        <v>108</v>
      </c>
      <c r="G26" s="120" t="s">
        <v>69</v>
      </c>
      <c r="H26" s="120" t="s">
        <v>69</v>
      </c>
      <c r="I26" s="120" t="s">
        <v>69</v>
      </c>
      <c r="J26" s="121" t="s">
        <v>72</v>
      </c>
      <c r="K26" s="121" t="s">
        <v>72</v>
      </c>
      <c r="L26" s="120" t="s">
        <v>69</v>
      </c>
      <c r="M26" s="329" t="s">
        <v>108</v>
      </c>
      <c r="N26" s="134" t="s">
        <v>69</v>
      </c>
      <c r="O26" s="134" t="s">
        <v>69</v>
      </c>
      <c r="P26" s="134" t="s">
        <v>69</v>
      </c>
      <c r="Q26" s="134" t="s">
        <v>69</v>
      </c>
      <c r="R26" s="134" t="s">
        <v>69</v>
      </c>
      <c r="S26" s="134" t="s">
        <v>69</v>
      </c>
      <c r="T26" s="329" t="s">
        <v>108</v>
      </c>
      <c r="U26" s="120" t="s">
        <v>69</v>
      </c>
      <c r="V26" s="120" t="s">
        <v>69</v>
      </c>
      <c r="W26" s="120" t="s">
        <v>69</v>
      </c>
      <c r="X26" s="120" t="s">
        <v>69</v>
      </c>
      <c r="Y26" s="120" t="s">
        <v>69</v>
      </c>
      <c r="Z26" s="120" t="s">
        <v>69</v>
      </c>
      <c r="AA26" s="388" t="s">
        <v>108</v>
      </c>
      <c r="AB26" s="389" t="s">
        <v>69</v>
      </c>
      <c r="AC26" s="389" t="s">
        <v>69</v>
      </c>
      <c r="AD26" s="389" t="s">
        <v>69</v>
      </c>
      <c r="AE26" s="389" t="s">
        <v>69</v>
      </c>
      <c r="AF26" s="389" t="s">
        <v>69</v>
      </c>
      <c r="AG26" s="389" t="s">
        <v>69</v>
      </c>
    </row>
    <row r="27" spans="1:33" ht="18">
      <c r="A27" s="5">
        <v>26</v>
      </c>
      <c r="B27" s="254" t="s">
        <v>222</v>
      </c>
      <c r="C27" s="7">
        <v>2</v>
      </c>
      <c r="D27" s="7">
        <v>1</v>
      </c>
      <c r="E27" s="7">
        <f t="shared" si="0"/>
        <v>1</v>
      </c>
      <c r="F27" s="427" t="s">
        <v>108</v>
      </c>
      <c r="G27" s="120" t="s">
        <v>69</v>
      </c>
      <c r="H27" s="120" t="s">
        <v>69</v>
      </c>
      <c r="I27" s="120" t="s">
        <v>69</v>
      </c>
      <c r="J27" s="120" t="s">
        <v>69</v>
      </c>
      <c r="K27" s="120" t="s">
        <v>69</v>
      </c>
      <c r="L27" s="120" t="s">
        <v>69</v>
      </c>
      <c r="M27" s="329" t="s">
        <v>108</v>
      </c>
      <c r="N27" s="134" t="s">
        <v>69</v>
      </c>
      <c r="O27" s="134" t="s">
        <v>69</v>
      </c>
      <c r="P27" s="134" t="s">
        <v>69</v>
      </c>
      <c r="Q27" s="389" t="s">
        <v>151</v>
      </c>
      <c r="R27" s="389" t="s">
        <v>69</v>
      </c>
      <c r="S27" s="389" t="s">
        <v>69</v>
      </c>
      <c r="T27" s="329" t="s">
        <v>108</v>
      </c>
      <c r="U27" s="120" t="s">
        <v>69</v>
      </c>
      <c r="V27" s="120" t="s">
        <v>69</v>
      </c>
      <c r="W27" s="120" t="s">
        <v>69</v>
      </c>
      <c r="X27" s="120" t="s">
        <v>69</v>
      </c>
      <c r="Y27" s="395" t="s">
        <v>72</v>
      </c>
      <c r="Z27" s="395" t="s">
        <v>72</v>
      </c>
      <c r="AA27" s="388" t="s">
        <v>108</v>
      </c>
      <c r="AB27" s="389" t="s">
        <v>69</v>
      </c>
      <c r="AC27" s="389" t="s">
        <v>69</v>
      </c>
      <c r="AD27" s="389" t="s">
        <v>69</v>
      </c>
      <c r="AE27" s="389" t="s">
        <v>69</v>
      </c>
      <c r="AF27" s="389" t="s">
        <v>69</v>
      </c>
      <c r="AG27" s="389" t="s">
        <v>69</v>
      </c>
    </row>
    <row r="28" spans="1:33" ht="18">
      <c r="A28" s="5">
        <v>27</v>
      </c>
      <c r="B28" s="254" t="s">
        <v>114</v>
      </c>
      <c r="C28" s="7">
        <v>0</v>
      </c>
      <c r="D28" s="7">
        <v>0</v>
      </c>
      <c r="E28" s="7">
        <f t="shared" si="0"/>
        <v>0</v>
      </c>
      <c r="F28" s="427" t="s">
        <v>108</v>
      </c>
      <c r="G28" s="120" t="s">
        <v>69</v>
      </c>
      <c r="H28" s="120" t="s">
        <v>69</v>
      </c>
      <c r="I28" s="120" t="s">
        <v>69</v>
      </c>
      <c r="J28" s="120" t="s">
        <v>69</v>
      </c>
      <c r="K28" s="120" t="s">
        <v>69</v>
      </c>
      <c r="L28" s="120" t="s">
        <v>69</v>
      </c>
      <c r="M28" s="329" t="s">
        <v>108</v>
      </c>
      <c r="N28" s="134" t="s">
        <v>69</v>
      </c>
      <c r="O28" s="134" t="s">
        <v>69</v>
      </c>
      <c r="P28" s="134" t="s">
        <v>69</v>
      </c>
      <c r="Q28" s="134" t="s">
        <v>69</v>
      </c>
      <c r="R28" s="134" t="s">
        <v>69</v>
      </c>
      <c r="S28" s="134" t="s">
        <v>69</v>
      </c>
      <c r="T28" s="329" t="s">
        <v>108</v>
      </c>
      <c r="U28" s="120" t="s">
        <v>69</v>
      </c>
      <c r="V28" s="120" t="s">
        <v>69</v>
      </c>
      <c r="W28" s="120" t="s">
        <v>69</v>
      </c>
      <c r="X28" s="120" t="s">
        <v>69</v>
      </c>
      <c r="Y28" s="120" t="s">
        <v>69</v>
      </c>
      <c r="Z28" s="120" t="s">
        <v>69</v>
      </c>
      <c r="AA28" s="388" t="s">
        <v>108</v>
      </c>
      <c r="AB28" s="389" t="s">
        <v>69</v>
      </c>
      <c r="AC28" s="389" t="s">
        <v>69</v>
      </c>
      <c r="AD28" s="389" t="s">
        <v>69</v>
      </c>
      <c r="AE28" s="389" t="s">
        <v>69</v>
      </c>
      <c r="AF28" s="389" t="s">
        <v>69</v>
      </c>
      <c r="AG28" s="389" t="s">
        <v>69</v>
      </c>
    </row>
    <row r="29" spans="1:33" ht="18">
      <c r="A29" s="5">
        <v>28</v>
      </c>
      <c r="B29" s="254" t="s">
        <v>253</v>
      </c>
      <c r="C29" s="7">
        <v>0</v>
      </c>
      <c r="D29" s="7">
        <v>0</v>
      </c>
      <c r="E29" s="7">
        <f t="shared" si="0"/>
        <v>0</v>
      </c>
      <c r="F29" s="427" t="s">
        <v>108</v>
      </c>
      <c r="G29" s="134" t="s">
        <v>69</v>
      </c>
      <c r="H29" s="134" t="s">
        <v>69</v>
      </c>
      <c r="I29" s="168" t="s">
        <v>69</v>
      </c>
      <c r="J29" s="168" t="s">
        <v>69</v>
      </c>
      <c r="K29" s="168" t="s">
        <v>69</v>
      </c>
      <c r="L29" s="168" t="s">
        <v>69</v>
      </c>
      <c r="M29" s="329" t="s">
        <v>108</v>
      </c>
      <c r="N29" s="134" t="s">
        <v>69</v>
      </c>
      <c r="O29" s="134" t="s">
        <v>69</v>
      </c>
      <c r="P29" s="134" t="s">
        <v>69</v>
      </c>
      <c r="Q29" s="134" t="s">
        <v>69</v>
      </c>
      <c r="R29" s="134" t="s">
        <v>69</v>
      </c>
      <c r="S29" s="134" t="s">
        <v>69</v>
      </c>
      <c r="T29" s="329" t="s">
        <v>108</v>
      </c>
      <c r="U29" s="120" t="s">
        <v>69</v>
      </c>
      <c r="V29" s="120" t="s">
        <v>69</v>
      </c>
      <c r="W29" s="120" t="s">
        <v>69</v>
      </c>
      <c r="X29" s="120" t="s">
        <v>69</v>
      </c>
      <c r="Y29" s="120" t="s">
        <v>69</v>
      </c>
      <c r="Z29" s="120" t="s">
        <v>69</v>
      </c>
      <c r="AA29" s="388" t="s">
        <v>108</v>
      </c>
      <c r="AB29" s="389" t="s">
        <v>69</v>
      </c>
      <c r="AC29" s="389" t="s">
        <v>69</v>
      </c>
      <c r="AD29" s="389" t="s">
        <v>69</v>
      </c>
      <c r="AE29" s="389" t="s">
        <v>69</v>
      </c>
      <c r="AF29" s="389" t="s">
        <v>69</v>
      </c>
      <c r="AG29" s="389" t="s">
        <v>267</v>
      </c>
    </row>
    <row r="30" spans="1:33" ht="18">
      <c r="A30" s="5">
        <v>29</v>
      </c>
      <c r="B30" s="254" t="s">
        <v>26</v>
      </c>
      <c r="C30" s="7">
        <v>2</v>
      </c>
      <c r="D30" s="7">
        <v>2</v>
      </c>
      <c r="E30" s="7">
        <f t="shared" si="0"/>
        <v>0</v>
      </c>
      <c r="F30" s="427" t="s">
        <v>108</v>
      </c>
      <c r="G30" s="120" t="s">
        <v>69</v>
      </c>
      <c r="H30" s="120" t="s">
        <v>69</v>
      </c>
      <c r="I30" s="120" t="s">
        <v>69</v>
      </c>
      <c r="J30" s="120" t="s">
        <v>69</v>
      </c>
      <c r="K30" s="120" t="s">
        <v>69</v>
      </c>
      <c r="L30" s="120" t="s">
        <v>69</v>
      </c>
      <c r="M30" s="329" t="s">
        <v>108</v>
      </c>
      <c r="N30" s="134" t="s">
        <v>69</v>
      </c>
      <c r="O30" s="134" t="s">
        <v>69</v>
      </c>
      <c r="P30" s="134" t="s">
        <v>69</v>
      </c>
      <c r="Q30" s="134" t="s">
        <v>69</v>
      </c>
      <c r="R30" s="134" t="s">
        <v>69</v>
      </c>
      <c r="S30" s="134" t="s">
        <v>69</v>
      </c>
      <c r="T30" s="329" t="s">
        <v>108</v>
      </c>
      <c r="U30" s="120" t="s">
        <v>69</v>
      </c>
      <c r="V30" s="120" t="s">
        <v>69</v>
      </c>
      <c r="W30" s="120" t="s">
        <v>69</v>
      </c>
      <c r="X30" s="120" t="s">
        <v>69</v>
      </c>
      <c r="Y30" s="120" t="s">
        <v>69</v>
      </c>
      <c r="Z30" s="120" t="s">
        <v>69</v>
      </c>
      <c r="AA30" s="388" t="s">
        <v>108</v>
      </c>
      <c r="AB30" s="379" t="s">
        <v>72</v>
      </c>
      <c r="AC30" s="379" t="s">
        <v>72</v>
      </c>
      <c r="AD30" s="389" t="s">
        <v>69</v>
      </c>
      <c r="AE30" s="389" t="s">
        <v>69</v>
      </c>
      <c r="AF30" s="389" t="s">
        <v>69</v>
      </c>
      <c r="AG30" s="389" t="s">
        <v>69</v>
      </c>
    </row>
    <row r="31" spans="1:33" ht="18">
      <c r="A31" s="5">
        <v>30</v>
      </c>
      <c r="B31" s="254" t="s">
        <v>27</v>
      </c>
      <c r="C31" s="7">
        <v>1</v>
      </c>
      <c r="D31" s="7">
        <v>1</v>
      </c>
      <c r="E31" s="7">
        <f t="shared" si="0"/>
        <v>0</v>
      </c>
      <c r="F31" s="427" t="s">
        <v>108</v>
      </c>
      <c r="G31" s="120" t="s">
        <v>69</v>
      </c>
      <c r="H31" s="120" t="s">
        <v>69</v>
      </c>
      <c r="I31" s="120" t="s">
        <v>69</v>
      </c>
      <c r="J31" s="120" t="s">
        <v>69</v>
      </c>
      <c r="K31" s="120" t="s">
        <v>69</v>
      </c>
      <c r="L31" s="120" t="s">
        <v>69</v>
      </c>
      <c r="M31" s="329" t="s">
        <v>108</v>
      </c>
      <c r="N31" s="134" t="s">
        <v>69</v>
      </c>
      <c r="O31" s="134" t="s">
        <v>69</v>
      </c>
      <c r="P31" s="134" t="s">
        <v>69</v>
      </c>
      <c r="Q31" s="134" t="s">
        <v>69</v>
      </c>
      <c r="R31" s="134" t="s">
        <v>69</v>
      </c>
      <c r="S31" s="134" t="s">
        <v>69</v>
      </c>
      <c r="T31" s="329" t="s">
        <v>108</v>
      </c>
      <c r="U31" s="120" t="s">
        <v>69</v>
      </c>
      <c r="V31" s="120" t="s">
        <v>69</v>
      </c>
      <c r="W31" s="120" t="s">
        <v>69</v>
      </c>
      <c r="X31" s="120" t="s">
        <v>69</v>
      </c>
      <c r="Y31" s="120" t="s">
        <v>69</v>
      </c>
      <c r="Z31" s="120" t="s">
        <v>69</v>
      </c>
      <c r="AA31" s="388" t="s">
        <v>108</v>
      </c>
      <c r="AB31" s="378" t="s">
        <v>69</v>
      </c>
      <c r="AC31" s="378" t="s">
        <v>69</v>
      </c>
      <c r="AD31" s="378" t="s">
        <v>69</v>
      </c>
      <c r="AE31" s="379" t="s">
        <v>72</v>
      </c>
      <c r="AF31" s="389" t="s">
        <v>69</v>
      </c>
      <c r="AG31" s="389" t="s">
        <v>69</v>
      </c>
    </row>
    <row r="32" spans="1:33" ht="18">
      <c r="A32" s="5">
        <v>31</v>
      </c>
      <c r="B32" s="254" t="s">
        <v>28</v>
      </c>
      <c r="C32" s="7">
        <v>0</v>
      </c>
      <c r="D32" s="7">
        <v>0</v>
      </c>
      <c r="E32" s="7">
        <f t="shared" si="0"/>
        <v>0</v>
      </c>
      <c r="F32" s="427" t="s">
        <v>108</v>
      </c>
      <c r="G32" s="134" t="s">
        <v>69</v>
      </c>
      <c r="H32" s="134" t="s">
        <v>69</v>
      </c>
      <c r="I32" s="168" t="s">
        <v>69</v>
      </c>
      <c r="J32" s="168" t="s">
        <v>69</v>
      </c>
      <c r="K32" s="168" t="s">
        <v>69</v>
      </c>
      <c r="L32" s="168" t="s">
        <v>69</v>
      </c>
      <c r="M32" s="329" t="s">
        <v>108</v>
      </c>
      <c r="N32" s="134" t="s">
        <v>69</v>
      </c>
      <c r="O32" s="134" t="s">
        <v>69</v>
      </c>
      <c r="P32" s="134" t="s">
        <v>69</v>
      </c>
      <c r="Q32" s="134" t="s">
        <v>69</v>
      </c>
      <c r="R32" s="134" t="s">
        <v>69</v>
      </c>
      <c r="S32" s="134" t="s">
        <v>69</v>
      </c>
      <c r="T32" s="329" t="s">
        <v>108</v>
      </c>
      <c r="U32" s="120" t="s">
        <v>69</v>
      </c>
      <c r="V32" s="120" t="s">
        <v>69</v>
      </c>
      <c r="W32" s="120" t="s">
        <v>69</v>
      </c>
      <c r="X32" s="120" t="s">
        <v>69</v>
      </c>
      <c r="Y32" s="120" t="s">
        <v>69</v>
      </c>
      <c r="Z32" s="120" t="s">
        <v>69</v>
      </c>
      <c r="AA32" s="388" t="s">
        <v>108</v>
      </c>
      <c r="AB32" s="378" t="s">
        <v>69</v>
      </c>
      <c r="AC32" s="378" t="s">
        <v>69</v>
      </c>
      <c r="AD32" s="378" t="s">
        <v>69</v>
      </c>
      <c r="AE32" s="378" t="s">
        <v>69</v>
      </c>
      <c r="AF32" s="378" t="s">
        <v>69</v>
      </c>
      <c r="AG32" s="378" t="s">
        <v>69</v>
      </c>
    </row>
    <row r="33" spans="1:33" ht="18">
      <c r="A33" s="5">
        <v>32</v>
      </c>
      <c r="B33" s="254" t="s">
        <v>29</v>
      </c>
      <c r="C33" s="7">
        <v>0</v>
      </c>
      <c r="D33" s="7">
        <v>0</v>
      </c>
      <c r="E33" s="7">
        <f t="shared" si="0"/>
        <v>0</v>
      </c>
      <c r="F33" s="427" t="s">
        <v>108</v>
      </c>
      <c r="G33" s="134" t="s">
        <v>69</v>
      </c>
      <c r="H33" s="134" t="s">
        <v>69</v>
      </c>
      <c r="I33" s="168" t="s">
        <v>69</v>
      </c>
      <c r="J33" s="168" t="s">
        <v>69</v>
      </c>
      <c r="K33" s="168" t="s">
        <v>69</v>
      </c>
      <c r="L33" s="168" t="s">
        <v>69</v>
      </c>
      <c r="M33" s="329" t="s">
        <v>108</v>
      </c>
      <c r="N33" s="134" t="s">
        <v>69</v>
      </c>
      <c r="O33" s="134" t="s">
        <v>69</v>
      </c>
      <c r="P33" s="134" t="s">
        <v>69</v>
      </c>
      <c r="Q33" s="134" t="s">
        <v>69</v>
      </c>
      <c r="R33" s="134" t="s">
        <v>69</v>
      </c>
      <c r="S33" s="134" t="s">
        <v>69</v>
      </c>
      <c r="T33" s="329" t="s">
        <v>108</v>
      </c>
      <c r="U33" s="120" t="s">
        <v>69</v>
      </c>
      <c r="V33" s="120" t="s">
        <v>69</v>
      </c>
      <c r="W33" s="120" t="s">
        <v>69</v>
      </c>
      <c r="X33" s="120" t="s">
        <v>69</v>
      </c>
      <c r="Y33" s="120" t="s">
        <v>69</v>
      </c>
      <c r="Z33" s="120" t="s">
        <v>69</v>
      </c>
      <c r="AA33" s="388" t="s">
        <v>108</v>
      </c>
      <c r="AB33" s="378" t="s">
        <v>69</v>
      </c>
      <c r="AC33" s="378" t="s">
        <v>69</v>
      </c>
      <c r="AD33" s="378" t="s">
        <v>69</v>
      </c>
      <c r="AE33" s="378" t="s">
        <v>69</v>
      </c>
      <c r="AF33" s="378" t="s">
        <v>69</v>
      </c>
      <c r="AG33" s="378" t="s">
        <v>69</v>
      </c>
    </row>
    <row r="34" spans="1:33" ht="18">
      <c r="A34" s="5">
        <v>33</v>
      </c>
      <c r="B34" s="254" t="s">
        <v>181</v>
      </c>
      <c r="C34" s="7">
        <v>1</v>
      </c>
      <c r="D34" s="7">
        <v>1</v>
      </c>
      <c r="E34" s="7">
        <f t="shared" ref="E34:E65" si="1">C34-D34</f>
        <v>0</v>
      </c>
      <c r="F34" s="427" t="s">
        <v>108</v>
      </c>
      <c r="G34" s="134" t="s">
        <v>69</v>
      </c>
      <c r="H34" s="134" t="s">
        <v>69</v>
      </c>
      <c r="I34" s="168" t="s">
        <v>69</v>
      </c>
      <c r="J34" s="147" t="s">
        <v>92</v>
      </c>
      <c r="K34" s="134" t="s">
        <v>69</v>
      </c>
      <c r="L34" s="134" t="s">
        <v>69</v>
      </c>
      <c r="M34" s="329" t="s">
        <v>108</v>
      </c>
      <c r="N34" s="134" t="s">
        <v>69</v>
      </c>
      <c r="O34" s="134" t="s">
        <v>69</v>
      </c>
      <c r="P34" s="134" t="s">
        <v>69</v>
      </c>
      <c r="Q34" s="134" t="s">
        <v>69</v>
      </c>
      <c r="R34" s="134" t="s">
        <v>121</v>
      </c>
      <c r="S34" s="134" t="s">
        <v>69</v>
      </c>
      <c r="T34" s="329" t="s">
        <v>108</v>
      </c>
      <c r="U34" s="120" t="s">
        <v>69</v>
      </c>
      <c r="V34" s="120" t="s">
        <v>69</v>
      </c>
      <c r="W34" s="120" t="s">
        <v>69</v>
      </c>
      <c r="X34" s="120" t="s">
        <v>69</v>
      </c>
      <c r="Y34" s="120" t="s">
        <v>69</v>
      </c>
      <c r="Z34" s="120" t="s">
        <v>69</v>
      </c>
      <c r="AA34" s="388" t="s">
        <v>108</v>
      </c>
      <c r="AB34" s="379" t="s">
        <v>72</v>
      </c>
      <c r="AC34" s="378" t="s">
        <v>69</v>
      </c>
      <c r="AD34" s="378" t="s">
        <v>69</v>
      </c>
      <c r="AE34" s="378" t="s">
        <v>69</v>
      </c>
      <c r="AF34" s="378" t="s">
        <v>69</v>
      </c>
      <c r="AG34" s="378" t="s">
        <v>69</v>
      </c>
    </row>
    <row r="35" spans="1:33" ht="18">
      <c r="A35" s="5">
        <v>34</v>
      </c>
      <c r="B35" s="254" t="s">
        <v>30</v>
      </c>
      <c r="C35" s="7">
        <v>0</v>
      </c>
      <c r="D35" s="7">
        <v>0</v>
      </c>
      <c r="E35" s="7">
        <f t="shared" si="1"/>
        <v>0</v>
      </c>
      <c r="F35" s="427" t="s">
        <v>108</v>
      </c>
      <c r="G35" s="134" t="s">
        <v>69</v>
      </c>
      <c r="H35" s="134" t="s">
        <v>69</v>
      </c>
      <c r="I35" s="168" t="s">
        <v>69</v>
      </c>
      <c r="J35" s="168" t="s">
        <v>69</v>
      </c>
      <c r="K35" s="168" t="s">
        <v>69</v>
      </c>
      <c r="L35" s="168" t="s">
        <v>69</v>
      </c>
      <c r="M35" s="329" t="s">
        <v>108</v>
      </c>
      <c r="N35" s="134" t="s">
        <v>69</v>
      </c>
      <c r="O35" s="134" t="s">
        <v>69</v>
      </c>
      <c r="P35" s="134" t="s">
        <v>69</v>
      </c>
      <c r="Q35" s="134" t="s">
        <v>69</v>
      </c>
      <c r="R35" s="134" t="s">
        <v>69</v>
      </c>
      <c r="S35" s="134" t="s">
        <v>69</v>
      </c>
      <c r="T35" s="329" t="s">
        <v>108</v>
      </c>
      <c r="U35" s="120" t="s">
        <v>69</v>
      </c>
      <c r="V35" s="120" t="s">
        <v>69</v>
      </c>
      <c r="W35" s="120" t="s">
        <v>69</v>
      </c>
      <c r="X35" s="120" t="s">
        <v>69</v>
      </c>
      <c r="Y35" s="120" t="s">
        <v>69</v>
      </c>
      <c r="Z35" s="120" t="s">
        <v>69</v>
      </c>
      <c r="AA35" s="388" t="s">
        <v>108</v>
      </c>
      <c r="AB35" s="378" t="s">
        <v>69</v>
      </c>
      <c r="AC35" s="378" t="s">
        <v>69</v>
      </c>
      <c r="AD35" s="378" t="s">
        <v>69</v>
      </c>
      <c r="AE35" s="378" t="s">
        <v>69</v>
      </c>
      <c r="AF35" s="378" t="s">
        <v>69</v>
      </c>
      <c r="AG35" s="378" t="s">
        <v>69</v>
      </c>
    </row>
    <row r="36" spans="1:33" ht="18">
      <c r="A36" s="5">
        <v>35</v>
      </c>
      <c r="B36" s="254" t="s">
        <v>183</v>
      </c>
      <c r="C36" s="7">
        <v>2</v>
      </c>
      <c r="D36" s="7">
        <v>1</v>
      </c>
      <c r="E36" s="7">
        <f t="shared" si="1"/>
        <v>1</v>
      </c>
      <c r="F36" s="427" t="s">
        <v>108</v>
      </c>
      <c r="G36" s="134" t="s">
        <v>69</v>
      </c>
      <c r="H36" s="134" t="s">
        <v>69</v>
      </c>
      <c r="I36" s="168" t="s">
        <v>69</v>
      </c>
      <c r="J36" s="168" t="s">
        <v>69</v>
      </c>
      <c r="K36" s="168" t="s">
        <v>69</v>
      </c>
      <c r="L36" s="168" t="s">
        <v>69</v>
      </c>
      <c r="M36" s="329" t="s">
        <v>108</v>
      </c>
      <c r="N36" s="134" t="s">
        <v>69</v>
      </c>
      <c r="O36" s="134" t="s">
        <v>69</v>
      </c>
      <c r="P36" s="134" t="s">
        <v>69</v>
      </c>
      <c r="Q36" s="379" t="s">
        <v>72</v>
      </c>
      <c r="R36" s="379" t="s">
        <v>72</v>
      </c>
      <c r="S36" s="134" t="s">
        <v>69</v>
      </c>
      <c r="T36" s="329" t="s">
        <v>108</v>
      </c>
      <c r="U36" s="120" t="s">
        <v>69</v>
      </c>
      <c r="V36" s="120" t="s">
        <v>69</v>
      </c>
      <c r="W36" s="120" t="s">
        <v>69</v>
      </c>
      <c r="X36" s="120" t="s">
        <v>69</v>
      </c>
      <c r="Y36" s="120" t="s">
        <v>69</v>
      </c>
      <c r="Z36" s="672" t="s">
        <v>178</v>
      </c>
      <c r="AA36" s="388" t="s">
        <v>108</v>
      </c>
      <c r="AB36" s="378" t="s">
        <v>69</v>
      </c>
      <c r="AC36" s="378" t="s">
        <v>69</v>
      </c>
      <c r="AD36" s="378" t="s">
        <v>69</v>
      </c>
      <c r="AE36" s="378" t="s">
        <v>69</v>
      </c>
      <c r="AF36" s="378" t="s">
        <v>69</v>
      </c>
      <c r="AG36" s="378" t="s">
        <v>69</v>
      </c>
    </row>
    <row r="37" spans="1:33" ht="18">
      <c r="A37" s="5">
        <v>36</v>
      </c>
      <c r="B37" s="254" t="s">
        <v>31</v>
      </c>
      <c r="C37" s="7">
        <v>1</v>
      </c>
      <c r="D37" s="7">
        <v>1</v>
      </c>
      <c r="E37" s="7">
        <f t="shared" si="1"/>
        <v>0</v>
      </c>
      <c r="F37" s="427" t="s">
        <v>108</v>
      </c>
      <c r="G37" s="134" t="s">
        <v>69</v>
      </c>
      <c r="H37" s="134" t="s">
        <v>69</v>
      </c>
      <c r="I37" s="168" t="s">
        <v>69</v>
      </c>
      <c r="J37" s="168" t="s">
        <v>69</v>
      </c>
      <c r="K37" s="168" t="s">
        <v>69</v>
      </c>
      <c r="L37" s="168" t="s">
        <v>69</v>
      </c>
      <c r="M37" s="329" t="s">
        <v>108</v>
      </c>
      <c r="N37" s="134" t="s">
        <v>69</v>
      </c>
      <c r="O37" s="134" t="s">
        <v>69</v>
      </c>
      <c r="P37" s="134" t="s">
        <v>69</v>
      </c>
      <c r="Q37" s="134" t="s">
        <v>69</v>
      </c>
      <c r="R37" s="134" t="s">
        <v>69</v>
      </c>
      <c r="S37" s="134" t="s">
        <v>69</v>
      </c>
      <c r="T37" s="329" t="s">
        <v>108</v>
      </c>
      <c r="U37" s="120" t="s">
        <v>69</v>
      </c>
      <c r="V37" s="120" t="s">
        <v>69</v>
      </c>
      <c r="W37" s="120" t="s">
        <v>69</v>
      </c>
      <c r="X37" s="120" t="s">
        <v>69</v>
      </c>
      <c r="Y37" s="120" t="s">
        <v>69</v>
      </c>
      <c r="Z37" s="121" t="s">
        <v>72</v>
      </c>
      <c r="AA37" s="388" t="s">
        <v>108</v>
      </c>
      <c r="AB37" s="378" t="s">
        <v>69</v>
      </c>
      <c r="AC37" s="378" t="s">
        <v>69</v>
      </c>
      <c r="AD37" s="378" t="s">
        <v>69</v>
      </c>
      <c r="AE37" s="378" t="s">
        <v>69</v>
      </c>
      <c r="AF37" s="378" t="s">
        <v>69</v>
      </c>
      <c r="AG37" s="378" t="s">
        <v>69</v>
      </c>
    </row>
    <row r="38" spans="1:33" ht="18">
      <c r="A38" s="5">
        <v>37</v>
      </c>
      <c r="B38" s="255" t="s">
        <v>269</v>
      </c>
      <c r="C38" s="7"/>
      <c r="D38" s="7"/>
      <c r="E38" s="7">
        <f t="shared" si="1"/>
        <v>0</v>
      </c>
      <c r="F38" s="427" t="s">
        <v>108</v>
      </c>
      <c r="G38" s="121" t="s">
        <v>72</v>
      </c>
      <c r="H38" s="121" t="s">
        <v>72</v>
      </c>
      <c r="I38" s="121" t="s">
        <v>72</v>
      </c>
      <c r="J38" s="121" t="s">
        <v>72</v>
      </c>
      <c r="K38" s="121" t="s">
        <v>72</v>
      </c>
      <c r="L38" s="121" t="s">
        <v>72</v>
      </c>
      <c r="M38" s="329" t="s">
        <v>108</v>
      </c>
      <c r="N38" s="121" t="s">
        <v>72</v>
      </c>
      <c r="O38" s="121" t="s">
        <v>72</v>
      </c>
      <c r="P38" s="121" t="s">
        <v>72</v>
      </c>
      <c r="Q38" s="121" t="s">
        <v>72</v>
      </c>
      <c r="R38" s="121" t="s">
        <v>72</v>
      </c>
      <c r="S38" s="121" t="s">
        <v>72</v>
      </c>
      <c r="T38" s="329" t="s">
        <v>108</v>
      </c>
      <c r="U38" s="121" t="s">
        <v>72</v>
      </c>
      <c r="V38" s="121" t="s">
        <v>72</v>
      </c>
      <c r="W38" s="121" t="s">
        <v>72</v>
      </c>
      <c r="X38" s="121" t="s">
        <v>72</v>
      </c>
      <c r="Y38" s="121" t="s">
        <v>72</v>
      </c>
      <c r="Z38" s="121" t="s">
        <v>72</v>
      </c>
      <c r="AA38" s="388" t="s">
        <v>108</v>
      </c>
      <c r="AB38" s="378" t="s">
        <v>270</v>
      </c>
      <c r="AC38" s="392" t="s">
        <v>94</v>
      </c>
      <c r="AD38" s="121" t="s">
        <v>76</v>
      </c>
      <c r="AE38" s="121" t="s">
        <v>76</v>
      </c>
      <c r="AF38" s="121" t="s">
        <v>76</v>
      </c>
      <c r="AG38" s="121" t="s">
        <v>76</v>
      </c>
    </row>
    <row r="39" spans="1:33" ht="18">
      <c r="A39" s="5">
        <v>38</v>
      </c>
      <c r="B39" s="186" t="s">
        <v>142</v>
      </c>
      <c r="C39" s="7">
        <v>0</v>
      </c>
      <c r="D39" s="7">
        <v>0</v>
      </c>
      <c r="E39" s="7">
        <f t="shared" si="1"/>
        <v>0</v>
      </c>
      <c r="F39" s="427" t="s">
        <v>108</v>
      </c>
      <c r="G39" s="134" t="s">
        <v>69</v>
      </c>
      <c r="H39" s="134" t="s">
        <v>69</v>
      </c>
      <c r="I39" s="168" t="s">
        <v>69</v>
      </c>
      <c r="J39" s="168" t="s">
        <v>69</v>
      </c>
      <c r="K39" s="168" t="s">
        <v>69</v>
      </c>
      <c r="L39" s="168" t="s">
        <v>69</v>
      </c>
      <c r="M39" s="329" t="s">
        <v>108</v>
      </c>
      <c r="N39" s="147" t="s">
        <v>92</v>
      </c>
      <c r="O39" s="134" t="s">
        <v>69</v>
      </c>
      <c r="P39" s="134" t="s">
        <v>69</v>
      </c>
      <c r="Q39" s="134" t="s">
        <v>69</v>
      </c>
      <c r="R39" s="134" t="s">
        <v>69</v>
      </c>
      <c r="S39" s="134" t="s">
        <v>69</v>
      </c>
      <c r="T39" s="329" t="s">
        <v>108</v>
      </c>
      <c r="U39" s="120" t="s">
        <v>69</v>
      </c>
      <c r="V39" s="120" t="s">
        <v>69</v>
      </c>
      <c r="W39" s="120" t="s">
        <v>69</v>
      </c>
      <c r="X39" s="120" t="s">
        <v>69</v>
      </c>
      <c r="Y39" s="120" t="s">
        <v>69</v>
      </c>
      <c r="Z39" s="120" t="s">
        <v>69</v>
      </c>
      <c r="AA39" s="388" t="s">
        <v>108</v>
      </c>
      <c r="AB39" s="378" t="s">
        <v>69</v>
      </c>
      <c r="AC39" s="378" t="s">
        <v>69</v>
      </c>
      <c r="AD39" s="378" t="s">
        <v>69</v>
      </c>
      <c r="AE39" s="378" t="s">
        <v>69</v>
      </c>
      <c r="AF39" s="378" t="s">
        <v>69</v>
      </c>
      <c r="AG39" s="378" t="s">
        <v>69</v>
      </c>
    </row>
    <row r="40" spans="1:33" ht="18">
      <c r="A40" s="5">
        <v>39</v>
      </c>
      <c r="B40" s="186" t="s">
        <v>33</v>
      </c>
      <c r="C40" s="7">
        <v>2</v>
      </c>
      <c r="D40" s="7">
        <v>2</v>
      </c>
      <c r="E40" s="7">
        <f t="shared" si="1"/>
        <v>0</v>
      </c>
      <c r="F40" s="427" t="s">
        <v>108</v>
      </c>
      <c r="G40" s="134" t="s">
        <v>69</v>
      </c>
      <c r="H40" s="134" t="s">
        <v>69</v>
      </c>
      <c r="I40" s="168" t="s">
        <v>69</v>
      </c>
      <c r="J40" s="168" t="s">
        <v>69</v>
      </c>
      <c r="K40" s="168" t="s">
        <v>69</v>
      </c>
      <c r="L40" s="168" t="s">
        <v>69</v>
      </c>
      <c r="M40" s="329" t="s">
        <v>108</v>
      </c>
      <c r="N40" s="134" t="s">
        <v>69</v>
      </c>
      <c r="O40" s="134" t="s">
        <v>69</v>
      </c>
      <c r="P40" s="134" t="s">
        <v>69</v>
      </c>
      <c r="Q40" s="134" t="s">
        <v>69</v>
      </c>
      <c r="R40" s="134" t="s">
        <v>69</v>
      </c>
      <c r="S40" s="134" t="s">
        <v>69</v>
      </c>
      <c r="T40" s="329" t="s">
        <v>108</v>
      </c>
      <c r="U40" s="120" t="s">
        <v>69</v>
      </c>
      <c r="V40" s="379" t="s">
        <v>72</v>
      </c>
      <c r="W40" s="120" t="s">
        <v>69</v>
      </c>
      <c r="X40" s="120" t="s">
        <v>69</v>
      </c>
      <c r="Y40" s="120" t="s">
        <v>69</v>
      </c>
      <c r="Z40" s="120" t="s">
        <v>69</v>
      </c>
      <c r="AA40" s="388" t="s">
        <v>108</v>
      </c>
      <c r="AB40" s="378" t="s">
        <v>69</v>
      </c>
      <c r="AC40" s="379" t="s">
        <v>72</v>
      </c>
      <c r="AD40" s="378" t="s">
        <v>69</v>
      </c>
      <c r="AE40" s="378" t="s">
        <v>69</v>
      </c>
      <c r="AF40" s="378" t="s">
        <v>69</v>
      </c>
      <c r="AG40" s="378" t="s">
        <v>69</v>
      </c>
    </row>
    <row r="41" spans="1:33" ht="18">
      <c r="A41" s="5">
        <v>40</v>
      </c>
      <c r="B41" s="186" t="s">
        <v>271</v>
      </c>
      <c r="C41" s="7">
        <v>15</v>
      </c>
      <c r="D41" s="7">
        <v>0</v>
      </c>
      <c r="E41" s="7">
        <f t="shared" si="1"/>
        <v>15</v>
      </c>
      <c r="F41" s="427" t="s">
        <v>108</v>
      </c>
      <c r="G41" s="121" t="s">
        <v>72</v>
      </c>
      <c r="H41" s="121" t="s">
        <v>72</v>
      </c>
      <c r="I41" s="121" t="s">
        <v>72</v>
      </c>
      <c r="J41" s="121" t="s">
        <v>72</v>
      </c>
      <c r="K41" s="121" t="s">
        <v>72</v>
      </c>
      <c r="L41" s="121" t="s">
        <v>72</v>
      </c>
      <c r="M41" s="329" t="s">
        <v>108</v>
      </c>
      <c r="N41" s="121" t="s">
        <v>72</v>
      </c>
      <c r="O41" s="121" t="s">
        <v>72</v>
      </c>
      <c r="P41" s="121" t="s">
        <v>72</v>
      </c>
      <c r="Q41" s="121" t="s">
        <v>72</v>
      </c>
      <c r="R41" s="121" t="s">
        <v>72</v>
      </c>
      <c r="S41" s="121" t="s">
        <v>72</v>
      </c>
      <c r="T41" s="329" t="s">
        <v>108</v>
      </c>
      <c r="U41" s="378" t="s">
        <v>69</v>
      </c>
      <c r="V41" s="378" t="s">
        <v>69</v>
      </c>
      <c r="W41" s="378" t="s">
        <v>69</v>
      </c>
      <c r="X41" s="392" t="s">
        <v>270</v>
      </c>
      <c r="Y41" s="120" t="s">
        <v>69</v>
      </c>
      <c r="Z41" s="120" t="s">
        <v>69</v>
      </c>
      <c r="AA41" s="388" t="s">
        <v>108</v>
      </c>
      <c r="AB41" s="378" t="s">
        <v>69</v>
      </c>
      <c r="AC41" s="378" t="s">
        <v>69</v>
      </c>
      <c r="AD41" s="378" t="s">
        <v>69</v>
      </c>
      <c r="AE41" s="378" t="s">
        <v>69</v>
      </c>
      <c r="AF41" s="378" t="s">
        <v>69</v>
      </c>
      <c r="AG41" s="378" t="s">
        <v>69</v>
      </c>
    </row>
    <row r="42" spans="1:33" ht="18">
      <c r="A42" s="5">
        <v>41</v>
      </c>
      <c r="B42" s="186" t="s">
        <v>35</v>
      </c>
      <c r="C42" s="7">
        <v>3</v>
      </c>
      <c r="D42">
        <v>1</v>
      </c>
      <c r="E42" s="7">
        <f t="shared" si="1"/>
        <v>2</v>
      </c>
      <c r="F42" s="427" t="s">
        <v>108</v>
      </c>
      <c r="G42" s="121" t="s">
        <v>72</v>
      </c>
      <c r="H42" s="134" t="s">
        <v>69</v>
      </c>
      <c r="I42" s="168" t="s">
        <v>69</v>
      </c>
      <c r="J42" s="168" t="s">
        <v>69</v>
      </c>
      <c r="K42" s="168" t="s">
        <v>69</v>
      </c>
      <c r="L42" s="168" t="s">
        <v>69</v>
      </c>
      <c r="M42" s="329" t="s">
        <v>108</v>
      </c>
      <c r="N42" s="134" t="s">
        <v>69</v>
      </c>
      <c r="O42" s="134" t="s">
        <v>69</v>
      </c>
      <c r="P42" s="134" t="s">
        <v>69</v>
      </c>
      <c r="Q42" s="379" t="s">
        <v>72</v>
      </c>
      <c r="R42" s="389" t="s">
        <v>69</v>
      </c>
      <c r="S42" s="121" t="s">
        <v>72</v>
      </c>
      <c r="T42" s="329" t="s">
        <v>108</v>
      </c>
      <c r="U42" s="378" t="s">
        <v>69</v>
      </c>
      <c r="V42" s="378" t="s">
        <v>69</v>
      </c>
      <c r="W42" s="378" t="s">
        <v>69</v>
      </c>
      <c r="X42" s="378" t="s">
        <v>69</v>
      </c>
      <c r="Y42" s="378" t="s">
        <v>69</v>
      </c>
      <c r="Z42" s="378" t="s">
        <v>69</v>
      </c>
      <c r="AA42" s="388" t="s">
        <v>108</v>
      </c>
      <c r="AB42" s="378" t="s">
        <v>69</v>
      </c>
      <c r="AC42" s="378" t="s">
        <v>69</v>
      </c>
      <c r="AD42" s="378" t="s">
        <v>69</v>
      </c>
      <c r="AE42" s="378" t="s">
        <v>69</v>
      </c>
      <c r="AF42" s="378" t="s">
        <v>69</v>
      </c>
      <c r="AG42" s="378" t="s">
        <v>69</v>
      </c>
    </row>
    <row r="43" spans="1:33" ht="18">
      <c r="A43" s="5">
        <v>42</v>
      </c>
      <c r="B43" s="186" t="s">
        <v>118</v>
      </c>
      <c r="C43" s="7">
        <v>0</v>
      </c>
      <c r="D43" s="7">
        <v>0</v>
      </c>
      <c r="E43" s="7">
        <f t="shared" si="1"/>
        <v>0</v>
      </c>
      <c r="F43" s="427" t="s">
        <v>108</v>
      </c>
      <c r="G43" s="134" t="s">
        <v>69</v>
      </c>
      <c r="H43" s="134" t="s">
        <v>69</v>
      </c>
      <c r="I43" s="168" t="s">
        <v>69</v>
      </c>
      <c r="J43" s="168" t="s">
        <v>69</v>
      </c>
      <c r="K43" s="168" t="s">
        <v>69</v>
      </c>
      <c r="L43" s="168" t="s">
        <v>69</v>
      </c>
      <c r="M43" s="329" t="s">
        <v>108</v>
      </c>
      <c r="N43" s="134" t="s">
        <v>69</v>
      </c>
      <c r="O43" s="134" t="s">
        <v>69</v>
      </c>
      <c r="P43" s="134" t="s">
        <v>69</v>
      </c>
      <c r="Q43" s="389" t="s">
        <v>151</v>
      </c>
      <c r="R43" s="389" t="s">
        <v>69</v>
      </c>
      <c r="S43" s="389" t="s">
        <v>69</v>
      </c>
      <c r="T43" s="329" t="s">
        <v>108</v>
      </c>
      <c r="U43" s="378" t="s">
        <v>69</v>
      </c>
      <c r="V43" s="378" t="s">
        <v>69</v>
      </c>
      <c r="W43" s="378" t="s">
        <v>69</v>
      </c>
      <c r="X43" s="378" t="s">
        <v>69</v>
      </c>
      <c r="Y43" s="378" t="s">
        <v>69</v>
      </c>
      <c r="Z43" s="378" t="s">
        <v>69</v>
      </c>
      <c r="AA43" s="388" t="s">
        <v>108</v>
      </c>
      <c r="AB43" s="378" t="s">
        <v>69</v>
      </c>
      <c r="AC43" s="378" t="s">
        <v>69</v>
      </c>
      <c r="AD43" s="378" t="s">
        <v>69</v>
      </c>
      <c r="AE43" s="378" t="s">
        <v>69</v>
      </c>
      <c r="AF43" s="378" t="s">
        <v>69</v>
      </c>
      <c r="AG43" s="378" t="s">
        <v>69</v>
      </c>
    </row>
    <row r="44" spans="1:33" ht="18">
      <c r="A44" s="5">
        <v>43</v>
      </c>
      <c r="B44" s="186" t="s">
        <v>223</v>
      </c>
      <c r="C44" s="7">
        <v>2</v>
      </c>
      <c r="D44" s="7">
        <v>1</v>
      </c>
      <c r="E44" s="7">
        <f t="shared" si="1"/>
        <v>1</v>
      </c>
      <c r="F44" s="427" t="s">
        <v>108</v>
      </c>
      <c r="G44" s="134" t="s">
        <v>69</v>
      </c>
      <c r="H44" s="134" t="s">
        <v>69</v>
      </c>
      <c r="I44" s="168" t="s">
        <v>69</v>
      </c>
      <c r="J44" s="168" t="s">
        <v>69</v>
      </c>
      <c r="K44" s="168" t="s">
        <v>69</v>
      </c>
      <c r="L44" s="168" t="s">
        <v>69</v>
      </c>
      <c r="M44" s="329" t="s">
        <v>108</v>
      </c>
      <c r="N44" s="134" t="s">
        <v>69</v>
      </c>
      <c r="O44" s="134" t="s">
        <v>69</v>
      </c>
      <c r="P44" s="134" t="s">
        <v>69</v>
      </c>
      <c r="Q44" s="134" t="s">
        <v>69</v>
      </c>
      <c r="R44" s="379" t="s">
        <v>72</v>
      </c>
      <c r="S44" s="389" t="s">
        <v>69</v>
      </c>
      <c r="T44" s="329" t="s">
        <v>108</v>
      </c>
      <c r="U44" s="378" t="s">
        <v>69</v>
      </c>
      <c r="V44" s="378" t="s">
        <v>69</v>
      </c>
      <c r="W44" s="378" t="s">
        <v>69</v>
      </c>
      <c r="X44" s="378" t="s">
        <v>69</v>
      </c>
      <c r="Y44" s="379" t="s">
        <v>72</v>
      </c>
      <c r="Z44" s="378" t="s">
        <v>69</v>
      </c>
      <c r="AA44" s="388" t="s">
        <v>108</v>
      </c>
      <c r="AB44" s="378" t="s">
        <v>69</v>
      </c>
      <c r="AC44" s="378" t="s">
        <v>69</v>
      </c>
      <c r="AD44" s="378" t="s">
        <v>69</v>
      </c>
      <c r="AE44" s="378" t="s">
        <v>69</v>
      </c>
      <c r="AF44" s="378" t="s">
        <v>69</v>
      </c>
      <c r="AG44" s="378" t="s">
        <v>69</v>
      </c>
    </row>
    <row r="45" spans="1:33" ht="18">
      <c r="A45" s="5">
        <v>44</v>
      </c>
      <c r="B45" s="186" t="s">
        <v>36</v>
      </c>
      <c r="C45" s="7">
        <v>2</v>
      </c>
      <c r="D45" s="7">
        <v>1</v>
      </c>
      <c r="E45" s="7">
        <f t="shared" si="1"/>
        <v>1</v>
      </c>
      <c r="F45" s="427" t="s">
        <v>108</v>
      </c>
      <c r="G45" s="134" t="s">
        <v>69</v>
      </c>
      <c r="H45" s="134" t="s">
        <v>69</v>
      </c>
      <c r="I45" s="168" t="s">
        <v>69</v>
      </c>
      <c r="J45" s="168" t="s">
        <v>69</v>
      </c>
      <c r="K45" s="121" t="s">
        <v>72</v>
      </c>
      <c r="L45" s="121" t="s">
        <v>72</v>
      </c>
      <c r="M45" s="329" t="s">
        <v>108</v>
      </c>
      <c r="N45" s="134" t="s">
        <v>69</v>
      </c>
      <c r="O45" s="134" t="s">
        <v>69</v>
      </c>
      <c r="P45" s="134" t="s">
        <v>69</v>
      </c>
      <c r="Q45" s="134" t="s">
        <v>69</v>
      </c>
      <c r="R45" s="134" t="s">
        <v>69</v>
      </c>
      <c r="S45" s="134" t="s">
        <v>69</v>
      </c>
      <c r="T45" s="329" t="s">
        <v>108</v>
      </c>
      <c r="U45" s="378" t="s">
        <v>69</v>
      </c>
      <c r="V45" s="378" t="s">
        <v>69</v>
      </c>
      <c r="W45" s="378" t="s">
        <v>69</v>
      </c>
      <c r="X45" s="378" t="s">
        <v>69</v>
      </c>
      <c r="Y45" s="378" t="s">
        <v>69</v>
      </c>
      <c r="Z45" s="378" t="s">
        <v>69</v>
      </c>
      <c r="AA45" s="388" t="s">
        <v>108</v>
      </c>
      <c r="AB45" s="378" t="s">
        <v>69</v>
      </c>
      <c r="AC45" s="378" t="s">
        <v>69</v>
      </c>
      <c r="AD45" s="378" t="s">
        <v>69</v>
      </c>
      <c r="AE45" s="378" t="s">
        <v>69</v>
      </c>
      <c r="AF45" s="378" t="s">
        <v>69</v>
      </c>
      <c r="AG45" s="378" t="s">
        <v>69</v>
      </c>
    </row>
    <row r="46" spans="1:33" ht="18">
      <c r="A46" s="5">
        <v>45</v>
      </c>
      <c r="B46" s="186" t="s">
        <v>239</v>
      </c>
      <c r="C46" s="7">
        <v>1</v>
      </c>
      <c r="D46" s="7">
        <v>1</v>
      </c>
      <c r="E46" s="7">
        <f t="shared" si="1"/>
        <v>0</v>
      </c>
      <c r="F46" s="427" t="s">
        <v>108</v>
      </c>
      <c r="G46" s="134" t="s">
        <v>69</v>
      </c>
      <c r="H46" s="134" t="s">
        <v>69</v>
      </c>
      <c r="I46" s="168" t="s">
        <v>69</v>
      </c>
      <c r="J46" s="168" t="s">
        <v>69</v>
      </c>
      <c r="K46" s="168" t="s">
        <v>69</v>
      </c>
      <c r="L46" s="168" t="s">
        <v>69</v>
      </c>
      <c r="M46" s="329" t="s">
        <v>108</v>
      </c>
      <c r="N46" s="134" t="s">
        <v>69</v>
      </c>
      <c r="O46" s="134" t="s">
        <v>69</v>
      </c>
      <c r="P46" s="134" t="s">
        <v>69</v>
      </c>
      <c r="Q46" s="134" t="s">
        <v>69</v>
      </c>
      <c r="R46" s="134" t="s">
        <v>121</v>
      </c>
      <c r="S46" s="134" t="s">
        <v>69</v>
      </c>
      <c r="T46" s="329" t="s">
        <v>108</v>
      </c>
      <c r="U46" s="378" t="s">
        <v>69</v>
      </c>
      <c r="V46" s="378" t="s">
        <v>69</v>
      </c>
      <c r="W46" s="121" t="s">
        <v>72</v>
      </c>
      <c r="X46" s="378" t="s">
        <v>69</v>
      </c>
      <c r="Y46" s="378" t="s">
        <v>69</v>
      </c>
      <c r="Z46" s="378" t="s">
        <v>69</v>
      </c>
      <c r="AA46" s="388" t="s">
        <v>108</v>
      </c>
      <c r="AB46" s="378" t="s">
        <v>69</v>
      </c>
      <c r="AC46" s="378" t="s">
        <v>69</v>
      </c>
      <c r="AD46" s="378" t="s">
        <v>69</v>
      </c>
      <c r="AE46" s="378" t="s">
        <v>69</v>
      </c>
      <c r="AF46" s="378" t="s">
        <v>69</v>
      </c>
      <c r="AG46" s="378" t="s">
        <v>69</v>
      </c>
    </row>
    <row r="47" spans="1:33" ht="18">
      <c r="A47" s="5">
        <v>46</v>
      </c>
      <c r="B47" s="186" t="s">
        <v>143</v>
      </c>
      <c r="C47" s="7">
        <v>2</v>
      </c>
      <c r="D47" s="7">
        <v>1</v>
      </c>
      <c r="E47" s="7">
        <f t="shared" si="1"/>
        <v>1</v>
      </c>
      <c r="F47" s="427" t="s">
        <v>108</v>
      </c>
      <c r="G47" s="121" t="s">
        <v>72</v>
      </c>
      <c r="H47" s="121" t="s">
        <v>72</v>
      </c>
      <c r="I47" s="419" t="s">
        <v>69</v>
      </c>
      <c r="J47" s="419" t="s">
        <v>69</v>
      </c>
      <c r="K47" s="419" t="s">
        <v>69</v>
      </c>
      <c r="L47" s="419" t="s">
        <v>69</v>
      </c>
      <c r="M47" s="329" t="s">
        <v>108</v>
      </c>
      <c r="N47" s="120" t="s">
        <v>69</v>
      </c>
      <c r="O47" s="120" t="s">
        <v>69</v>
      </c>
      <c r="P47" s="120" t="s">
        <v>69</v>
      </c>
      <c r="Q47" s="120" t="s">
        <v>69</v>
      </c>
      <c r="R47" s="120" t="s">
        <v>69</v>
      </c>
      <c r="S47" s="120" t="s">
        <v>69</v>
      </c>
      <c r="T47" s="329" t="s">
        <v>108</v>
      </c>
      <c r="U47" s="378" t="s">
        <v>69</v>
      </c>
      <c r="V47" s="378" t="s">
        <v>69</v>
      </c>
      <c r="W47" s="378" t="s">
        <v>69</v>
      </c>
      <c r="X47" s="378" t="s">
        <v>69</v>
      </c>
      <c r="Y47" s="378" t="s">
        <v>69</v>
      </c>
      <c r="Z47" s="378" t="s">
        <v>69</v>
      </c>
      <c r="AA47" s="388" t="s">
        <v>108</v>
      </c>
      <c r="AB47" s="378" t="s">
        <v>69</v>
      </c>
      <c r="AC47" s="378" t="s">
        <v>69</v>
      </c>
      <c r="AD47" s="378" t="s">
        <v>69</v>
      </c>
      <c r="AE47" s="378" t="s">
        <v>69</v>
      </c>
      <c r="AF47" s="378" t="s">
        <v>69</v>
      </c>
      <c r="AG47" s="378" t="s">
        <v>69</v>
      </c>
    </row>
    <row r="48" spans="1:33" ht="18">
      <c r="A48" s="5">
        <v>47</v>
      </c>
      <c r="B48" s="257" t="s">
        <v>272</v>
      </c>
      <c r="C48" s="7"/>
      <c r="D48" s="7"/>
      <c r="E48" s="7">
        <f t="shared" si="1"/>
        <v>0</v>
      </c>
      <c r="F48" s="427" t="s">
        <v>108</v>
      </c>
      <c r="G48" s="121" t="s">
        <v>72</v>
      </c>
      <c r="H48" s="121" t="s">
        <v>76</v>
      </c>
      <c r="I48" s="121" t="s">
        <v>76</v>
      </c>
      <c r="J48" s="121" t="s">
        <v>76</v>
      </c>
      <c r="K48" s="121" t="s">
        <v>76</v>
      </c>
      <c r="L48" s="121" t="s">
        <v>76</v>
      </c>
      <c r="M48" s="329" t="s">
        <v>108</v>
      </c>
      <c r="N48" s="121" t="s">
        <v>76</v>
      </c>
      <c r="O48" s="121" t="s">
        <v>76</v>
      </c>
      <c r="P48" s="121" t="s">
        <v>76</v>
      </c>
      <c r="Q48" s="121" t="s">
        <v>76</v>
      </c>
      <c r="R48" s="121" t="s">
        <v>76</v>
      </c>
      <c r="S48" s="121" t="s">
        <v>76</v>
      </c>
      <c r="T48" s="329" t="s">
        <v>108</v>
      </c>
      <c r="U48" s="121" t="s">
        <v>76</v>
      </c>
      <c r="V48" s="121" t="s">
        <v>76</v>
      </c>
      <c r="W48" s="121" t="s">
        <v>76</v>
      </c>
      <c r="X48" s="121" t="s">
        <v>76</v>
      </c>
      <c r="Y48" s="121" t="s">
        <v>76</v>
      </c>
      <c r="Z48" s="121" t="s">
        <v>76</v>
      </c>
      <c r="AA48" s="388" t="s">
        <v>108</v>
      </c>
      <c r="AB48" s="379" t="s">
        <v>76</v>
      </c>
      <c r="AC48" s="379" t="s">
        <v>76</v>
      </c>
      <c r="AD48" s="379" t="s">
        <v>76</v>
      </c>
      <c r="AE48" s="379" t="s">
        <v>76</v>
      </c>
      <c r="AF48" s="379" t="s">
        <v>76</v>
      </c>
      <c r="AG48" s="379" t="s">
        <v>76</v>
      </c>
    </row>
    <row r="49" spans="1:33" ht="18">
      <c r="A49" s="5">
        <v>48</v>
      </c>
      <c r="B49" s="186" t="s">
        <v>255</v>
      </c>
      <c r="C49" s="7">
        <v>2.5</v>
      </c>
      <c r="D49" s="7">
        <v>1</v>
      </c>
      <c r="E49" s="7">
        <f t="shared" si="1"/>
        <v>1.5</v>
      </c>
      <c r="F49" s="427" t="s">
        <v>108</v>
      </c>
      <c r="G49" s="672" t="s">
        <v>69</v>
      </c>
      <c r="H49" s="672" t="s">
        <v>69</v>
      </c>
      <c r="I49" s="120" t="s">
        <v>69</v>
      </c>
      <c r="J49" s="120" t="s">
        <v>69</v>
      </c>
      <c r="K49" s="120" t="s">
        <v>69</v>
      </c>
      <c r="L49" s="120" t="s">
        <v>69</v>
      </c>
      <c r="M49" s="329" t="s">
        <v>108</v>
      </c>
      <c r="N49" s="378" t="s">
        <v>69</v>
      </c>
      <c r="O49" s="379" t="s">
        <v>72</v>
      </c>
      <c r="P49" s="134" t="s">
        <v>69</v>
      </c>
      <c r="Q49" s="134" t="s">
        <v>69</v>
      </c>
      <c r="R49" s="378" t="s">
        <v>69</v>
      </c>
      <c r="S49" s="431" t="s">
        <v>73</v>
      </c>
      <c r="T49" s="329" t="s">
        <v>108</v>
      </c>
      <c r="U49" s="418" t="s">
        <v>72</v>
      </c>
      <c r="V49" s="409" t="s">
        <v>69</v>
      </c>
      <c r="W49" s="409" t="s">
        <v>69</v>
      </c>
      <c r="X49" s="378" t="s">
        <v>69</v>
      </c>
      <c r="Y49" s="378" t="s">
        <v>69</v>
      </c>
      <c r="Z49" s="378" t="s">
        <v>69</v>
      </c>
      <c r="AA49" s="388" t="s">
        <v>108</v>
      </c>
      <c r="AB49" s="378" t="s">
        <v>69</v>
      </c>
      <c r="AC49" s="378" t="s">
        <v>69</v>
      </c>
      <c r="AD49" s="378" t="s">
        <v>69</v>
      </c>
      <c r="AE49" s="378" t="s">
        <v>69</v>
      </c>
      <c r="AF49" s="378" t="s">
        <v>69</v>
      </c>
      <c r="AG49" s="378" t="s">
        <v>69</v>
      </c>
    </row>
    <row r="50" spans="1:33" ht="18">
      <c r="A50" s="5">
        <v>49</v>
      </c>
      <c r="B50" s="254" t="s">
        <v>38</v>
      </c>
      <c r="C50" s="7">
        <v>5</v>
      </c>
      <c r="D50" s="7">
        <v>5</v>
      </c>
      <c r="E50" s="7">
        <f t="shared" si="1"/>
        <v>0</v>
      </c>
      <c r="F50" s="427" t="s">
        <v>108</v>
      </c>
      <c r="G50" s="134" t="s">
        <v>69</v>
      </c>
      <c r="H50" s="134" t="s">
        <v>69</v>
      </c>
      <c r="I50" s="121" t="s">
        <v>72</v>
      </c>
      <c r="J50" s="120" t="s">
        <v>69</v>
      </c>
      <c r="K50" s="120" t="s">
        <v>69</v>
      </c>
      <c r="L50" s="120" t="s">
        <v>69</v>
      </c>
      <c r="M50" s="329" t="s">
        <v>108</v>
      </c>
      <c r="N50" s="378" t="s">
        <v>69</v>
      </c>
      <c r="O50" s="378" t="s">
        <v>69</v>
      </c>
      <c r="P50" s="378" t="s">
        <v>69</v>
      </c>
      <c r="Q50" s="378" t="s">
        <v>69</v>
      </c>
      <c r="R50" s="378" t="s">
        <v>69</v>
      </c>
      <c r="S50" s="378" t="s">
        <v>69</v>
      </c>
      <c r="T50" s="329" t="s">
        <v>108</v>
      </c>
      <c r="U50" s="378" t="s">
        <v>69</v>
      </c>
      <c r="V50" s="378" t="s">
        <v>69</v>
      </c>
      <c r="W50" s="378" t="s">
        <v>69</v>
      </c>
      <c r="X50" s="378" t="s">
        <v>69</v>
      </c>
      <c r="Y50" s="378" t="s">
        <v>69</v>
      </c>
      <c r="Z50" s="378" t="s">
        <v>69</v>
      </c>
      <c r="AA50" s="388" t="s">
        <v>108</v>
      </c>
      <c r="AB50" s="379" t="s">
        <v>72</v>
      </c>
      <c r="AC50" s="379" t="s">
        <v>72</v>
      </c>
      <c r="AD50" s="379" t="s">
        <v>72</v>
      </c>
      <c r="AE50" s="379" t="s">
        <v>72</v>
      </c>
      <c r="AF50" s="378" t="s">
        <v>69</v>
      </c>
      <c r="AG50" s="378" t="s">
        <v>69</v>
      </c>
    </row>
    <row r="51" spans="1:33" ht="18">
      <c r="A51" s="5">
        <v>50</v>
      </c>
      <c r="B51" s="254" t="s">
        <v>39</v>
      </c>
      <c r="C51" s="7">
        <v>0</v>
      </c>
      <c r="D51" s="7">
        <v>0</v>
      </c>
      <c r="E51" s="7">
        <f t="shared" si="1"/>
        <v>0</v>
      </c>
      <c r="F51" s="427" t="s">
        <v>108</v>
      </c>
      <c r="G51" s="134" t="s">
        <v>69</v>
      </c>
      <c r="H51" s="134" t="s">
        <v>69</v>
      </c>
      <c r="I51" s="168" t="s">
        <v>69</v>
      </c>
      <c r="J51" s="168" t="s">
        <v>69</v>
      </c>
      <c r="K51" s="168" t="s">
        <v>69</v>
      </c>
      <c r="L51" s="168" t="s">
        <v>69</v>
      </c>
      <c r="M51" s="329" t="s">
        <v>108</v>
      </c>
      <c r="N51" s="378" t="s">
        <v>69</v>
      </c>
      <c r="O51" s="378" t="s">
        <v>69</v>
      </c>
      <c r="P51" s="378" t="s">
        <v>69</v>
      </c>
      <c r="Q51" s="378" t="s">
        <v>69</v>
      </c>
      <c r="R51" s="378" t="s">
        <v>69</v>
      </c>
      <c r="S51" s="378" t="s">
        <v>69</v>
      </c>
      <c r="T51" s="329" t="s">
        <v>108</v>
      </c>
      <c r="U51" s="378" t="s">
        <v>69</v>
      </c>
      <c r="V51" s="378" t="s">
        <v>69</v>
      </c>
      <c r="W51" s="378" t="s">
        <v>69</v>
      </c>
      <c r="X51" s="378" t="s">
        <v>69</v>
      </c>
      <c r="Y51" s="378" t="s">
        <v>69</v>
      </c>
      <c r="Z51" s="378" t="s">
        <v>69</v>
      </c>
      <c r="AA51" s="388" t="s">
        <v>108</v>
      </c>
      <c r="AB51" s="378" t="s">
        <v>69</v>
      </c>
      <c r="AC51" s="378" t="s">
        <v>69</v>
      </c>
      <c r="AD51" s="378" t="s">
        <v>69</v>
      </c>
      <c r="AE51" s="378" t="s">
        <v>69</v>
      </c>
      <c r="AF51" s="378" t="s">
        <v>69</v>
      </c>
      <c r="AG51" s="378" t="s">
        <v>69</v>
      </c>
    </row>
    <row r="52" spans="1:33" ht="18">
      <c r="A52" s="5">
        <v>51</v>
      </c>
      <c r="B52" s="254" t="s">
        <v>40</v>
      </c>
      <c r="C52" s="7">
        <v>1</v>
      </c>
      <c r="D52" s="7">
        <v>1</v>
      </c>
      <c r="E52" s="7">
        <f t="shared" si="1"/>
        <v>0</v>
      </c>
      <c r="F52" s="427" t="s">
        <v>108</v>
      </c>
      <c r="G52" s="134" t="s">
        <v>69</v>
      </c>
      <c r="H52" s="134" t="s">
        <v>69</v>
      </c>
      <c r="I52" s="168" t="s">
        <v>69</v>
      </c>
      <c r="J52" s="168" t="s">
        <v>69</v>
      </c>
      <c r="K52" s="168" t="s">
        <v>69</v>
      </c>
      <c r="L52" s="168" t="s">
        <v>69</v>
      </c>
      <c r="M52" s="329" t="s">
        <v>108</v>
      </c>
      <c r="N52" s="378" t="s">
        <v>69</v>
      </c>
      <c r="O52" s="378" t="s">
        <v>69</v>
      </c>
      <c r="P52" s="121" t="s">
        <v>72</v>
      </c>
      <c r="Q52" s="378" t="s">
        <v>69</v>
      </c>
      <c r="R52" s="378" t="s">
        <v>69</v>
      </c>
      <c r="S52" s="378" t="s">
        <v>69</v>
      </c>
      <c r="T52" s="329" t="s">
        <v>108</v>
      </c>
      <c r="U52" s="378" t="s">
        <v>69</v>
      </c>
      <c r="V52" s="378" t="s">
        <v>69</v>
      </c>
      <c r="W52" s="378" t="s">
        <v>69</v>
      </c>
      <c r="X52" s="378" t="s">
        <v>69</v>
      </c>
      <c r="Y52" s="378" t="s">
        <v>69</v>
      </c>
      <c r="Z52" s="378" t="s">
        <v>69</v>
      </c>
      <c r="AA52" s="388" t="s">
        <v>108</v>
      </c>
      <c r="AB52" s="378" t="s">
        <v>69</v>
      </c>
      <c r="AC52" s="378" t="s">
        <v>69</v>
      </c>
      <c r="AD52" s="378" t="s">
        <v>69</v>
      </c>
      <c r="AE52" s="378" t="s">
        <v>69</v>
      </c>
      <c r="AF52" s="378" t="s">
        <v>69</v>
      </c>
      <c r="AG52" s="378" t="s">
        <v>69</v>
      </c>
    </row>
    <row r="53" spans="1:33" ht="18">
      <c r="A53" s="5">
        <v>52</v>
      </c>
      <c r="B53" s="408" t="s">
        <v>256</v>
      </c>
      <c r="C53" s="7">
        <v>3</v>
      </c>
      <c r="D53" s="7">
        <v>1</v>
      </c>
      <c r="E53" s="7">
        <f t="shared" si="1"/>
        <v>2</v>
      </c>
      <c r="F53" s="427" t="s">
        <v>108</v>
      </c>
      <c r="G53" s="134" t="s">
        <v>69</v>
      </c>
      <c r="H53" s="134" t="s">
        <v>69</v>
      </c>
      <c r="I53" s="121" t="s">
        <v>72</v>
      </c>
      <c r="J53" s="168" t="s">
        <v>69</v>
      </c>
      <c r="K53" s="168" t="s">
        <v>69</v>
      </c>
      <c r="L53" s="121" t="s">
        <v>72</v>
      </c>
      <c r="M53" s="329" t="s">
        <v>108</v>
      </c>
      <c r="N53" s="121" t="s">
        <v>72</v>
      </c>
      <c r="O53" s="378" t="s">
        <v>69</v>
      </c>
      <c r="P53" s="378" t="s">
        <v>69</v>
      </c>
      <c r="Q53" s="378" t="s">
        <v>69</v>
      </c>
      <c r="R53" s="378" t="s">
        <v>69</v>
      </c>
      <c r="S53" s="378" t="s">
        <v>69</v>
      </c>
      <c r="T53" s="329" t="s">
        <v>108</v>
      </c>
      <c r="U53" s="378" t="s">
        <v>69</v>
      </c>
      <c r="V53" s="378" t="s">
        <v>69</v>
      </c>
      <c r="W53" s="378" t="s">
        <v>69</v>
      </c>
      <c r="X53" s="378" t="s">
        <v>69</v>
      </c>
      <c r="Y53" s="378" t="s">
        <v>69</v>
      </c>
      <c r="Z53" s="378" t="s">
        <v>69</v>
      </c>
      <c r="AA53" s="388" t="s">
        <v>108</v>
      </c>
      <c r="AB53" s="378" t="s">
        <v>69</v>
      </c>
      <c r="AC53" s="378" t="s">
        <v>69</v>
      </c>
      <c r="AD53" s="378" t="s">
        <v>69</v>
      </c>
      <c r="AE53" s="378" t="s">
        <v>69</v>
      </c>
      <c r="AF53" s="378" t="s">
        <v>69</v>
      </c>
      <c r="AG53" s="378" t="s">
        <v>69</v>
      </c>
    </row>
    <row r="54" spans="1:33" ht="18">
      <c r="A54" s="5">
        <v>53</v>
      </c>
      <c r="B54" s="359" t="s">
        <v>227</v>
      </c>
      <c r="C54" s="7">
        <v>2</v>
      </c>
      <c r="D54" s="7">
        <v>1</v>
      </c>
      <c r="E54" s="7">
        <f t="shared" si="1"/>
        <v>1</v>
      </c>
      <c r="F54" s="427" t="s">
        <v>108</v>
      </c>
      <c r="G54" s="134" t="s">
        <v>69</v>
      </c>
      <c r="H54" s="134" t="s">
        <v>69</v>
      </c>
      <c r="I54" s="168" t="s">
        <v>69</v>
      </c>
      <c r="J54" s="168" t="s">
        <v>69</v>
      </c>
      <c r="K54" s="131" t="s">
        <v>72</v>
      </c>
      <c r="L54" s="409" t="s">
        <v>69</v>
      </c>
      <c r="M54" s="329" t="s">
        <v>108</v>
      </c>
      <c r="N54" s="409" t="s">
        <v>69</v>
      </c>
      <c r="O54" s="409" t="s">
        <v>69</v>
      </c>
      <c r="P54" s="409" t="s">
        <v>69</v>
      </c>
      <c r="Q54" s="409" t="s">
        <v>69</v>
      </c>
      <c r="R54" s="409" t="s">
        <v>69</v>
      </c>
      <c r="S54" s="409" t="s">
        <v>69</v>
      </c>
      <c r="T54" s="329" t="s">
        <v>108</v>
      </c>
      <c r="U54" s="378" t="s">
        <v>69</v>
      </c>
      <c r="V54" s="378" t="s">
        <v>69</v>
      </c>
      <c r="W54" s="378" t="s">
        <v>69</v>
      </c>
      <c r="X54" s="378" t="s">
        <v>69</v>
      </c>
      <c r="Y54" s="378" t="s">
        <v>69</v>
      </c>
      <c r="Z54" s="378" t="s">
        <v>69</v>
      </c>
      <c r="AA54" s="388" t="s">
        <v>108</v>
      </c>
      <c r="AB54" s="378" t="s">
        <v>69</v>
      </c>
      <c r="AC54" s="378" t="s">
        <v>69</v>
      </c>
      <c r="AD54" s="378" t="s">
        <v>69</v>
      </c>
      <c r="AE54" s="378" t="s">
        <v>69</v>
      </c>
      <c r="AF54" s="379" t="s">
        <v>72</v>
      </c>
      <c r="AG54" s="378" t="s">
        <v>69</v>
      </c>
    </row>
    <row r="55" spans="1:33" ht="18">
      <c r="A55" s="5">
        <v>54</v>
      </c>
      <c r="B55" s="186" t="s">
        <v>41</v>
      </c>
      <c r="C55" s="7">
        <v>2</v>
      </c>
      <c r="D55" s="7">
        <v>2</v>
      </c>
      <c r="E55" s="7">
        <f t="shared" si="1"/>
        <v>0</v>
      </c>
      <c r="F55" s="427" t="s">
        <v>108</v>
      </c>
      <c r="G55" s="134" t="s">
        <v>69</v>
      </c>
      <c r="H55" s="168" t="s">
        <v>69</v>
      </c>
      <c r="I55" s="168" t="s">
        <v>69</v>
      </c>
      <c r="J55" s="168" t="s">
        <v>69</v>
      </c>
      <c r="K55" s="168" t="s">
        <v>69</v>
      </c>
      <c r="L55" s="168" t="s">
        <v>69</v>
      </c>
      <c r="M55" s="329" t="s">
        <v>108</v>
      </c>
      <c r="N55" s="409" t="s">
        <v>69</v>
      </c>
      <c r="O55" s="409" t="s">
        <v>69</v>
      </c>
      <c r="P55" s="409" t="s">
        <v>69</v>
      </c>
      <c r="Q55" s="409" t="s">
        <v>69</v>
      </c>
      <c r="R55" s="409" t="s">
        <v>69</v>
      </c>
      <c r="S55" s="409" t="s">
        <v>69</v>
      </c>
      <c r="T55" s="329" t="s">
        <v>108</v>
      </c>
      <c r="U55" s="379" t="s">
        <v>72</v>
      </c>
      <c r="V55" s="378" t="s">
        <v>69</v>
      </c>
      <c r="W55" s="378" t="s">
        <v>69</v>
      </c>
      <c r="X55" s="378" t="s">
        <v>69</v>
      </c>
      <c r="Y55" s="378" t="s">
        <v>69</v>
      </c>
      <c r="Z55" s="378" t="s">
        <v>69</v>
      </c>
      <c r="AA55" s="388" t="s">
        <v>108</v>
      </c>
      <c r="AB55" s="379" t="s">
        <v>72</v>
      </c>
      <c r="AC55" s="378" t="s">
        <v>69</v>
      </c>
      <c r="AD55" s="378" t="s">
        <v>69</v>
      </c>
      <c r="AE55" s="378" t="s">
        <v>69</v>
      </c>
      <c r="AF55" s="378" t="s">
        <v>69</v>
      </c>
      <c r="AG55" s="378" t="s">
        <v>69</v>
      </c>
    </row>
    <row r="56" spans="1:33" ht="18">
      <c r="A56" s="5">
        <v>55</v>
      </c>
      <c r="B56" s="186" t="s">
        <v>241</v>
      </c>
      <c r="C56" s="7">
        <v>2</v>
      </c>
      <c r="D56" s="7">
        <v>1</v>
      </c>
      <c r="E56" s="7">
        <f t="shared" si="1"/>
        <v>1</v>
      </c>
      <c r="F56" s="427" t="s">
        <v>108</v>
      </c>
      <c r="G56" s="134" t="s">
        <v>69</v>
      </c>
      <c r="H56" s="134" t="s">
        <v>69</v>
      </c>
      <c r="I56" s="168" t="s">
        <v>69</v>
      </c>
      <c r="J56" s="168" t="s">
        <v>69</v>
      </c>
      <c r="K56" s="121" t="s">
        <v>72</v>
      </c>
      <c r="L56" s="168" t="s">
        <v>69</v>
      </c>
      <c r="M56" s="329" t="s">
        <v>108</v>
      </c>
      <c r="N56" s="409" t="s">
        <v>69</v>
      </c>
      <c r="O56" s="409" t="s">
        <v>69</v>
      </c>
      <c r="P56" s="409" t="s">
        <v>69</v>
      </c>
      <c r="Q56" s="409" t="s">
        <v>69</v>
      </c>
      <c r="R56" s="409" t="s">
        <v>69</v>
      </c>
      <c r="S56" s="409" t="s">
        <v>69</v>
      </c>
      <c r="T56" s="329" t="s">
        <v>108</v>
      </c>
      <c r="U56" s="379" t="s">
        <v>72</v>
      </c>
      <c r="V56" s="378" t="s">
        <v>69</v>
      </c>
      <c r="W56" s="378" t="s">
        <v>69</v>
      </c>
      <c r="X56" s="378" t="s">
        <v>69</v>
      </c>
      <c r="Y56" s="378" t="s">
        <v>69</v>
      </c>
      <c r="Z56" s="378" t="s">
        <v>69</v>
      </c>
      <c r="AA56" s="388" t="s">
        <v>108</v>
      </c>
      <c r="AB56" s="378" t="s">
        <v>69</v>
      </c>
      <c r="AC56" s="378" t="s">
        <v>69</v>
      </c>
      <c r="AD56" s="378" t="s">
        <v>69</v>
      </c>
      <c r="AE56" s="378" t="s">
        <v>69</v>
      </c>
      <c r="AF56" s="378" t="s">
        <v>69</v>
      </c>
      <c r="AG56" s="378" t="s">
        <v>69</v>
      </c>
    </row>
    <row r="57" spans="1:33" ht="18">
      <c r="A57" s="5">
        <v>56</v>
      </c>
      <c r="B57" s="186" t="s">
        <v>228</v>
      </c>
      <c r="C57" s="7">
        <v>3</v>
      </c>
      <c r="D57" s="7">
        <v>1</v>
      </c>
      <c r="E57" s="7">
        <f t="shared" si="1"/>
        <v>2</v>
      </c>
      <c r="F57" s="427" t="s">
        <v>108</v>
      </c>
      <c r="G57" s="134" t="s">
        <v>69</v>
      </c>
      <c r="H57" s="168" t="s">
        <v>69</v>
      </c>
      <c r="I57" s="168" t="s">
        <v>69</v>
      </c>
      <c r="J57" s="168" t="s">
        <v>69</v>
      </c>
      <c r="K57" s="168" t="s">
        <v>69</v>
      </c>
      <c r="L57" s="168" t="s">
        <v>69</v>
      </c>
      <c r="M57" s="329" t="s">
        <v>108</v>
      </c>
      <c r="N57" s="409" t="s">
        <v>69</v>
      </c>
      <c r="O57" s="409" t="s">
        <v>69</v>
      </c>
      <c r="P57" s="409" t="s">
        <v>69</v>
      </c>
      <c r="Q57" s="409" t="s">
        <v>69</v>
      </c>
      <c r="R57" s="379" t="s">
        <v>72</v>
      </c>
      <c r="S57" s="409" t="s">
        <v>69</v>
      </c>
      <c r="T57" s="329" t="s">
        <v>108</v>
      </c>
      <c r="U57" s="379" t="s">
        <v>72</v>
      </c>
      <c r="V57" s="378" t="s">
        <v>69</v>
      </c>
      <c r="W57" s="121" t="s">
        <v>72</v>
      </c>
      <c r="X57" s="378" t="s">
        <v>69</v>
      </c>
      <c r="Y57" s="378" t="s">
        <v>69</v>
      </c>
      <c r="Z57" s="378" t="s">
        <v>69</v>
      </c>
      <c r="AA57" s="388" t="s">
        <v>108</v>
      </c>
      <c r="AB57" s="378" t="s">
        <v>69</v>
      </c>
      <c r="AC57" s="378" t="s">
        <v>69</v>
      </c>
      <c r="AD57" s="378" t="s">
        <v>69</v>
      </c>
      <c r="AE57" s="378" t="s">
        <v>69</v>
      </c>
      <c r="AF57" s="378" t="s">
        <v>69</v>
      </c>
      <c r="AG57" s="378" t="s">
        <v>69</v>
      </c>
    </row>
    <row r="58" spans="1:33" ht="18">
      <c r="A58" s="5">
        <v>57</v>
      </c>
      <c r="B58" s="254" t="s">
        <v>42</v>
      </c>
      <c r="C58" s="7">
        <v>2</v>
      </c>
      <c r="D58" s="7">
        <v>2</v>
      </c>
      <c r="E58" s="7">
        <f t="shared" si="1"/>
        <v>0</v>
      </c>
      <c r="F58" s="427" t="s">
        <v>108</v>
      </c>
      <c r="G58" s="121" t="s">
        <v>72</v>
      </c>
      <c r="H58" s="131" t="s">
        <v>72</v>
      </c>
      <c r="I58" s="409" t="s">
        <v>69</v>
      </c>
      <c r="J58" s="409" t="s">
        <v>69</v>
      </c>
      <c r="K58" s="409" t="s">
        <v>69</v>
      </c>
      <c r="L58" s="409" t="s">
        <v>69</v>
      </c>
      <c r="M58" s="329" t="s">
        <v>108</v>
      </c>
      <c r="N58" s="409" t="s">
        <v>69</v>
      </c>
      <c r="O58" s="409" t="s">
        <v>69</v>
      </c>
      <c r="P58" s="409" t="s">
        <v>69</v>
      </c>
      <c r="Q58" s="409" t="s">
        <v>69</v>
      </c>
      <c r="R58" s="409" t="s">
        <v>69</v>
      </c>
      <c r="S58" s="409" t="s">
        <v>69</v>
      </c>
      <c r="T58" s="329" t="s">
        <v>108</v>
      </c>
      <c r="U58" s="378" t="s">
        <v>69</v>
      </c>
      <c r="V58" s="378" t="s">
        <v>69</v>
      </c>
      <c r="W58" s="378" t="s">
        <v>69</v>
      </c>
      <c r="X58" s="378" t="s">
        <v>69</v>
      </c>
      <c r="Y58" s="378" t="s">
        <v>69</v>
      </c>
      <c r="Z58" s="378" t="s">
        <v>69</v>
      </c>
      <c r="AA58" s="388" t="s">
        <v>108</v>
      </c>
      <c r="AB58" s="378" t="s">
        <v>69</v>
      </c>
      <c r="AC58" s="378" t="s">
        <v>69</v>
      </c>
      <c r="AD58" s="378" t="s">
        <v>69</v>
      </c>
      <c r="AE58" s="378" t="s">
        <v>69</v>
      </c>
      <c r="AF58" s="378" t="s">
        <v>69</v>
      </c>
      <c r="AG58" s="378" t="s">
        <v>69</v>
      </c>
    </row>
    <row r="59" spans="1:33" ht="18">
      <c r="A59" s="5">
        <v>58</v>
      </c>
      <c r="B59" s="254" t="s">
        <v>257</v>
      </c>
      <c r="C59" s="7">
        <v>0</v>
      </c>
      <c r="D59" s="7">
        <v>0</v>
      </c>
      <c r="E59" s="7">
        <f t="shared" si="1"/>
        <v>0</v>
      </c>
      <c r="F59" s="427" t="s">
        <v>108</v>
      </c>
      <c r="G59" s="134" t="s">
        <v>69</v>
      </c>
      <c r="H59" s="134" t="s">
        <v>69</v>
      </c>
      <c r="I59" s="134" t="s">
        <v>69</v>
      </c>
      <c r="J59" s="134" t="s">
        <v>69</v>
      </c>
      <c r="K59" s="134" t="s">
        <v>69</v>
      </c>
      <c r="L59" s="134" t="s">
        <v>69</v>
      </c>
      <c r="M59" s="329" t="s">
        <v>108</v>
      </c>
      <c r="N59" s="409" t="s">
        <v>69</v>
      </c>
      <c r="O59" s="409" t="s">
        <v>69</v>
      </c>
      <c r="P59" s="409" t="s">
        <v>69</v>
      </c>
      <c r="Q59" s="409" t="s">
        <v>69</v>
      </c>
      <c r="R59" s="409" t="s">
        <v>69</v>
      </c>
      <c r="S59" s="409" t="s">
        <v>69</v>
      </c>
      <c r="T59" s="329" t="s">
        <v>108</v>
      </c>
      <c r="U59" s="378" t="s">
        <v>69</v>
      </c>
      <c r="V59" s="378" t="s">
        <v>69</v>
      </c>
      <c r="W59" s="378" t="s">
        <v>69</v>
      </c>
      <c r="X59" s="378" t="s">
        <v>69</v>
      </c>
      <c r="Y59" s="378" t="s">
        <v>69</v>
      </c>
      <c r="Z59" s="378" t="s">
        <v>69</v>
      </c>
      <c r="AA59" s="388" t="s">
        <v>108</v>
      </c>
      <c r="AB59" s="378" t="s">
        <v>69</v>
      </c>
      <c r="AC59" s="378" t="s">
        <v>69</v>
      </c>
      <c r="AD59" s="378" t="s">
        <v>69</v>
      </c>
      <c r="AE59" s="378" t="s">
        <v>69</v>
      </c>
      <c r="AF59" s="378" t="s">
        <v>69</v>
      </c>
      <c r="AG59" s="378" t="s">
        <v>69</v>
      </c>
    </row>
    <row r="60" spans="1:33" ht="18">
      <c r="A60" s="5">
        <v>59</v>
      </c>
      <c r="B60" s="254" t="s">
        <v>230</v>
      </c>
      <c r="C60" s="7">
        <v>3</v>
      </c>
      <c r="D60" s="7">
        <v>1</v>
      </c>
      <c r="E60" s="7">
        <f t="shared" si="1"/>
        <v>2</v>
      </c>
      <c r="F60" s="427" t="s">
        <v>108</v>
      </c>
      <c r="G60" s="134" t="s">
        <v>69</v>
      </c>
      <c r="H60" s="134" t="s">
        <v>69</v>
      </c>
      <c r="I60" s="134" t="s">
        <v>69</v>
      </c>
      <c r="J60" s="134" t="s">
        <v>69</v>
      </c>
      <c r="K60" s="134" t="s">
        <v>69</v>
      </c>
      <c r="L60" s="134" t="s">
        <v>69</v>
      </c>
      <c r="M60" s="329" t="s">
        <v>108</v>
      </c>
      <c r="N60" s="409" t="s">
        <v>69</v>
      </c>
      <c r="O60" s="409" t="s">
        <v>69</v>
      </c>
      <c r="P60" s="409" t="s">
        <v>69</v>
      </c>
      <c r="Q60" s="409" t="s">
        <v>69</v>
      </c>
      <c r="R60" s="409" t="s">
        <v>121</v>
      </c>
      <c r="S60" s="379" t="s">
        <v>72</v>
      </c>
      <c r="T60" s="329" t="s">
        <v>108</v>
      </c>
      <c r="U60" s="379" t="s">
        <v>72</v>
      </c>
      <c r="V60" s="379" t="s">
        <v>72</v>
      </c>
      <c r="W60" s="378" t="s">
        <v>69</v>
      </c>
      <c r="X60" s="378" t="s">
        <v>69</v>
      </c>
      <c r="Y60" s="378" t="s">
        <v>69</v>
      </c>
      <c r="Z60" s="378" t="s">
        <v>69</v>
      </c>
      <c r="AA60" s="388" t="s">
        <v>108</v>
      </c>
      <c r="AB60" s="378" t="s">
        <v>69</v>
      </c>
      <c r="AC60" s="378" t="s">
        <v>69</v>
      </c>
      <c r="AD60" s="378" t="s">
        <v>69</v>
      </c>
      <c r="AE60" s="378" t="s">
        <v>69</v>
      </c>
      <c r="AF60" s="378" t="s">
        <v>69</v>
      </c>
      <c r="AG60" s="378" t="s">
        <v>69</v>
      </c>
    </row>
    <row r="61" spans="1:33" ht="18">
      <c r="A61" s="5">
        <v>60</v>
      </c>
      <c r="B61" s="186" t="s">
        <v>161</v>
      </c>
      <c r="C61" s="7">
        <v>1</v>
      </c>
      <c r="D61" s="7">
        <v>1</v>
      </c>
      <c r="E61" s="7">
        <f t="shared" si="1"/>
        <v>0</v>
      </c>
      <c r="F61" s="427" t="s">
        <v>108</v>
      </c>
      <c r="G61" s="134" t="s">
        <v>69</v>
      </c>
      <c r="H61" s="134" t="s">
        <v>69</v>
      </c>
      <c r="I61" s="134" t="s">
        <v>69</v>
      </c>
      <c r="J61" s="134" t="s">
        <v>69</v>
      </c>
      <c r="K61" s="134" t="s">
        <v>69</v>
      </c>
      <c r="L61" s="134" t="s">
        <v>69</v>
      </c>
      <c r="M61" s="329" t="s">
        <v>108</v>
      </c>
      <c r="N61" s="409" t="s">
        <v>69</v>
      </c>
      <c r="O61" s="409" t="s">
        <v>69</v>
      </c>
      <c r="P61" s="409" t="s">
        <v>69</v>
      </c>
      <c r="Q61" s="409" t="s">
        <v>69</v>
      </c>
      <c r="R61" s="409" t="s">
        <v>69</v>
      </c>
      <c r="S61" s="409" t="s">
        <v>69</v>
      </c>
      <c r="T61" s="329" t="s">
        <v>108</v>
      </c>
      <c r="U61" s="378" t="s">
        <v>69</v>
      </c>
      <c r="V61" s="378" t="s">
        <v>69</v>
      </c>
      <c r="W61" s="378" t="s">
        <v>69</v>
      </c>
      <c r="X61" s="378" t="s">
        <v>69</v>
      </c>
      <c r="Y61" s="378" t="s">
        <v>69</v>
      </c>
      <c r="Z61" s="121" t="s">
        <v>72</v>
      </c>
      <c r="AA61" s="388" t="s">
        <v>108</v>
      </c>
      <c r="AB61" s="378" t="s">
        <v>69</v>
      </c>
      <c r="AC61" s="378" t="s">
        <v>69</v>
      </c>
      <c r="AD61" s="378" t="s">
        <v>69</v>
      </c>
      <c r="AE61" s="378" t="s">
        <v>69</v>
      </c>
      <c r="AF61" s="378" t="s">
        <v>69</v>
      </c>
      <c r="AG61" s="378" t="s">
        <v>69</v>
      </c>
    </row>
    <row r="62" spans="1:33" ht="18">
      <c r="A62" s="5">
        <v>61</v>
      </c>
      <c r="B62" s="254" t="s">
        <v>47</v>
      </c>
      <c r="C62" s="7">
        <v>0</v>
      </c>
      <c r="D62" s="7">
        <v>0</v>
      </c>
      <c r="E62" s="7">
        <f t="shared" si="1"/>
        <v>0</v>
      </c>
      <c r="F62" s="427" t="s">
        <v>108</v>
      </c>
      <c r="G62" s="120" t="s">
        <v>69</v>
      </c>
      <c r="H62" s="120" t="s">
        <v>69</v>
      </c>
      <c r="I62" s="120" t="s">
        <v>69</v>
      </c>
      <c r="J62" s="120" t="s">
        <v>69</v>
      </c>
      <c r="K62" s="120" t="s">
        <v>69</v>
      </c>
      <c r="L62" s="120"/>
      <c r="M62" s="329" t="s">
        <v>108</v>
      </c>
      <c r="N62" s="409" t="s">
        <v>69</v>
      </c>
      <c r="O62" s="409" t="s">
        <v>69</v>
      </c>
      <c r="P62" s="409" t="s">
        <v>69</v>
      </c>
      <c r="Q62" s="409" t="s">
        <v>69</v>
      </c>
      <c r="R62" s="409" t="s">
        <v>69</v>
      </c>
      <c r="S62" s="409" t="s">
        <v>69</v>
      </c>
      <c r="T62" s="329" t="s">
        <v>108</v>
      </c>
      <c r="U62" s="378" t="s">
        <v>69</v>
      </c>
      <c r="V62" s="378" t="s">
        <v>69</v>
      </c>
      <c r="W62" s="378" t="s">
        <v>69</v>
      </c>
      <c r="X62" s="378" t="s">
        <v>69</v>
      </c>
      <c r="Y62" s="378" t="s">
        <v>69</v>
      </c>
      <c r="Z62" s="378" t="s">
        <v>69</v>
      </c>
      <c r="AA62" s="388" t="s">
        <v>108</v>
      </c>
      <c r="AB62" s="378" t="s">
        <v>69</v>
      </c>
      <c r="AC62" s="378" t="s">
        <v>69</v>
      </c>
      <c r="AD62" s="378" t="s">
        <v>69</v>
      </c>
      <c r="AE62" s="378" t="s">
        <v>69</v>
      </c>
      <c r="AF62" s="378" t="s">
        <v>69</v>
      </c>
      <c r="AG62" s="378" t="s">
        <v>69</v>
      </c>
    </row>
    <row r="63" spans="1:33" ht="18">
      <c r="A63" s="5">
        <v>62</v>
      </c>
      <c r="B63" s="254" t="s">
        <v>49</v>
      </c>
      <c r="C63" s="7">
        <v>1</v>
      </c>
      <c r="D63" s="7">
        <v>1</v>
      </c>
      <c r="E63" s="7">
        <f t="shared" si="1"/>
        <v>0</v>
      </c>
      <c r="F63" s="427" t="s">
        <v>108</v>
      </c>
      <c r="G63" s="120" t="s">
        <v>69</v>
      </c>
      <c r="H63" s="120" t="s">
        <v>69</v>
      </c>
      <c r="I63" s="120" t="s">
        <v>69</v>
      </c>
      <c r="J63" s="120" t="s">
        <v>69</v>
      </c>
      <c r="K63" s="120" t="s">
        <v>69</v>
      </c>
      <c r="L63" s="120" t="s">
        <v>69</v>
      </c>
      <c r="M63" s="329" t="s">
        <v>108</v>
      </c>
      <c r="N63" s="409" t="s">
        <v>69</v>
      </c>
      <c r="O63" s="121" t="s">
        <v>72</v>
      </c>
      <c r="P63" s="168" t="s">
        <v>69</v>
      </c>
      <c r="Q63" s="168" t="s">
        <v>69</v>
      </c>
      <c r="R63" s="168" t="s">
        <v>69</v>
      </c>
      <c r="S63" s="168" t="s">
        <v>69</v>
      </c>
      <c r="T63" s="329" t="s">
        <v>108</v>
      </c>
      <c r="U63" s="378" t="s">
        <v>69</v>
      </c>
      <c r="V63" s="378" t="s">
        <v>69</v>
      </c>
      <c r="W63" s="378" t="s">
        <v>69</v>
      </c>
      <c r="X63" s="378" t="s">
        <v>69</v>
      </c>
      <c r="Y63" s="378" t="s">
        <v>69</v>
      </c>
      <c r="Z63" s="378" t="s">
        <v>69</v>
      </c>
      <c r="AA63" s="388" t="s">
        <v>108</v>
      </c>
      <c r="AB63" s="378" t="s">
        <v>69</v>
      </c>
      <c r="AC63" s="378" t="s">
        <v>69</v>
      </c>
      <c r="AD63" s="378" t="s">
        <v>69</v>
      </c>
      <c r="AE63" s="378" t="s">
        <v>69</v>
      </c>
      <c r="AF63" s="378" t="s">
        <v>69</v>
      </c>
      <c r="AG63" s="378" t="s">
        <v>69</v>
      </c>
    </row>
    <row r="64" spans="1:33" ht="18">
      <c r="A64" s="5">
        <v>63</v>
      </c>
      <c r="B64" s="254" t="s">
        <v>203</v>
      </c>
      <c r="C64" s="7">
        <v>2</v>
      </c>
      <c r="D64" s="7">
        <v>1</v>
      </c>
      <c r="E64" s="7">
        <f t="shared" si="1"/>
        <v>1</v>
      </c>
      <c r="F64" s="427" t="s">
        <v>108</v>
      </c>
      <c r="G64" s="120" t="s">
        <v>69</v>
      </c>
      <c r="H64" s="120" t="s">
        <v>69</v>
      </c>
      <c r="I64" s="120" t="s">
        <v>69</v>
      </c>
      <c r="J64" s="120" t="s">
        <v>69</v>
      </c>
      <c r="K64" s="120" t="s">
        <v>69</v>
      </c>
      <c r="L64" s="120" t="s">
        <v>69</v>
      </c>
      <c r="M64" s="329" t="s">
        <v>108</v>
      </c>
      <c r="N64" s="409" t="s">
        <v>69</v>
      </c>
      <c r="O64" s="409" t="s">
        <v>69</v>
      </c>
      <c r="P64" s="409" t="s">
        <v>69</v>
      </c>
      <c r="Q64" s="409" t="s">
        <v>69</v>
      </c>
      <c r="R64" s="409" t="s">
        <v>69</v>
      </c>
      <c r="S64" s="409" t="s">
        <v>69</v>
      </c>
      <c r="T64" s="329" t="s">
        <v>108</v>
      </c>
      <c r="U64" s="378" t="s">
        <v>69</v>
      </c>
      <c r="V64" s="378" t="s">
        <v>69</v>
      </c>
      <c r="W64" s="378" t="s">
        <v>69</v>
      </c>
      <c r="X64" s="378" t="s">
        <v>69</v>
      </c>
      <c r="Y64" s="378" t="s">
        <v>69</v>
      </c>
      <c r="Z64" s="378" t="s">
        <v>69</v>
      </c>
      <c r="AA64" s="388" t="s">
        <v>108</v>
      </c>
      <c r="AB64" s="131" t="s">
        <v>72</v>
      </c>
      <c r="AC64" s="131" t="s">
        <v>72</v>
      </c>
      <c r="AD64" s="378" t="s">
        <v>69</v>
      </c>
      <c r="AE64" s="378" t="s">
        <v>69</v>
      </c>
      <c r="AF64" s="378" t="s">
        <v>69</v>
      </c>
      <c r="AG64" s="378" t="s">
        <v>70</v>
      </c>
    </row>
    <row r="65" spans="1:33" ht="18">
      <c r="A65" s="5">
        <v>64</v>
      </c>
      <c r="B65" s="254" t="s">
        <v>185</v>
      </c>
      <c r="C65" s="7">
        <f>28-4</f>
        <v>24</v>
      </c>
      <c r="D65" s="7">
        <v>1</v>
      </c>
      <c r="E65" s="7">
        <f t="shared" si="1"/>
        <v>23</v>
      </c>
      <c r="F65" s="427" t="s">
        <v>108</v>
      </c>
      <c r="G65" s="131" t="s">
        <v>72</v>
      </c>
      <c r="H65" s="131" t="s">
        <v>72</v>
      </c>
      <c r="I65" s="131" t="s">
        <v>72</v>
      </c>
      <c r="J65" s="131" t="s">
        <v>72</v>
      </c>
      <c r="K65" s="131" t="s">
        <v>72</v>
      </c>
      <c r="L65" s="131" t="s">
        <v>72</v>
      </c>
      <c r="M65" s="329" t="s">
        <v>108</v>
      </c>
      <c r="N65" s="409" t="s">
        <v>69</v>
      </c>
      <c r="O65" s="409" t="s">
        <v>69</v>
      </c>
      <c r="P65" s="409" t="s">
        <v>69</v>
      </c>
      <c r="Q65" s="121" t="s">
        <v>121</v>
      </c>
      <c r="R65" s="121" t="s">
        <v>72</v>
      </c>
      <c r="S65" s="121" t="s">
        <v>72</v>
      </c>
      <c r="T65" s="329" t="s">
        <v>108</v>
      </c>
      <c r="U65" s="121" t="s">
        <v>72</v>
      </c>
      <c r="V65" s="121" t="s">
        <v>72</v>
      </c>
      <c r="W65" s="121" t="s">
        <v>72</v>
      </c>
      <c r="X65" s="121" t="s">
        <v>72</v>
      </c>
      <c r="Y65" s="121" t="s">
        <v>72</v>
      </c>
      <c r="Z65" s="121" t="s">
        <v>72</v>
      </c>
      <c r="AA65" s="388" t="s">
        <v>108</v>
      </c>
      <c r="AB65" s="131" t="s">
        <v>72</v>
      </c>
      <c r="AC65" s="131" t="s">
        <v>72</v>
      </c>
      <c r="AD65" s="131" t="s">
        <v>72</v>
      </c>
      <c r="AE65" s="131" t="s">
        <v>72</v>
      </c>
      <c r="AF65" s="131" t="s">
        <v>72</v>
      </c>
      <c r="AG65" s="131" t="s">
        <v>72</v>
      </c>
    </row>
    <row r="66" spans="1:33" ht="18">
      <c r="A66" s="5">
        <v>65</v>
      </c>
      <c r="B66" s="254" t="s">
        <v>244</v>
      </c>
      <c r="C66" s="7">
        <v>2</v>
      </c>
      <c r="D66" s="7">
        <v>1</v>
      </c>
      <c r="E66" s="7">
        <f t="shared" ref="E66:E97" si="2">C66-D66</f>
        <v>1</v>
      </c>
      <c r="F66" s="427" t="s">
        <v>108</v>
      </c>
      <c r="G66" s="120" t="s">
        <v>69</v>
      </c>
      <c r="H66" s="120" t="s">
        <v>69</v>
      </c>
      <c r="I66" s="120" t="s">
        <v>69</v>
      </c>
      <c r="J66" s="120" t="s">
        <v>69</v>
      </c>
      <c r="K66" s="120" t="s">
        <v>69</v>
      </c>
      <c r="L66" s="121" t="s">
        <v>72</v>
      </c>
      <c r="M66" s="329" t="s">
        <v>108</v>
      </c>
      <c r="N66" s="409" t="s">
        <v>69</v>
      </c>
      <c r="O66" s="409" t="s">
        <v>69</v>
      </c>
      <c r="P66" s="409" t="s">
        <v>69</v>
      </c>
      <c r="Q66" s="409" t="s">
        <v>69</v>
      </c>
      <c r="R66" s="409" t="s">
        <v>69</v>
      </c>
      <c r="S66" s="409" t="s">
        <v>69</v>
      </c>
      <c r="T66" s="329" t="s">
        <v>108</v>
      </c>
      <c r="U66" s="120" t="s">
        <v>69</v>
      </c>
      <c r="V66" s="120" t="s">
        <v>69</v>
      </c>
      <c r="W66" s="120" t="s">
        <v>69</v>
      </c>
      <c r="X66" s="120" t="s">
        <v>69</v>
      </c>
      <c r="Y66" s="120" t="s">
        <v>69</v>
      </c>
      <c r="Z66" s="120" t="s">
        <v>69</v>
      </c>
      <c r="AA66" s="388" t="s">
        <v>108</v>
      </c>
      <c r="AB66" s="120" t="s">
        <v>69</v>
      </c>
      <c r="AC66" s="120" t="s">
        <v>69</v>
      </c>
      <c r="AD66" s="131" t="s">
        <v>72</v>
      </c>
      <c r="AE66" s="120" t="s">
        <v>69</v>
      </c>
      <c r="AF66" s="120" t="s">
        <v>69</v>
      </c>
      <c r="AG66" s="120" t="s">
        <v>69</v>
      </c>
    </row>
    <row r="67" spans="1:33" ht="18">
      <c r="A67" s="5">
        <v>66</v>
      </c>
      <c r="B67" s="254" t="s">
        <v>50</v>
      </c>
      <c r="C67" s="7">
        <v>3</v>
      </c>
      <c r="D67" s="7">
        <v>3</v>
      </c>
      <c r="E67" s="7">
        <f t="shared" si="2"/>
        <v>0</v>
      </c>
      <c r="F67" s="427" t="s">
        <v>108</v>
      </c>
      <c r="G67" s="120" t="s">
        <v>69</v>
      </c>
      <c r="H67" s="120" t="s">
        <v>69</v>
      </c>
      <c r="I67" s="120" t="s">
        <v>69</v>
      </c>
      <c r="J67" s="120" t="s">
        <v>69</v>
      </c>
      <c r="K67" s="120" t="s">
        <v>69</v>
      </c>
      <c r="L67" s="120" t="s">
        <v>69</v>
      </c>
      <c r="M67" s="329" t="s">
        <v>108</v>
      </c>
      <c r="N67" s="409" t="s">
        <v>69</v>
      </c>
      <c r="O67" s="409" t="s">
        <v>69</v>
      </c>
      <c r="P67" s="409" t="s">
        <v>69</v>
      </c>
      <c r="Q67" s="409" t="s">
        <v>69</v>
      </c>
      <c r="R67" s="409" t="s">
        <v>69</v>
      </c>
      <c r="S67" s="409" t="s">
        <v>69</v>
      </c>
      <c r="T67" s="329" t="s">
        <v>108</v>
      </c>
      <c r="U67" s="120" t="s">
        <v>69</v>
      </c>
      <c r="V67" s="120" t="s">
        <v>69</v>
      </c>
      <c r="W67" s="121" t="s">
        <v>72</v>
      </c>
      <c r="X67" s="120" t="s">
        <v>69</v>
      </c>
      <c r="Y67" s="120" t="s">
        <v>69</v>
      </c>
      <c r="Z67" s="120" t="s">
        <v>69</v>
      </c>
      <c r="AA67" s="388" t="s">
        <v>108</v>
      </c>
      <c r="AB67" s="120" t="s">
        <v>69</v>
      </c>
      <c r="AC67" s="120" t="s">
        <v>69</v>
      </c>
      <c r="AD67" s="131" t="s">
        <v>72</v>
      </c>
      <c r="AE67" s="131" t="s">
        <v>72</v>
      </c>
      <c r="AF67" s="120" t="s">
        <v>69</v>
      </c>
      <c r="AG67" s="120" t="s">
        <v>70</v>
      </c>
    </row>
    <row r="68" spans="1:33" ht="18">
      <c r="A68" s="5">
        <v>67</v>
      </c>
      <c r="B68" s="359" t="s">
        <v>186</v>
      </c>
      <c r="C68" s="7">
        <v>0</v>
      </c>
      <c r="D68" s="7">
        <v>0</v>
      </c>
      <c r="E68" s="7">
        <f t="shared" si="2"/>
        <v>0</v>
      </c>
      <c r="F68" s="427" t="s">
        <v>108</v>
      </c>
      <c r="G68" s="380" t="s">
        <v>69</v>
      </c>
      <c r="H68" s="380" t="s">
        <v>69</v>
      </c>
      <c r="I68" s="380" t="s">
        <v>69</v>
      </c>
      <c r="J68" s="120" t="s">
        <v>69</v>
      </c>
      <c r="K68" s="380" t="s">
        <v>69</v>
      </c>
      <c r="L68" s="380" t="s">
        <v>69</v>
      </c>
      <c r="M68" s="329" t="s">
        <v>108</v>
      </c>
      <c r="N68" s="409" t="s">
        <v>69</v>
      </c>
      <c r="O68" s="409" t="s">
        <v>69</v>
      </c>
      <c r="P68" s="409" t="s">
        <v>69</v>
      </c>
      <c r="Q68" s="409" t="s">
        <v>69</v>
      </c>
      <c r="R68" s="409" t="s">
        <v>69</v>
      </c>
      <c r="S68" s="409" t="s">
        <v>69</v>
      </c>
      <c r="T68" s="329" t="s">
        <v>108</v>
      </c>
      <c r="U68" s="120" t="s">
        <v>69</v>
      </c>
      <c r="V68" s="120" t="s">
        <v>69</v>
      </c>
      <c r="W68" s="120" t="s">
        <v>69</v>
      </c>
      <c r="X68" s="120" t="s">
        <v>69</v>
      </c>
      <c r="Y68" s="120" t="s">
        <v>69</v>
      </c>
      <c r="Z68" s="120" t="s">
        <v>69</v>
      </c>
      <c r="AA68" s="388" t="s">
        <v>108</v>
      </c>
      <c r="AB68" s="120" t="s">
        <v>69</v>
      </c>
      <c r="AC68" s="120" t="s">
        <v>69</v>
      </c>
      <c r="AD68" s="120" t="s">
        <v>69</v>
      </c>
      <c r="AE68" s="120" t="s">
        <v>69</v>
      </c>
      <c r="AF68" s="120" t="s">
        <v>69</v>
      </c>
      <c r="AG68" s="120" t="s">
        <v>69</v>
      </c>
    </row>
    <row r="69" spans="1:33" ht="18">
      <c r="A69" s="5">
        <v>68</v>
      </c>
      <c r="B69" s="359" t="s">
        <v>232</v>
      </c>
      <c r="C69" s="7">
        <v>2</v>
      </c>
      <c r="D69" s="7">
        <v>1</v>
      </c>
      <c r="E69" s="7">
        <f t="shared" si="2"/>
        <v>1</v>
      </c>
      <c r="F69" s="427" t="s">
        <v>108</v>
      </c>
      <c r="G69" s="120" t="s">
        <v>69</v>
      </c>
      <c r="H69" s="120" t="s">
        <v>69</v>
      </c>
      <c r="I69" s="406" t="s">
        <v>72</v>
      </c>
      <c r="J69" s="120" t="s">
        <v>69</v>
      </c>
      <c r="K69" s="120" t="s">
        <v>69</v>
      </c>
      <c r="L69" s="120" t="s">
        <v>69</v>
      </c>
      <c r="M69" s="329" t="s">
        <v>108</v>
      </c>
      <c r="N69" s="409" t="s">
        <v>69</v>
      </c>
      <c r="O69" s="409" t="s">
        <v>69</v>
      </c>
      <c r="P69" s="409" t="s">
        <v>69</v>
      </c>
      <c r="Q69" s="409" t="s">
        <v>69</v>
      </c>
      <c r="R69" s="409" t="s">
        <v>69</v>
      </c>
      <c r="S69" s="409" t="s">
        <v>69</v>
      </c>
      <c r="T69" s="329" t="s">
        <v>108</v>
      </c>
      <c r="U69" s="120" t="s">
        <v>69</v>
      </c>
      <c r="V69" s="120" t="s">
        <v>69</v>
      </c>
      <c r="W69" s="120" t="s">
        <v>69</v>
      </c>
      <c r="X69" s="121" t="s">
        <v>72</v>
      </c>
      <c r="Y69" s="120" t="s">
        <v>69</v>
      </c>
      <c r="Z69" s="120" t="s">
        <v>69</v>
      </c>
      <c r="AA69" s="388" t="s">
        <v>108</v>
      </c>
      <c r="AB69" s="120" t="s">
        <v>69</v>
      </c>
      <c r="AC69" s="120" t="s">
        <v>69</v>
      </c>
      <c r="AD69" s="120" t="s">
        <v>69</v>
      </c>
      <c r="AE69" s="120" t="s">
        <v>69</v>
      </c>
      <c r="AF69" s="120" t="s">
        <v>69</v>
      </c>
      <c r="AG69" s="120" t="s">
        <v>69</v>
      </c>
    </row>
    <row r="70" spans="1:33" ht="18">
      <c r="A70" s="5">
        <v>69</v>
      </c>
      <c r="B70" s="255" t="s">
        <v>273</v>
      </c>
      <c r="C70" s="7">
        <f>28-11</f>
        <v>17</v>
      </c>
      <c r="D70" s="7"/>
      <c r="E70" s="7">
        <f t="shared" si="2"/>
        <v>17</v>
      </c>
      <c r="F70" s="427" t="s">
        <v>108</v>
      </c>
      <c r="G70" s="168" t="s">
        <v>69</v>
      </c>
      <c r="H70" s="168" t="s">
        <v>69</v>
      </c>
      <c r="I70" s="168" t="s">
        <v>69</v>
      </c>
      <c r="J70" s="168" t="s">
        <v>69</v>
      </c>
      <c r="K70" s="168" t="s">
        <v>69</v>
      </c>
      <c r="L70" s="168" t="s">
        <v>69</v>
      </c>
      <c r="M70" s="329" t="s">
        <v>108</v>
      </c>
      <c r="N70" s="409" t="s">
        <v>69</v>
      </c>
      <c r="O70" s="409" t="s">
        <v>69</v>
      </c>
      <c r="P70" s="409" t="s">
        <v>69</v>
      </c>
      <c r="Q70" s="131" t="s">
        <v>76</v>
      </c>
      <c r="R70" s="131" t="s">
        <v>76</v>
      </c>
      <c r="S70" s="131" t="s">
        <v>76</v>
      </c>
      <c r="T70" s="329" t="s">
        <v>108</v>
      </c>
      <c r="U70" s="131" t="s">
        <v>76</v>
      </c>
      <c r="V70" s="131" t="s">
        <v>76</v>
      </c>
      <c r="W70" s="131" t="s">
        <v>76</v>
      </c>
      <c r="X70" s="131" t="s">
        <v>76</v>
      </c>
      <c r="Y70" s="131" t="s">
        <v>76</v>
      </c>
      <c r="Z70" s="131" t="s">
        <v>76</v>
      </c>
      <c r="AA70" s="388" t="s">
        <v>108</v>
      </c>
      <c r="AB70" s="131" t="s">
        <v>76</v>
      </c>
      <c r="AC70" s="131" t="s">
        <v>76</v>
      </c>
      <c r="AD70" s="131" t="s">
        <v>76</v>
      </c>
      <c r="AE70" s="131" t="s">
        <v>76</v>
      </c>
      <c r="AF70" s="131" t="s">
        <v>76</v>
      </c>
      <c r="AG70" s="131" t="s">
        <v>76</v>
      </c>
    </row>
    <row r="71" spans="1:33" ht="18">
      <c r="A71" s="5">
        <v>70</v>
      </c>
      <c r="B71" s="254" t="s">
        <v>52</v>
      </c>
      <c r="C71" s="7">
        <v>0</v>
      </c>
      <c r="D71" s="7">
        <v>0</v>
      </c>
      <c r="E71" s="7">
        <f t="shared" si="2"/>
        <v>0</v>
      </c>
      <c r="F71" s="427" t="s">
        <v>108</v>
      </c>
      <c r="G71" s="378" t="s">
        <v>69</v>
      </c>
      <c r="H71" s="378" t="s">
        <v>69</v>
      </c>
      <c r="I71" s="378" t="s">
        <v>69</v>
      </c>
      <c r="J71" s="378" t="s">
        <v>69</v>
      </c>
      <c r="K71" s="378" t="s">
        <v>69</v>
      </c>
      <c r="L71" s="378" t="s">
        <v>69</v>
      </c>
      <c r="M71" s="329" t="s">
        <v>108</v>
      </c>
      <c r="N71" s="409" t="s">
        <v>69</v>
      </c>
      <c r="O71" s="409" t="s">
        <v>69</v>
      </c>
      <c r="P71" s="409" t="s">
        <v>69</v>
      </c>
      <c r="Q71" s="409" t="s">
        <v>69</v>
      </c>
      <c r="R71" s="409" t="s">
        <v>69</v>
      </c>
      <c r="S71" s="409" t="s">
        <v>69</v>
      </c>
      <c r="T71" s="329" t="s">
        <v>108</v>
      </c>
      <c r="U71" s="120" t="s">
        <v>69</v>
      </c>
      <c r="V71" s="120" t="s">
        <v>69</v>
      </c>
      <c r="W71" s="120" t="s">
        <v>69</v>
      </c>
      <c r="X71" s="120" t="s">
        <v>69</v>
      </c>
      <c r="Y71" s="120" t="s">
        <v>69</v>
      </c>
      <c r="Z71" s="120" t="s">
        <v>69</v>
      </c>
      <c r="AA71" s="388" t="s">
        <v>108</v>
      </c>
      <c r="AB71" s="120" t="s">
        <v>69</v>
      </c>
      <c r="AC71" s="120" t="s">
        <v>69</v>
      </c>
      <c r="AD71" s="120" t="s">
        <v>69</v>
      </c>
      <c r="AE71" s="120" t="s">
        <v>69</v>
      </c>
      <c r="AF71" s="120" t="s">
        <v>69</v>
      </c>
      <c r="AG71" s="120" t="s">
        <v>69</v>
      </c>
    </row>
    <row r="72" spans="1:33" ht="18">
      <c r="A72" s="5">
        <v>71</v>
      </c>
      <c r="B72" s="254" t="s">
        <v>53</v>
      </c>
      <c r="C72" s="7">
        <v>4</v>
      </c>
      <c r="D72" s="7">
        <v>4</v>
      </c>
      <c r="E72" s="7">
        <f t="shared" si="2"/>
        <v>0</v>
      </c>
      <c r="F72" s="427" t="s">
        <v>108</v>
      </c>
      <c r="G72" s="120" t="s">
        <v>69</v>
      </c>
      <c r="H72" s="121" t="s">
        <v>72</v>
      </c>
      <c r="I72" s="120" t="s">
        <v>69</v>
      </c>
      <c r="J72" s="378" t="s">
        <v>69</v>
      </c>
      <c r="K72" s="378" t="s">
        <v>69</v>
      </c>
      <c r="L72" s="378" t="s">
        <v>69</v>
      </c>
      <c r="M72" s="329" t="s">
        <v>108</v>
      </c>
      <c r="N72" s="409" t="s">
        <v>69</v>
      </c>
      <c r="O72" s="409" t="s">
        <v>69</v>
      </c>
      <c r="P72" s="409" t="s">
        <v>69</v>
      </c>
      <c r="Q72" s="409" t="s">
        <v>69</v>
      </c>
      <c r="R72" s="409" t="s">
        <v>69</v>
      </c>
      <c r="S72" s="418" t="s">
        <v>72</v>
      </c>
      <c r="T72" s="329" t="s">
        <v>108</v>
      </c>
      <c r="U72" s="120" t="s">
        <v>69</v>
      </c>
      <c r="V72" s="120" t="s">
        <v>69</v>
      </c>
      <c r="W72" s="120" t="s">
        <v>69</v>
      </c>
      <c r="X72" s="131" t="s">
        <v>72</v>
      </c>
      <c r="Y72" s="131" t="s">
        <v>72</v>
      </c>
      <c r="Z72" s="120" t="s">
        <v>69</v>
      </c>
      <c r="AA72" s="388" t="s">
        <v>108</v>
      </c>
      <c r="AB72" s="120" t="s">
        <v>69</v>
      </c>
      <c r="AC72" s="120" t="s">
        <v>69</v>
      </c>
      <c r="AD72" s="120" t="s">
        <v>69</v>
      </c>
      <c r="AE72" s="120" t="s">
        <v>69</v>
      </c>
      <c r="AF72" s="120" t="s">
        <v>69</v>
      </c>
      <c r="AG72" s="120" t="s">
        <v>69</v>
      </c>
    </row>
    <row r="73" spans="1:33" ht="18">
      <c r="A73" s="5">
        <v>72</v>
      </c>
      <c r="B73" s="254" t="s">
        <v>274</v>
      </c>
      <c r="C73" s="7">
        <v>8</v>
      </c>
      <c r="D73" s="7">
        <v>0</v>
      </c>
      <c r="E73" s="7">
        <f t="shared" si="2"/>
        <v>8</v>
      </c>
      <c r="F73" s="427" t="s">
        <v>108</v>
      </c>
      <c r="G73" s="131" t="s">
        <v>72</v>
      </c>
      <c r="H73" s="131" t="s">
        <v>72</v>
      </c>
      <c r="I73" s="131" t="s">
        <v>72</v>
      </c>
      <c r="J73" s="131" t="s">
        <v>72</v>
      </c>
      <c r="K73" s="131" t="s">
        <v>72</v>
      </c>
      <c r="L73" s="131" t="s">
        <v>72</v>
      </c>
      <c r="M73" s="329" t="s">
        <v>108</v>
      </c>
      <c r="N73" s="120" t="s">
        <v>69</v>
      </c>
      <c r="O73" s="120" t="s">
        <v>69</v>
      </c>
      <c r="P73" s="120" t="s">
        <v>69</v>
      </c>
      <c r="Q73" s="672" t="s">
        <v>121</v>
      </c>
      <c r="R73" s="120" t="s">
        <v>69</v>
      </c>
      <c r="S73" s="120" t="s">
        <v>69</v>
      </c>
      <c r="T73" s="329" t="s">
        <v>108</v>
      </c>
      <c r="U73" s="120" t="s">
        <v>69</v>
      </c>
      <c r="V73" s="120" t="s">
        <v>69</v>
      </c>
      <c r="W73" s="120" t="s">
        <v>69</v>
      </c>
      <c r="X73" s="120" t="s">
        <v>69</v>
      </c>
      <c r="Y73" s="120" t="s">
        <v>69</v>
      </c>
      <c r="Z73" s="120" t="s">
        <v>69</v>
      </c>
      <c r="AA73" s="388" t="s">
        <v>108</v>
      </c>
      <c r="AB73" s="120" t="s">
        <v>69</v>
      </c>
      <c r="AC73" s="120" t="s">
        <v>69</v>
      </c>
      <c r="AD73" s="120" t="s">
        <v>69</v>
      </c>
      <c r="AE73" s="120" t="s">
        <v>69</v>
      </c>
      <c r="AF73" s="120" t="s">
        <v>69</v>
      </c>
      <c r="AG73" s="120" t="s">
        <v>69</v>
      </c>
    </row>
    <row r="74" spans="1:33" ht="18">
      <c r="A74" s="5">
        <v>73</v>
      </c>
      <c r="B74" s="254" t="s">
        <v>260</v>
      </c>
      <c r="C74" s="7">
        <v>4</v>
      </c>
      <c r="D74" s="7">
        <v>1</v>
      </c>
      <c r="E74" s="7">
        <f t="shared" si="2"/>
        <v>3</v>
      </c>
      <c r="F74" s="427" t="s">
        <v>108</v>
      </c>
      <c r="G74" s="121" t="s">
        <v>72</v>
      </c>
      <c r="H74" s="120" t="s">
        <v>69</v>
      </c>
      <c r="I74" s="120" t="s">
        <v>69</v>
      </c>
      <c r="J74" s="120" t="s">
        <v>69</v>
      </c>
      <c r="K74" s="120" t="s">
        <v>69</v>
      </c>
      <c r="L74" s="120" t="s">
        <v>69</v>
      </c>
      <c r="M74" s="329" t="s">
        <v>108</v>
      </c>
      <c r="N74" s="120" t="s">
        <v>69</v>
      </c>
      <c r="O74" s="120" t="s">
        <v>69</v>
      </c>
      <c r="P74" s="120" t="s">
        <v>69</v>
      </c>
      <c r="Q74" s="120" t="s">
        <v>69</v>
      </c>
      <c r="R74" s="120" t="s">
        <v>69</v>
      </c>
      <c r="S74" s="120" t="s">
        <v>69</v>
      </c>
      <c r="T74" s="329" t="s">
        <v>108</v>
      </c>
      <c r="U74" s="120" t="s">
        <v>69</v>
      </c>
      <c r="V74" s="120" t="s">
        <v>69</v>
      </c>
      <c r="W74" s="120" t="s">
        <v>69</v>
      </c>
      <c r="X74" s="120" t="s">
        <v>69</v>
      </c>
      <c r="Y74" s="120" t="s">
        <v>69</v>
      </c>
      <c r="Z74" s="121" t="s">
        <v>72</v>
      </c>
      <c r="AA74" s="388" t="s">
        <v>108</v>
      </c>
      <c r="AB74" s="131" t="s">
        <v>72</v>
      </c>
      <c r="AC74" s="131" t="s">
        <v>72</v>
      </c>
      <c r="AD74" s="120" t="s">
        <v>69</v>
      </c>
      <c r="AE74" s="120" t="s">
        <v>69</v>
      </c>
      <c r="AF74" s="120" t="s">
        <v>69</v>
      </c>
      <c r="AG74" s="120" t="s">
        <v>69</v>
      </c>
    </row>
    <row r="75" spans="1:33" ht="18">
      <c r="A75" s="5">
        <v>74</v>
      </c>
      <c r="B75" s="254" t="s">
        <v>275</v>
      </c>
      <c r="C75" s="7">
        <v>8</v>
      </c>
      <c r="D75" s="7">
        <v>0</v>
      </c>
      <c r="E75" s="7">
        <f t="shared" si="2"/>
        <v>8</v>
      </c>
      <c r="F75" s="427" t="s">
        <v>108</v>
      </c>
      <c r="G75" s="121" t="s">
        <v>72</v>
      </c>
      <c r="H75" s="121" t="s">
        <v>72</v>
      </c>
      <c r="I75" s="121" t="s">
        <v>72</v>
      </c>
      <c r="J75" s="121" t="s">
        <v>72</v>
      </c>
      <c r="K75" s="121" t="s">
        <v>72</v>
      </c>
      <c r="L75" s="121" t="s">
        <v>72</v>
      </c>
      <c r="M75" s="329" t="s">
        <v>108</v>
      </c>
      <c r="N75" s="120" t="s">
        <v>69</v>
      </c>
      <c r="O75" s="120" t="s">
        <v>69</v>
      </c>
      <c r="P75" s="120" t="s">
        <v>69</v>
      </c>
      <c r="Q75" s="120" t="s">
        <v>69</v>
      </c>
      <c r="R75" s="120" t="s">
        <v>69</v>
      </c>
      <c r="S75" s="120" t="s">
        <v>69</v>
      </c>
      <c r="T75" s="329" t="s">
        <v>108</v>
      </c>
      <c r="U75" s="120" t="s">
        <v>69</v>
      </c>
      <c r="V75" s="120" t="s">
        <v>69</v>
      </c>
      <c r="W75" s="120" t="s">
        <v>69</v>
      </c>
      <c r="X75" s="120" t="s">
        <v>69</v>
      </c>
      <c r="Y75" s="120" t="s">
        <v>69</v>
      </c>
      <c r="Z75" s="120" t="s">
        <v>69</v>
      </c>
      <c r="AA75" s="388" t="s">
        <v>108</v>
      </c>
      <c r="AB75" s="120" t="s">
        <v>69</v>
      </c>
      <c r="AC75" s="120" t="s">
        <v>69</v>
      </c>
      <c r="AD75" s="120" t="s">
        <v>69</v>
      </c>
      <c r="AE75" s="120" t="s">
        <v>69</v>
      </c>
      <c r="AF75" s="120" t="s">
        <v>69</v>
      </c>
      <c r="AG75" s="120" t="s">
        <v>69</v>
      </c>
    </row>
    <row r="76" spans="1:33" ht="18">
      <c r="A76" s="5">
        <v>75</v>
      </c>
      <c r="B76" s="254" t="s">
        <v>55</v>
      </c>
      <c r="C76" s="7">
        <v>0</v>
      </c>
      <c r="D76" s="7">
        <v>0</v>
      </c>
      <c r="E76" s="7">
        <f t="shared" si="2"/>
        <v>0</v>
      </c>
      <c r="F76" s="427" t="s">
        <v>108</v>
      </c>
      <c r="G76" s="134" t="s">
        <v>69</v>
      </c>
      <c r="H76" s="134" t="s">
        <v>69</v>
      </c>
      <c r="I76" s="134" t="s">
        <v>69</v>
      </c>
      <c r="J76" s="134" t="s">
        <v>69</v>
      </c>
      <c r="K76" s="134" t="s">
        <v>69</v>
      </c>
      <c r="L76" s="134" t="s">
        <v>69</v>
      </c>
      <c r="M76" s="329" t="s">
        <v>108</v>
      </c>
      <c r="N76" s="120" t="s">
        <v>69</v>
      </c>
      <c r="O76" s="120" t="s">
        <v>69</v>
      </c>
      <c r="P76" s="120" t="s">
        <v>69</v>
      </c>
      <c r="Q76" s="672" t="s">
        <v>121</v>
      </c>
      <c r="R76" s="120" t="s">
        <v>69</v>
      </c>
      <c r="S76" s="120" t="s">
        <v>69</v>
      </c>
      <c r="T76" s="329" t="s">
        <v>108</v>
      </c>
      <c r="U76" s="120" t="s">
        <v>69</v>
      </c>
      <c r="V76" s="120" t="s">
        <v>69</v>
      </c>
      <c r="W76" s="120" t="s">
        <v>69</v>
      </c>
      <c r="X76" s="120" t="s">
        <v>69</v>
      </c>
      <c r="Y76" s="120" t="s">
        <v>69</v>
      </c>
      <c r="Z76" s="120" t="s">
        <v>69</v>
      </c>
      <c r="AA76" s="388" t="s">
        <v>108</v>
      </c>
      <c r="AB76" s="120" t="s">
        <v>69</v>
      </c>
      <c r="AC76" s="120" t="s">
        <v>69</v>
      </c>
      <c r="AD76" s="120" t="s">
        <v>69</v>
      </c>
      <c r="AE76" s="120" t="s">
        <v>69</v>
      </c>
      <c r="AF76" s="120" t="s">
        <v>69</v>
      </c>
      <c r="AG76" s="120" t="s">
        <v>69</v>
      </c>
    </row>
    <row r="77" spans="1:33" ht="18">
      <c r="A77" s="5">
        <v>76</v>
      </c>
      <c r="B77" s="186" t="s">
        <v>233</v>
      </c>
      <c r="C77" s="7">
        <v>0</v>
      </c>
      <c r="D77" s="7">
        <v>0</v>
      </c>
      <c r="E77" s="7">
        <f t="shared" si="2"/>
        <v>0</v>
      </c>
      <c r="F77" s="427" t="s">
        <v>108</v>
      </c>
      <c r="G77" s="120" t="s">
        <v>69</v>
      </c>
      <c r="H77" s="120" t="s">
        <v>69</v>
      </c>
      <c r="I77" s="120" t="s">
        <v>69</v>
      </c>
      <c r="J77" s="120" t="s">
        <v>69</v>
      </c>
      <c r="K77" s="120" t="s">
        <v>69</v>
      </c>
      <c r="L77" s="120" t="s">
        <v>69</v>
      </c>
      <c r="M77" s="329" t="s">
        <v>108</v>
      </c>
      <c r="N77" s="120" t="s">
        <v>69</v>
      </c>
      <c r="O77" s="120" t="s">
        <v>69</v>
      </c>
      <c r="P77" s="120" t="s">
        <v>69</v>
      </c>
      <c r="Q77" s="120" t="s">
        <v>69</v>
      </c>
      <c r="R77" s="120" t="s">
        <v>69</v>
      </c>
      <c r="S77" s="120" t="s">
        <v>69</v>
      </c>
      <c r="T77" s="329" t="s">
        <v>108</v>
      </c>
      <c r="U77" s="120" t="s">
        <v>69</v>
      </c>
      <c r="V77" s="120" t="s">
        <v>69</v>
      </c>
      <c r="W77" s="120" t="s">
        <v>69</v>
      </c>
      <c r="X77" s="120" t="s">
        <v>69</v>
      </c>
      <c r="Y77" s="120" t="s">
        <v>69</v>
      </c>
      <c r="Z77" s="120" t="s">
        <v>69</v>
      </c>
      <c r="AA77" s="388" t="s">
        <v>108</v>
      </c>
      <c r="AB77" s="120" t="s">
        <v>69</v>
      </c>
      <c r="AC77" s="120" t="s">
        <v>69</v>
      </c>
      <c r="AD77" s="120" t="s">
        <v>69</v>
      </c>
      <c r="AE77" s="120" t="s">
        <v>69</v>
      </c>
      <c r="AF77" s="120" t="s">
        <v>69</v>
      </c>
      <c r="AG77" s="120" t="s">
        <v>69</v>
      </c>
    </row>
    <row r="78" spans="1:33" ht="18">
      <c r="A78" s="5">
        <v>77</v>
      </c>
      <c r="B78" s="254" t="s">
        <v>57</v>
      </c>
      <c r="C78" s="7">
        <v>2</v>
      </c>
      <c r="D78" s="7">
        <v>2</v>
      </c>
      <c r="E78" s="7">
        <f t="shared" si="2"/>
        <v>0</v>
      </c>
      <c r="F78" s="427" t="s">
        <v>108</v>
      </c>
      <c r="G78" s="120" t="s">
        <v>69</v>
      </c>
      <c r="H78" s="120" t="s">
        <v>69</v>
      </c>
      <c r="I78" s="120" t="s">
        <v>69</v>
      </c>
      <c r="J78" s="120" t="s">
        <v>69</v>
      </c>
      <c r="K78" s="120" t="s">
        <v>69</v>
      </c>
      <c r="L78" s="120" t="s">
        <v>69</v>
      </c>
      <c r="M78" s="329" t="s">
        <v>108</v>
      </c>
      <c r="N78" s="121" t="s">
        <v>72</v>
      </c>
      <c r="O78" s="120" t="s">
        <v>69</v>
      </c>
      <c r="P78" s="120" t="s">
        <v>69</v>
      </c>
      <c r="Q78" s="120" t="s">
        <v>69</v>
      </c>
      <c r="R78" s="120" t="s">
        <v>69</v>
      </c>
      <c r="S78" s="120" t="s">
        <v>69</v>
      </c>
      <c r="T78" s="329" t="s">
        <v>108</v>
      </c>
      <c r="U78" s="120" t="s">
        <v>69</v>
      </c>
      <c r="V78" s="120" t="s">
        <v>69</v>
      </c>
      <c r="W78" s="120" t="s">
        <v>69</v>
      </c>
      <c r="X78" s="120" t="s">
        <v>69</v>
      </c>
      <c r="Y78" s="121" t="s">
        <v>72</v>
      </c>
      <c r="Z78" s="672" t="s">
        <v>276</v>
      </c>
      <c r="AA78" s="388" t="s">
        <v>108</v>
      </c>
      <c r="AB78" s="120" t="s">
        <v>69</v>
      </c>
      <c r="AC78" s="120" t="s">
        <v>69</v>
      </c>
      <c r="AD78" s="120" t="s">
        <v>69</v>
      </c>
      <c r="AE78" s="120" t="s">
        <v>69</v>
      </c>
      <c r="AF78" s="120" t="s">
        <v>69</v>
      </c>
      <c r="AG78" s="120" t="s">
        <v>69</v>
      </c>
    </row>
    <row r="79" spans="1:33" ht="18">
      <c r="A79" s="5">
        <v>78</v>
      </c>
      <c r="B79" s="255" t="s">
        <v>277</v>
      </c>
      <c r="C79" s="7"/>
      <c r="D79" s="7"/>
      <c r="E79" s="7">
        <f t="shared" si="2"/>
        <v>0</v>
      </c>
      <c r="F79" s="427" t="s">
        <v>108</v>
      </c>
      <c r="G79" s="120" t="s">
        <v>69</v>
      </c>
      <c r="H79" s="120" t="s">
        <v>69</v>
      </c>
      <c r="I79" s="120" t="s">
        <v>69</v>
      </c>
      <c r="J79" s="121" t="s">
        <v>72</v>
      </c>
      <c r="K79" s="120" t="s">
        <v>69</v>
      </c>
      <c r="L79" s="120" t="s">
        <v>69</v>
      </c>
      <c r="M79" s="329" t="s">
        <v>108</v>
      </c>
      <c r="N79" s="134" t="s">
        <v>69</v>
      </c>
      <c r="O79" s="131" t="s">
        <v>72</v>
      </c>
      <c r="P79" s="131" t="s">
        <v>76</v>
      </c>
      <c r="Q79" s="131" t="s">
        <v>76</v>
      </c>
      <c r="R79" s="131" t="s">
        <v>76</v>
      </c>
      <c r="S79" s="131" t="s">
        <v>76</v>
      </c>
      <c r="T79" s="329" t="s">
        <v>108</v>
      </c>
      <c r="U79" s="131" t="s">
        <v>76</v>
      </c>
      <c r="V79" s="131" t="s">
        <v>76</v>
      </c>
      <c r="W79" s="131" t="s">
        <v>76</v>
      </c>
      <c r="X79" s="131" t="s">
        <v>76</v>
      </c>
      <c r="Y79" s="131" t="s">
        <v>76</v>
      </c>
      <c r="Z79" s="131" t="s">
        <v>76</v>
      </c>
      <c r="AA79" s="388" t="s">
        <v>108</v>
      </c>
      <c r="AB79" s="131" t="s">
        <v>76</v>
      </c>
      <c r="AC79" s="131" t="s">
        <v>76</v>
      </c>
      <c r="AD79" s="131" t="s">
        <v>76</v>
      </c>
      <c r="AE79" s="131" t="s">
        <v>76</v>
      </c>
      <c r="AF79" s="131" t="s">
        <v>76</v>
      </c>
      <c r="AG79" s="131" t="s">
        <v>76</v>
      </c>
    </row>
    <row r="80" spans="1:33" ht="18">
      <c r="A80" s="5">
        <v>79</v>
      </c>
      <c r="B80" s="254" t="s">
        <v>263</v>
      </c>
      <c r="C80" s="7">
        <v>3</v>
      </c>
      <c r="D80" s="7">
        <v>1</v>
      </c>
      <c r="E80" s="7">
        <f t="shared" si="2"/>
        <v>2</v>
      </c>
      <c r="F80" s="427" t="s">
        <v>108</v>
      </c>
      <c r="G80" s="406" t="s">
        <v>72</v>
      </c>
      <c r="H80" s="672" t="s">
        <v>69</v>
      </c>
      <c r="I80" s="672" t="s">
        <v>69</v>
      </c>
      <c r="J80" s="672" t="s">
        <v>69</v>
      </c>
      <c r="K80" s="672" t="s">
        <v>69</v>
      </c>
      <c r="L80" s="672" t="s">
        <v>69</v>
      </c>
      <c r="M80" s="329" t="s">
        <v>108</v>
      </c>
      <c r="N80" s="134" t="s">
        <v>69</v>
      </c>
      <c r="O80" s="134" t="s">
        <v>69</v>
      </c>
      <c r="P80" s="134" t="s">
        <v>69</v>
      </c>
      <c r="Q80" s="134" t="s">
        <v>69</v>
      </c>
      <c r="R80" s="134" t="s">
        <v>69</v>
      </c>
      <c r="S80" s="134" t="s">
        <v>69</v>
      </c>
      <c r="T80" s="329" t="s">
        <v>108</v>
      </c>
      <c r="U80" s="120" t="s">
        <v>69</v>
      </c>
      <c r="V80" s="120" t="s">
        <v>69</v>
      </c>
      <c r="W80" s="120" t="s">
        <v>69</v>
      </c>
      <c r="X80" s="120" t="s">
        <v>69</v>
      </c>
      <c r="Y80" s="120" t="s">
        <v>69</v>
      </c>
      <c r="Z80" s="121" t="s">
        <v>72</v>
      </c>
      <c r="AA80" s="388" t="s">
        <v>108</v>
      </c>
      <c r="AB80" s="120" t="s">
        <v>69</v>
      </c>
      <c r="AC80" s="120" t="s">
        <v>69</v>
      </c>
      <c r="AD80" s="120" t="s">
        <v>69</v>
      </c>
      <c r="AE80" s="121" t="s">
        <v>72</v>
      </c>
      <c r="AF80" s="120" t="s">
        <v>69</v>
      </c>
      <c r="AG80" s="120" t="s">
        <v>69</v>
      </c>
    </row>
    <row r="81" spans="1:33" ht="18">
      <c r="A81" s="5">
        <v>80</v>
      </c>
      <c r="B81" s="254" t="s">
        <v>248</v>
      </c>
      <c r="C81" s="7">
        <v>2</v>
      </c>
      <c r="D81" s="7">
        <v>1</v>
      </c>
      <c r="E81" s="7">
        <f t="shared" si="2"/>
        <v>1</v>
      </c>
      <c r="F81" s="427" t="s">
        <v>108</v>
      </c>
      <c r="G81" s="134" t="s">
        <v>69</v>
      </c>
      <c r="H81" s="134" t="s">
        <v>69</v>
      </c>
      <c r="I81" s="134" t="s">
        <v>69</v>
      </c>
      <c r="J81" s="134" t="s">
        <v>69</v>
      </c>
      <c r="K81" s="134" t="s">
        <v>69</v>
      </c>
      <c r="L81" s="134" t="s">
        <v>69</v>
      </c>
      <c r="M81" s="329" t="s">
        <v>108</v>
      </c>
      <c r="N81" s="134" t="s">
        <v>69</v>
      </c>
      <c r="O81" s="134" t="s">
        <v>69</v>
      </c>
      <c r="P81" s="134" t="s">
        <v>69</v>
      </c>
      <c r="Q81" s="134" t="s">
        <v>69</v>
      </c>
      <c r="R81" s="379" t="s">
        <v>72</v>
      </c>
      <c r="S81" s="134" t="s">
        <v>69</v>
      </c>
      <c r="T81" s="329" t="s">
        <v>108</v>
      </c>
      <c r="U81" s="120" t="s">
        <v>69</v>
      </c>
      <c r="V81" s="379" t="s">
        <v>72</v>
      </c>
      <c r="W81" s="120" t="s">
        <v>69</v>
      </c>
      <c r="X81" s="120" t="s">
        <v>69</v>
      </c>
      <c r="Y81" s="120" t="s">
        <v>69</v>
      </c>
      <c r="Z81" s="120" t="s">
        <v>69</v>
      </c>
      <c r="AA81" s="388" t="s">
        <v>108</v>
      </c>
      <c r="AB81" s="120" t="s">
        <v>69</v>
      </c>
      <c r="AC81" s="120" t="s">
        <v>69</v>
      </c>
      <c r="AD81" s="120" t="s">
        <v>69</v>
      </c>
      <c r="AE81" s="120" t="s">
        <v>69</v>
      </c>
      <c r="AF81" s="120" t="s">
        <v>69</v>
      </c>
      <c r="AG81" s="120" t="s">
        <v>69</v>
      </c>
    </row>
    <row r="82" spans="1:33" ht="18">
      <c r="A82" s="5">
        <v>81</v>
      </c>
      <c r="B82" s="186" t="s">
        <v>60</v>
      </c>
      <c r="C82" s="7">
        <v>3</v>
      </c>
      <c r="D82" s="7">
        <v>1</v>
      </c>
      <c r="E82" s="7">
        <f t="shared" si="2"/>
        <v>2</v>
      </c>
      <c r="F82" s="427" t="s">
        <v>108</v>
      </c>
      <c r="G82" s="120" t="s">
        <v>69</v>
      </c>
      <c r="H82" s="120" t="s">
        <v>69</v>
      </c>
      <c r="I82" s="120" t="s">
        <v>69</v>
      </c>
      <c r="J82" s="120" t="s">
        <v>69</v>
      </c>
      <c r="K82" s="120" t="s">
        <v>69</v>
      </c>
      <c r="L82" s="120" t="s">
        <v>69</v>
      </c>
      <c r="M82" s="329" t="s">
        <v>108</v>
      </c>
      <c r="N82" s="120" t="s">
        <v>69</v>
      </c>
      <c r="O82" s="120" t="s">
        <v>69</v>
      </c>
      <c r="P82" s="120" t="s">
        <v>69</v>
      </c>
      <c r="Q82" s="120" t="s">
        <v>69</v>
      </c>
      <c r="R82" s="120" t="s">
        <v>69</v>
      </c>
      <c r="S82" s="418" t="s">
        <v>72</v>
      </c>
      <c r="T82" s="329" t="s">
        <v>108</v>
      </c>
      <c r="U82" s="379" t="s">
        <v>72</v>
      </c>
      <c r="V82" s="378" t="s">
        <v>69</v>
      </c>
      <c r="W82" s="378" t="s">
        <v>69</v>
      </c>
      <c r="X82" s="378" t="s">
        <v>69</v>
      </c>
      <c r="Y82" s="378" t="s">
        <v>69</v>
      </c>
      <c r="Z82" s="378" t="s">
        <v>69</v>
      </c>
      <c r="AA82" s="388" t="s">
        <v>108</v>
      </c>
      <c r="AB82" s="120" t="s">
        <v>69</v>
      </c>
      <c r="AC82" s="120" t="s">
        <v>69</v>
      </c>
      <c r="AD82" s="120" t="s">
        <v>69</v>
      </c>
      <c r="AE82" s="120" t="s">
        <v>69</v>
      </c>
      <c r="AF82" s="120" t="s">
        <v>69</v>
      </c>
      <c r="AG82" s="121" t="s">
        <v>72</v>
      </c>
    </row>
    <row r="83" spans="1:33" ht="18">
      <c r="A83" s="5">
        <v>82</v>
      </c>
      <c r="B83" s="186" t="s">
        <v>106</v>
      </c>
      <c r="C83" s="7">
        <v>7</v>
      </c>
      <c r="D83" s="7">
        <v>2</v>
      </c>
      <c r="E83" s="7">
        <f t="shared" si="2"/>
        <v>5</v>
      </c>
      <c r="F83" s="427" t="s">
        <v>108</v>
      </c>
      <c r="G83" s="131" t="s">
        <v>72</v>
      </c>
      <c r="H83" s="131" t="s">
        <v>72</v>
      </c>
      <c r="I83" s="134" t="s">
        <v>69</v>
      </c>
      <c r="J83" s="134" t="s">
        <v>69</v>
      </c>
      <c r="K83" s="134" t="s">
        <v>69</v>
      </c>
      <c r="L83" s="134" t="s">
        <v>69</v>
      </c>
      <c r="M83" s="329" t="s">
        <v>108</v>
      </c>
      <c r="N83" s="120" t="s">
        <v>69</v>
      </c>
      <c r="O83" s="120" t="s">
        <v>69</v>
      </c>
      <c r="P83" s="131" t="s">
        <v>72</v>
      </c>
      <c r="Q83" s="131" t="s">
        <v>72</v>
      </c>
      <c r="R83" s="131" t="s">
        <v>72</v>
      </c>
      <c r="S83" s="131" t="s">
        <v>72</v>
      </c>
      <c r="T83" s="329" t="s">
        <v>108</v>
      </c>
      <c r="U83" s="378" t="s">
        <v>69</v>
      </c>
      <c r="V83" s="378" t="s">
        <v>69</v>
      </c>
      <c r="W83" s="378" t="s">
        <v>69</v>
      </c>
      <c r="X83" s="378" t="s">
        <v>69</v>
      </c>
      <c r="Y83" s="378" t="s">
        <v>69</v>
      </c>
      <c r="Z83" s="378" t="s">
        <v>69</v>
      </c>
      <c r="AA83" s="388" t="s">
        <v>108</v>
      </c>
      <c r="AB83" s="379" t="s">
        <v>72</v>
      </c>
      <c r="AC83" s="120" t="s">
        <v>69</v>
      </c>
      <c r="AD83" s="120" t="s">
        <v>69</v>
      </c>
      <c r="AE83" s="120" t="s">
        <v>69</v>
      </c>
      <c r="AF83" s="120" t="s">
        <v>69</v>
      </c>
      <c r="AG83" s="120" t="s">
        <v>69</v>
      </c>
    </row>
    <row r="84" spans="1:33" ht="18">
      <c r="A84" s="5">
        <v>83</v>
      </c>
      <c r="B84" s="254" t="s">
        <v>61</v>
      </c>
      <c r="C84" s="7">
        <v>1</v>
      </c>
      <c r="D84" s="7">
        <v>1</v>
      </c>
      <c r="E84" s="7">
        <f t="shared" si="2"/>
        <v>0</v>
      </c>
      <c r="F84" s="427" t="s">
        <v>108</v>
      </c>
      <c r="G84" s="378" t="s">
        <v>69</v>
      </c>
      <c r="H84" s="378" t="s">
        <v>69</v>
      </c>
      <c r="I84" s="378" t="s">
        <v>69</v>
      </c>
      <c r="J84" s="391" t="s">
        <v>74</v>
      </c>
      <c r="K84" s="120" t="s">
        <v>69</v>
      </c>
      <c r="L84" s="120" t="s">
        <v>69</v>
      </c>
      <c r="M84" s="329" t="s">
        <v>108</v>
      </c>
      <c r="N84" s="120" t="s">
        <v>69</v>
      </c>
      <c r="O84" s="120" t="s">
        <v>69</v>
      </c>
      <c r="P84" s="120" t="s">
        <v>69</v>
      </c>
      <c r="Q84" s="672" t="s">
        <v>121</v>
      </c>
      <c r="R84" s="378" t="s">
        <v>69</v>
      </c>
      <c r="S84" s="378" t="s">
        <v>69</v>
      </c>
      <c r="T84" s="329" t="s">
        <v>108</v>
      </c>
      <c r="U84" s="379" t="s">
        <v>72</v>
      </c>
      <c r="V84" s="378" t="s">
        <v>69</v>
      </c>
      <c r="W84" s="378" t="s">
        <v>69</v>
      </c>
      <c r="X84" s="378" t="s">
        <v>69</v>
      </c>
      <c r="Y84" s="378" t="s">
        <v>69</v>
      </c>
      <c r="Z84" s="378" t="s">
        <v>69</v>
      </c>
      <c r="AA84" s="388" t="s">
        <v>108</v>
      </c>
      <c r="AB84" s="378" t="s">
        <v>69</v>
      </c>
      <c r="AC84" s="378" t="s">
        <v>69</v>
      </c>
      <c r="AD84" s="378" t="s">
        <v>69</v>
      </c>
      <c r="AE84" s="378" t="s">
        <v>69</v>
      </c>
      <c r="AF84" s="378" t="s">
        <v>69</v>
      </c>
      <c r="AG84" s="120" t="s">
        <v>70</v>
      </c>
    </row>
    <row r="85" spans="1:33" ht="18">
      <c r="A85" s="5">
        <v>84</v>
      </c>
      <c r="B85" s="254" t="s">
        <v>62</v>
      </c>
      <c r="C85" s="7">
        <v>3</v>
      </c>
      <c r="D85" s="7">
        <v>3</v>
      </c>
      <c r="E85" s="7">
        <f t="shared" si="2"/>
        <v>0</v>
      </c>
      <c r="F85" s="427" t="s">
        <v>108</v>
      </c>
      <c r="G85" s="204" t="s">
        <v>72</v>
      </c>
      <c r="H85" s="157" t="s">
        <v>69</v>
      </c>
      <c r="I85" s="432" t="s">
        <v>69</v>
      </c>
      <c r="J85" s="432" t="s">
        <v>69</v>
      </c>
      <c r="K85" s="204" t="s">
        <v>72</v>
      </c>
      <c r="L85" s="157" t="s">
        <v>69</v>
      </c>
      <c r="M85" s="348" t="s">
        <v>108</v>
      </c>
      <c r="N85" s="204" t="s">
        <v>72</v>
      </c>
      <c r="O85" s="120" t="s">
        <v>69</v>
      </c>
      <c r="P85" s="157" t="s">
        <v>69</v>
      </c>
      <c r="Q85" s="120" t="s">
        <v>69</v>
      </c>
      <c r="R85" s="157" t="s">
        <v>69</v>
      </c>
      <c r="S85" s="157" t="s">
        <v>69</v>
      </c>
      <c r="T85" s="348" t="s">
        <v>108</v>
      </c>
      <c r="U85" s="432" t="s">
        <v>69</v>
      </c>
      <c r="V85" s="432" t="s">
        <v>69</v>
      </c>
      <c r="W85" s="432" t="s">
        <v>69</v>
      </c>
      <c r="X85" s="432" t="s">
        <v>69</v>
      </c>
      <c r="Y85" s="432" t="s">
        <v>69</v>
      </c>
      <c r="Z85" s="432" t="s">
        <v>69</v>
      </c>
      <c r="AA85" s="388" t="s">
        <v>108</v>
      </c>
      <c r="AB85" s="378" t="s">
        <v>69</v>
      </c>
      <c r="AC85" s="378" t="s">
        <v>69</v>
      </c>
      <c r="AD85" s="378" t="s">
        <v>69</v>
      </c>
      <c r="AE85" s="378" t="s">
        <v>69</v>
      </c>
      <c r="AF85" s="378" t="s">
        <v>69</v>
      </c>
      <c r="AG85" s="157" t="s">
        <v>69</v>
      </c>
    </row>
    <row r="86" spans="1:33">
      <c r="A86" s="5"/>
      <c r="B86" s="5"/>
      <c r="C86" s="7"/>
      <c r="D86" s="7"/>
      <c r="E86" s="415"/>
      <c r="F86" s="120"/>
      <c r="G86" s="361"/>
      <c r="H86" s="120"/>
      <c r="I86" s="120"/>
      <c r="J86" s="120"/>
      <c r="K86" s="131"/>
      <c r="L86" s="120"/>
      <c r="M86" s="120"/>
      <c r="N86" s="361"/>
      <c r="O86" s="120"/>
      <c r="P86" s="120"/>
      <c r="Q86" s="120"/>
      <c r="R86" s="120"/>
      <c r="S86" s="120"/>
      <c r="T86" s="120"/>
      <c r="U86" s="361"/>
      <c r="V86" s="120"/>
      <c r="W86" s="120"/>
      <c r="X86" s="120"/>
      <c r="Y86" s="120"/>
      <c r="Z86" s="120"/>
      <c r="AA86" s="388"/>
      <c r="AB86" s="361"/>
      <c r="AC86" s="120"/>
      <c r="AD86" s="120"/>
      <c r="AE86" s="120"/>
      <c r="AF86" s="120"/>
      <c r="AG86" s="120"/>
    </row>
  </sheetData>
  <sortState xmlns:xlrd2="http://schemas.microsoft.com/office/spreadsheetml/2017/richdata2" ref="A2:AG85">
    <sortCondition ref="A2:A85"/>
  </sortState>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B5DE-964B-4648-BE81-FAB3C7112167}">
  <dimension ref="A1:AP84"/>
  <sheetViews>
    <sheetView workbookViewId="0">
      <pane xSplit="2" ySplit="1" topLeftCell="AG2" activePane="bottomRight" state="frozen"/>
      <selection pane="topRight"/>
      <selection pane="bottomLeft"/>
      <selection pane="bottomRight" activeCell="AL1" sqref="AL1:AP2"/>
    </sheetView>
  </sheetViews>
  <sheetFormatPr defaultRowHeight="14.25"/>
  <cols>
    <col min="2" max="2" width="41.73046875" customWidth="1"/>
    <col min="3" max="3" width="41.73046875" hidden="1" customWidth="1"/>
    <col min="4" max="6" width="0" hidden="1" customWidth="1"/>
  </cols>
  <sheetData>
    <row r="1" spans="1:42" ht="18">
      <c r="A1" s="29" t="s">
        <v>64</v>
      </c>
      <c r="B1" s="29" t="s">
        <v>65</v>
      </c>
      <c r="C1" s="29" t="s">
        <v>278</v>
      </c>
      <c r="D1" s="336" t="s">
        <v>68</v>
      </c>
      <c r="E1" s="336" t="s">
        <v>66</v>
      </c>
      <c r="F1" s="336" t="s">
        <v>67</v>
      </c>
      <c r="G1" s="165">
        <v>1</v>
      </c>
      <c r="H1" s="165">
        <v>2</v>
      </c>
      <c r="I1" s="165">
        <v>3</v>
      </c>
      <c r="J1" s="165">
        <v>4</v>
      </c>
      <c r="K1" s="165">
        <v>5</v>
      </c>
      <c r="L1" s="165">
        <v>6</v>
      </c>
      <c r="M1" s="165">
        <v>7</v>
      </c>
      <c r="N1" s="122">
        <v>8</v>
      </c>
      <c r="O1" s="165">
        <v>9</v>
      </c>
      <c r="P1" s="165">
        <v>10</v>
      </c>
      <c r="Q1" s="165">
        <v>11</v>
      </c>
      <c r="R1" s="165">
        <v>12</v>
      </c>
      <c r="S1" s="165">
        <v>13</v>
      </c>
      <c r="T1" s="165">
        <v>14</v>
      </c>
      <c r="U1" s="165">
        <v>15</v>
      </c>
      <c r="V1" s="165">
        <v>16</v>
      </c>
      <c r="W1" s="165">
        <v>17</v>
      </c>
      <c r="X1" s="165">
        <v>18</v>
      </c>
      <c r="Y1" s="165">
        <v>19</v>
      </c>
      <c r="Z1" s="165">
        <v>20</v>
      </c>
      <c r="AA1" s="165">
        <v>21</v>
      </c>
      <c r="AB1" s="165">
        <v>22</v>
      </c>
      <c r="AC1" s="165">
        <v>23</v>
      </c>
      <c r="AD1" s="165">
        <v>24</v>
      </c>
      <c r="AE1" s="165">
        <v>25</v>
      </c>
      <c r="AF1" s="165">
        <v>26</v>
      </c>
      <c r="AG1" s="165">
        <v>27</v>
      </c>
      <c r="AH1" s="165">
        <v>28</v>
      </c>
      <c r="AI1" s="166">
        <v>29</v>
      </c>
      <c r="AJ1" s="360">
        <v>30</v>
      </c>
      <c r="AK1" s="434">
        <v>31</v>
      </c>
      <c r="AL1" t="s">
        <v>279</v>
      </c>
      <c r="AM1" t="s">
        <v>280</v>
      </c>
      <c r="AN1" t="s">
        <v>281</v>
      </c>
      <c r="AO1" t="s">
        <v>282</v>
      </c>
      <c r="AP1" t="s">
        <v>283</v>
      </c>
    </row>
    <row r="2" spans="1:42" ht="18">
      <c r="A2" s="5">
        <v>1</v>
      </c>
      <c r="B2" s="254" t="s">
        <v>6</v>
      </c>
      <c r="C2" s="450" t="s">
        <v>284</v>
      </c>
      <c r="D2" s="7"/>
      <c r="E2" s="7"/>
      <c r="F2" s="7"/>
      <c r="G2" s="433" t="s">
        <v>108</v>
      </c>
      <c r="H2" s="116" t="s">
        <v>69</v>
      </c>
      <c r="I2" s="63" t="s">
        <v>72</v>
      </c>
      <c r="J2" s="9" t="s">
        <v>69</v>
      </c>
      <c r="K2" s="9" t="s">
        <v>69</v>
      </c>
      <c r="L2" s="9" t="s">
        <v>69</v>
      </c>
      <c r="M2" s="9" t="s">
        <v>69</v>
      </c>
      <c r="N2" s="427" t="s">
        <v>108</v>
      </c>
      <c r="O2" s="121" t="s">
        <v>72</v>
      </c>
      <c r="P2" s="120" t="s">
        <v>69</v>
      </c>
      <c r="Q2" s="120" t="s">
        <v>69</v>
      </c>
      <c r="R2" s="120" t="s">
        <v>69</v>
      </c>
      <c r="S2" s="120" t="s">
        <v>69</v>
      </c>
      <c r="T2" s="120" t="s">
        <v>69</v>
      </c>
      <c r="U2" s="427" t="s">
        <v>108</v>
      </c>
      <c r="V2" s="120" t="s">
        <v>69</v>
      </c>
      <c r="W2" s="120" t="s">
        <v>69</v>
      </c>
      <c r="X2" s="120" t="s">
        <v>69</v>
      </c>
      <c r="Y2" s="120" t="s">
        <v>69</v>
      </c>
      <c r="Z2" s="120" t="s">
        <v>69</v>
      </c>
      <c r="AA2" s="137" t="s">
        <v>282</v>
      </c>
      <c r="AB2" s="427" t="s">
        <v>108</v>
      </c>
      <c r="AC2" s="120" t="s">
        <v>69</v>
      </c>
      <c r="AD2" s="120" t="s">
        <v>69</v>
      </c>
      <c r="AE2" s="120" t="s">
        <v>69</v>
      </c>
      <c r="AF2" s="120" t="s">
        <v>69</v>
      </c>
      <c r="AG2" s="120" t="s">
        <v>69</v>
      </c>
      <c r="AH2" s="120" t="s">
        <v>69</v>
      </c>
      <c r="AI2" s="427" t="s">
        <v>108</v>
      </c>
      <c r="AJ2" s="120" t="s">
        <v>69</v>
      </c>
      <c r="AK2" s="120" t="s">
        <v>69</v>
      </c>
      <c r="AL2">
        <f>COUNTIF(H2:AK2, "AB")</f>
        <v>2</v>
      </c>
      <c r="AM2">
        <f>COUNTIF(H2:AK2, "CL")</f>
        <v>0</v>
      </c>
      <c r="AN2">
        <f>COUNTIF(H2:AK2, "H.D")</f>
        <v>0</v>
      </c>
      <c r="AO2">
        <f>COUNTIF(H2:AK2, "CO")</f>
        <v>1</v>
      </c>
      <c r="AP2">
        <f>COUNTIF(H2:AK2, "SL")</f>
        <v>0</v>
      </c>
    </row>
    <row r="3" spans="1:42" ht="18">
      <c r="A3" s="5">
        <v>2</v>
      </c>
      <c r="B3" s="254" t="s">
        <v>249</v>
      </c>
      <c r="C3" s="451" t="s">
        <v>285</v>
      </c>
      <c r="D3" s="7"/>
      <c r="E3" s="7"/>
      <c r="F3" s="7"/>
      <c r="G3" s="433" t="s">
        <v>108</v>
      </c>
      <c r="H3" s="63" t="s">
        <v>72</v>
      </c>
      <c r="I3" s="435" t="s">
        <v>69</v>
      </c>
      <c r="J3" s="444" t="s">
        <v>111</v>
      </c>
      <c r="K3" s="9" t="s">
        <v>69</v>
      </c>
      <c r="L3" s="9" t="s">
        <v>69</v>
      </c>
      <c r="M3" s="9" t="s">
        <v>69</v>
      </c>
      <c r="N3" s="427" t="s">
        <v>108</v>
      </c>
      <c r="O3" s="120" t="s">
        <v>69</v>
      </c>
      <c r="P3" s="120" t="s">
        <v>69</v>
      </c>
      <c r="Q3" s="120" t="s">
        <v>69</v>
      </c>
      <c r="R3" s="120" t="s">
        <v>69</v>
      </c>
      <c r="S3" s="120" t="s">
        <v>69</v>
      </c>
      <c r="T3" s="131" t="s">
        <v>72</v>
      </c>
      <c r="U3" s="427" t="s">
        <v>108</v>
      </c>
      <c r="V3" s="120" t="s">
        <v>69</v>
      </c>
      <c r="W3" s="120" t="s">
        <v>69</v>
      </c>
      <c r="X3" s="120" t="s">
        <v>69</v>
      </c>
      <c r="Y3" s="120" t="s">
        <v>69</v>
      </c>
      <c r="Z3" s="120" t="s">
        <v>69</v>
      </c>
      <c r="AA3" s="276" t="s">
        <v>111</v>
      </c>
      <c r="AB3" s="427" t="s">
        <v>108</v>
      </c>
      <c r="AC3" s="120" t="s">
        <v>69</v>
      </c>
      <c r="AD3" s="120" t="s">
        <v>69</v>
      </c>
      <c r="AE3" s="120" t="s">
        <v>69</v>
      </c>
      <c r="AF3" s="120" t="s">
        <v>69</v>
      </c>
      <c r="AG3" s="120" t="s">
        <v>69</v>
      </c>
      <c r="AH3" s="120" t="s">
        <v>69</v>
      </c>
      <c r="AI3" s="427" t="s">
        <v>108</v>
      </c>
      <c r="AJ3" s="120" t="s">
        <v>69</v>
      </c>
      <c r="AK3" s="120" t="s">
        <v>69</v>
      </c>
      <c r="AL3">
        <f t="shared" ref="AL3:AL66" si="0">COUNTIF(H3:AK3, "AB")</f>
        <v>2</v>
      </c>
      <c r="AM3">
        <f t="shared" ref="AM3:AM66" si="1">COUNTIF(H3:AK3, "CL")</f>
        <v>2</v>
      </c>
      <c r="AN3">
        <f t="shared" ref="AN3:AN66" si="2">COUNTIF(H3:AK3, "H.D")</f>
        <v>0</v>
      </c>
      <c r="AO3">
        <f t="shared" ref="AO3:AO66" si="3">COUNTIF(H3:AK3, "CO")</f>
        <v>0</v>
      </c>
      <c r="AP3">
        <f t="shared" ref="AP3:AP66" si="4">COUNTIF(H3:AK3, "SL")</f>
        <v>0</v>
      </c>
    </row>
    <row r="4" spans="1:42" ht="18">
      <c r="A4" s="5">
        <v>3</v>
      </c>
      <c r="B4" s="254" t="s">
        <v>7</v>
      </c>
      <c r="C4" s="451" t="s">
        <v>286</v>
      </c>
      <c r="D4" s="7"/>
      <c r="E4" s="7"/>
      <c r="F4" s="7"/>
      <c r="G4" s="433" t="s">
        <v>108</v>
      </c>
      <c r="H4" s="9" t="s">
        <v>69</v>
      </c>
      <c r="I4" s="435" t="s">
        <v>69</v>
      </c>
      <c r="J4" s="444" t="s">
        <v>111</v>
      </c>
      <c r="K4" s="63" t="s">
        <v>72</v>
      </c>
      <c r="L4" s="9" t="s">
        <v>69</v>
      </c>
      <c r="M4" s="9" t="s">
        <v>69</v>
      </c>
      <c r="N4" s="427" t="s">
        <v>108</v>
      </c>
      <c r="O4" s="120" t="s">
        <v>69</v>
      </c>
      <c r="P4" s="120" t="s">
        <v>69</v>
      </c>
      <c r="Q4" s="120" t="s">
        <v>69</v>
      </c>
      <c r="R4" s="120" t="s">
        <v>69</v>
      </c>
      <c r="S4" s="120" t="s">
        <v>69</v>
      </c>
      <c r="T4" s="120" t="s">
        <v>69</v>
      </c>
      <c r="U4" s="427" t="s">
        <v>108</v>
      </c>
      <c r="V4" s="120" t="s">
        <v>69</v>
      </c>
      <c r="W4" s="120" t="s">
        <v>69</v>
      </c>
      <c r="X4" s="120" t="s">
        <v>69</v>
      </c>
      <c r="Y4" s="120" t="s">
        <v>69</v>
      </c>
      <c r="Z4" s="120" t="s">
        <v>69</v>
      </c>
      <c r="AA4" s="276" t="s">
        <v>111</v>
      </c>
      <c r="AB4" s="427" t="s">
        <v>108</v>
      </c>
      <c r="AC4" s="120" t="s">
        <v>69</v>
      </c>
      <c r="AD4" s="120" t="s">
        <v>69</v>
      </c>
      <c r="AE4" s="120" t="s">
        <v>69</v>
      </c>
      <c r="AF4" s="120" t="s">
        <v>69</v>
      </c>
      <c r="AG4" s="120" t="s">
        <v>69</v>
      </c>
      <c r="AH4" s="120" t="s">
        <v>69</v>
      </c>
      <c r="AI4" s="427" t="s">
        <v>108</v>
      </c>
      <c r="AJ4" s="120" t="s">
        <v>69</v>
      </c>
      <c r="AK4" s="120" t="s">
        <v>69</v>
      </c>
      <c r="AL4">
        <f t="shared" si="0"/>
        <v>1</v>
      </c>
      <c r="AM4">
        <f t="shared" si="1"/>
        <v>2</v>
      </c>
      <c r="AN4">
        <f t="shared" si="2"/>
        <v>0</v>
      </c>
      <c r="AO4">
        <f t="shared" si="3"/>
        <v>0</v>
      </c>
      <c r="AP4">
        <f t="shared" si="4"/>
        <v>0</v>
      </c>
    </row>
    <row r="5" spans="1:42" ht="18">
      <c r="A5" s="5">
        <v>4</v>
      </c>
      <c r="B5" s="254" t="s">
        <v>265</v>
      </c>
      <c r="C5" s="452" t="s">
        <v>284</v>
      </c>
      <c r="D5" s="7"/>
      <c r="E5" s="7"/>
      <c r="F5" s="7"/>
      <c r="G5" s="433" t="s">
        <v>108</v>
      </c>
      <c r="H5" s="9" t="s">
        <v>69</v>
      </c>
      <c r="I5" s="436" t="s">
        <v>72</v>
      </c>
      <c r="J5" s="444" t="s">
        <v>111</v>
      </c>
      <c r="K5" s="9" t="s">
        <v>69</v>
      </c>
      <c r="L5" s="9" t="s">
        <v>69</v>
      </c>
      <c r="M5" s="9" t="s">
        <v>69</v>
      </c>
      <c r="N5" s="427" t="s">
        <v>108</v>
      </c>
      <c r="O5" s="120" t="s">
        <v>69</v>
      </c>
      <c r="P5" s="120" t="s">
        <v>69</v>
      </c>
      <c r="Q5" s="120" t="s">
        <v>69</v>
      </c>
      <c r="R5" s="120" t="s">
        <v>69</v>
      </c>
      <c r="S5" s="120" t="s">
        <v>69</v>
      </c>
      <c r="T5" s="120" t="s">
        <v>69</v>
      </c>
      <c r="U5" s="427" t="s">
        <v>108</v>
      </c>
      <c r="V5" s="120" t="s">
        <v>69</v>
      </c>
      <c r="W5" s="120" t="s">
        <v>69</v>
      </c>
      <c r="X5" s="120" t="s">
        <v>69</v>
      </c>
      <c r="Y5" s="120" t="s">
        <v>69</v>
      </c>
      <c r="Z5" s="120" t="s">
        <v>69</v>
      </c>
      <c r="AA5" s="276" t="s">
        <v>111</v>
      </c>
      <c r="AB5" s="427" t="s">
        <v>108</v>
      </c>
      <c r="AC5" s="120" t="s">
        <v>69</v>
      </c>
      <c r="AD5" s="120" t="s">
        <v>69</v>
      </c>
      <c r="AE5" s="120" t="s">
        <v>69</v>
      </c>
      <c r="AF5" s="120" t="s">
        <v>69</v>
      </c>
      <c r="AG5" s="120" t="s">
        <v>69</v>
      </c>
      <c r="AH5" s="120" t="s">
        <v>69</v>
      </c>
      <c r="AI5" s="427" t="s">
        <v>108</v>
      </c>
      <c r="AJ5" s="120" t="s">
        <v>69</v>
      </c>
      <c r="AK5" s="120" t="s">
        <v>69</v>
      </c>
      <c r="AL5">
        <f t="shared" si="0"/>
        <v>1</v>
      </c>
      <c r="AM5">
        <f t="shared" si="1"/>
        <v>2</v>
      </c>
      <c r="AN5">
        <f t="shared" si="2"/>
        <v>0</v>
      </c>
      <c r="AO5">
        <f t="shared" si="3"/>
        <v>0</v>
      </c>
      <c r="AP5">
        <f t="shared" si="4"/>
        <v>0</v>
      </c>
    </row>
    <row r="6" spans="1:42" ht="18">
      <c r="A6" s="5">
        <v>5</v>
      </c>
      <c r="B6" s="254" t="s">
        <v>266</v>
      </c>
      <c r="C6" s="453" t="s">
        <v>133</v>
      </c>
      <c r="D6" s="7"/>
      <c r="E6" s="7"/>
      <c r="F6" s="7"/>
      <c r="G6" s="433" t="s">
        <v>108</v>
      </c>
      <c r="H6" s="9" t="s">
        <v>69</v>
      </c>
      <c r="I6" s="435" t="s">
        <v>69</v>
      </c>
      <c r="J6" s="444" t="s">
        <v>111</v>
      </c>
      <c r="K6" s="9" t="s">
        <v>69</v>
      </c>
      <c r="L6" s="9" t="s">
        <v>69</v>
      </c>
      <c r="M6" s="9" t="s">
        <v>69</v>
      </c>
      <c r="N6" s="427" t="s">
        <v>108</v>
      </c>
      <c r="O6" s="120" t="s">
        <v>69</v>
      </c>
      <c r="P6" s="120" t="s">
        <v>69</v>
      </c>
      <c r="Q6" s="120" t="s">
        <v>69</v>
      </c>
      <c r="R6" s="120" t="s">
        <v>69</v>
      </c>
      <c r="S6" s="120" t="s">
        <v>69</v>
      </c>
      <c r="T6" s="120" t="s">
        <v>69</v>
      </c>
      <c r="U6" s="427" t="s">
        <v>108</v>
      </c>
      <c r="V6" s="120" t="s">
        <v>69</v>
      </c>
      <c r="W6" s="120" t="s">
        <v>69</v>
      </c>
      <c r="X6" s="120" t="s">
        <v>69</v>
      </c>
      <c r="Y6" s="120" t="s">
        <v>69</v>
      </c>
      <c r="Z6" s="120" t="s">
        <v>69</v>
      </c>
      <c r="AA6" s="276" t="s">
        <v>111</v>
      </c>
      <c r="AB6" s="427" t="s">
        <v>108</v>
      </c>
      <c r="AC6" s="120" t="s">
        <v>69</v>
      </c>
      <c r="AD6" s="120" t="s">
        <v>69</v>
      </c>
      <c r="AE6" s="120" t="s">
        <v>69</v>
      </c>
      <c r="AF6" s="120" t="s">
        <v>69</v>
      </c>
      <c r="AG6" s="120" t="s">
        <v>69</v>
      </c>
      <c r="AH6" s="120" t="s">
        <v>69</v>
      </c>
      <c r="AI6" s="427" t="s">
        <v>108</v>
      </c>
      <c r="AJ6" s="120" t="s">
        <v>69</v>
      </c>
      <c r="AK6" s="120" t="s">
        <v>69</v>
      </c>
      <c r="AL6">
        <f t="shared" si="0"/>
        <v>0</v>
      </c>
      <c r="AM6">
        <f t="shared" si="1"/>
        <v>2</v>
      </c>
      <c r="AN6">
        <f t="shared" si="2"/>
        <v>0</v>
      </c>
      <c r="AO6">
        <f t="shared" si="3"/>
        <v>0</v>
      </c>
      <c r="AP6">
        <f t="shared" si="4"/>
        <v>0</v>
      </c>
    </row>
    <row r="7" spans="1:42" ht="18">
      <c r="A7" s="5">
        <v>6</v>
      </c>
      <c r="B7" s="254" t="s">
        <v>8</v>
      </c>
      <c r="C7" s="450" t="s">
        <v>287</v>
      </c>
      <c r="D7" s="7"/>
      <c r="E7" s="7"/>
      <c r="F7" s="7"/>
      <c r="G7" s="433" t="s">
        <v>108</v>
      </c>
      <c r="H7" s="9" t="s">
        <v>69</v>
      </c>
      <c r="I7" s="437" t="s">
        <v>70</v>
      </c>
      <c r="J7" s="444" t="s">
        <v>111</v>
      </c>
      <c r="K7" s="63" t="s">
        <v>72</v>
      </c>
      <c r="L7" s="9" t="s">
        <v>69</v>
      </c>
      <c r="M7" s="9" t="s">
        <v>69</v>
      </c>
      <c r="N7" s="427" t="s">
        <v>108</v>
      </c>
      <c r="O7" s="120" t="s">
        <v>69</v>
      </c>
      <c r="P7" s="120" t="s">
        <v>69</v>
      </c>
      <c r="Q7" s="120" t="s">
        <v>69</v>
      </c>
      <c r="R7" s="120" t="s">
        <v>69</v>
      </c>
      <c r="S7" s="120" t="s">
        <v>69</v>
      </c>
      <c r="T7" s="120" t="s">
        <v>69</v>
      </c>
      <c r="U7" s="427" t="s">
        <v>108</v>
      </c>
      <c r="V7" s="120" t="s">
        <v>69</v>
      </c>
      <c r="W7" s="120" t="s">
        <v>69</v>
      </c>
      <c r="X7" s="120" t="s">
        <v>69</v>
      </c>
      <c r="Y7" s="120" t="s">
        <v>69</v>
      </c>
      <c r="Z7" s="120" t="s">
        <v>69</v>
      </c>
      <c r="AA7" s="120" t="s">
        <v>69</v>
      </c>
      <c r="AB7" s="427" t="s">
        <v>108</v>
      </c>
      <c r="AC7" s="120" t="s">
        <v>69</v>
      </c>
      <c r="AD7" s="120" t="s">
        <v>69</v>
      </c>
      <c r="AE7" s="120" t="s">
        <v>69</v>
      </c>
      <c r="AF7" s="120" t="s">
        <v>69</v>
      </c>
      <c r="AG7" s="120" t="s">
        <v>69</v>
      </c>
      <c r="AH7" s="120" t="s">
        <v>69</v>
      </c>
      <c r="AI7" s="427" t="s">
        <v>108</v>
      </c>
      <c r="AJ7" s="120" t="s">
        <v>69</v>
      </c>
      <c r="AK7" s="120" t="s">
        <v>69</v>
      </c>
      <c r="AL7">
        <f t="shared" si="0"/>
        <v>1</v>
      </c>
      <c r="AM7">
        <f t="shared" si="1"/>
        <v>1</v>
      </c>
      <c r="AN7">
        <f t="shared" si="2"/>
        <v>0</v>
      </c>
      <c r="AO7">
        <f t="shared" si="3"/>
        <v>0</v>
      </c>
      <c r="AP7">
        <f t="shared" si="4"/>
        <v>0</v>
      </c>
    </row>
    <row r="8" spans="1:42" ht="18">
      <c r="A8" s="5">
        <v>7</v>
      </c>
      <c r="B8" s="254" t="s">
        <v>11</v>
      </c>
      <c r="C8" s="454" t="s">
        <v>288</v>
      </c>
      <c r="D8" s="7"/>
      <c r="E8" s="7"/>
      <c r="F8" s="7"/>
      <c r="G8" s="433" t="s">
        <v>108</v>
      </c>
      <c r="H8" s="9" t="s">
        <v>69</v>
      </c>
      <c r="I8" s="435" t="s">
        <v>69</v>
      </c>
      <c r="J8" s="444" t="s">
        <v>111</v>
      </c>
      <c r="K8" s="9" t="s">
        <v>69</v>
      </c>
      <c r="L8" s="9" t="s">
        <v>69</v>
      </c>
      <c r="M8" s="63" t="s">
        <v>72</v>
      </c>
      <c r="N8" s="427" t="s">
        <v>108</v>
      </c>
      <c r="O8" s="131" t="s">
        <v>72</v>
      </c>
      <c r="P8" s="120" t="s">
        <v>69</v>
      </c>
      <c r="Q8" s="281" t="s">
        <v>267</v>
      </c>
      <c r="R8" s="120" t="s">
        <v>69</v>
      </c>
      <c r="S8" s="447" t="s">
        <v>94</v>
      </c>
      <c r="T8" s="120" t="s">
        <v>69</v>
      </c>
      <c r="U8" s="427" t="s">
        <v>108</v>
      </c>
      <c r="V8" s="120" t="s">
        <v>69</v>
      </c>
      <c r="W8" s="120" t="s">
        <v>69</v>
      </c>
      <c r="X8" s="121" t="s">
        <v>72</v>
      </c>
      <c r="Y8" s="120" t="s">
        <v>69</v>
      </c>
      <c r="Z8" s="120" t="s">
        <v>69</v>
      </c>
      <c r="AA8" s="241" t="s">
        <v>111</v>
      </c>
      <c r="AB8" s="427" t="s">
        <v>108</v>
      </c>
      <c r="AC8" s="120" t="s">
        <v>69</v>
      </c>
      <c r="AD8" s="120" t="s">
        <v>69</v>
      </c>
      <c r="AE8" s="120" t="s">
        <v>69</v>
      </c>
      <c r="AF8" s="120" t="s">
        <v>69</v>
      </c>
      <c r="AG8" s="120" t="s">
        <v>69</v>
      </c>
      <c r="AH8" s="120" t="s">
        <v>69</v>
      </c>
      <c r="AI8" s="427" t="s">
        <v>108</v>
      </c>
      <c r="AJ8" s="121" t="s">
        <v>72</v>
      </c>
      <c r="AK8" s="120" t="s">
        <v>70</v>
      </c>
      <c r="AL8">
        <f t="shared" si="0"/>
        <v>4</v>
      </c>
      <c r="AM8">
        <f t="shared" si="1"/>
        <v>2</v>
      </c>
      <c r="AN8">
        <f t="shared" si="2"/>
        <v>0</v>
      </c>
      <c r="AO8">
        <f t="shared" si="3"/>
        <v>0</v>
      </c>
      <c r="AP8">
        <f t="shared" si="4"/>
        <v>1</v>
      </c>
    </row>
    <row r="9" spans="1:42" ht="18">
      <c r="A9" s="5">
        <v>8</v>
      </c>
      <c r="B9" s="254" t="s">
        <v>10</v>
      </c>
      <c r="C9" s="450" t="s">
        <v>289</v>
      </c>
      <c r="D9" s="7"/>
      <c r="E9" s="7"/>
      <c r="F9" s="7"/>
      <c r="G9" s="433" t="s">
        <v>108</v>
      </c>
      <c r="H9" s="9" t="s">
        <v>69</v>
      </c>
      <c r="I9" s="435" t="s">
        <v>69</v>
      </c>
      <c r="J9" s="444" t="s">
        <v>111</v>
      </c>
      <c r="K9" s="9" t="s">
        <v>69</v>
      </c>
      <c r="L9" s="9" t="s">
        <v>69</v>
      </c>
      <c r="M9" s="9" t="s">
        <v>69</v>
      </c>
      <c r="N9" s="427" t="s">
        <v>108</v>
      </c>
      <c r="O9" s="120" t="s">
        <v>69</v>
      </c>
      <c r="P9" s="404" t="s">
        <v>267</v>
      </c>
      <c r="Q9" s="120" t="s">
        <v>69</v>
      </c>
      <c r="R9" s="120" t="s">
        <v>69</v>
      </c>
      <c r="S9" s="120" t="s">
        <v>69</v>
      </c>
      <c r="T9" s="120" t="s">
        <v>69</v>
      </c>
      <c r="U9" s="427" t="s">
        <v>108</v>
      </c>
      <c r="V9" s="120" t="s">
        <v>69</v>
      </c>
      <c r="W9" s="120" t="s">
        <v>69</v>
      </c>
      <c r="X9" s="120" t="s">
        <v>69</v>
      </c>
      <c r="Y9" s="120" t="s">
        <v>69</v>
      </c>
      <c r="Z9" s="120" t="s">
        <v>69</v>
      </c>
      <c r="AA9" s="241" t="s">
        <v>111</v>
      </c>
      <c r="AB9" s="427" t="s">
        <v>108</v>
      </c>
      <c r="AC9" s="120" t="s">
        <v>69</v>
      </c>
      <c r="AD9" s="120" t="s">
        <v>69</v>
      </c>
      <c r="AE9" s="120" t="s">
        <v>69</v>
      </c>
      <c r="AF9" s="120" t="s">
        <v>69</v>
      </c>
      <c r="AG9" s="120" t="s">
        <v>69</v>
      </c>
      <c r="AH9" s="120" t="s">
        <v>69</v>
      </c>
      <c r="AI9" s="427" t="s">
        <v>108</v>
      </c>
      <c r="AJ9" s="120" t="s">
        <v>69</v>
      </c>
      <c r="AK9" s="120" t="s">
        <v>69</v>
      </c>
      <c r="AL9">
        <f t="shared" si="0"/>
        <v>0</v>
      </c>
      <c r="AM9">
        <f t="shared" si="1"/>
        <v>2</v>
      </c>
      <c r="AN9">
        <f t="shared" si="2"/>
        <v>0</v>
      </c>
      <c r="AO9">
        <f t="shared" si="3"/>
        <v>0</v>
      </c>
      <c r="AP9">
        <f t="shared" si="4"/>
        <v>1</v>
      </c>
    </row>
    <row r="10" spans="1:42" ht="18">
      <c r="A10" s="5">
        <v>9</v>
      </c>
      <c r="B10" s="254" t="s">
        <v>137</v>
      </c>
      <c r="C10" s="450" t="s">
        <v>133</v>
      </c>
      <c r="D10" s="7"/>
      <c r="E10" s="7"/>
      <c r="F10" s="7"/>
      <c r="G10" s="433" t="s">
        <v>108</v>
      </c>
      <c r="H10" s="9" t="s">
        <v>69</v>
      </c>
      <c r="I10" s="435" t="s">
        <v>73</v>
      </c>
      <c r="J10" s="444" t="s">
        <v>111</v>
      </c>
      <c r="K10" s="9" t="s">
        <v>69</v>
      </c>
      <c r="L10" s="9" t="s">
        <v>69</v>
      </c>
      <c r="M10" s="9" t="s">
        <v>69</v>
      </c>
      <c r="N10" s="427" t="s">
        <v>108</v>
      </c>
      <c r="O10" s="120" t="s">
        <v>69</v>
      </c>
      <c r="P10" s="404" t="s">
        <v>267</v>
      </c>
      <c r="Q10" s="120" t="s">
        <v>69</v>
      </c>
      <c r="R10" s="120" t="s">
        <v>69</v>
      </c>
      <c r="S10" s="120" t="s">
        <v>69</v>
      </c>
      <c r="T10" s="120" t="s">
        <v>69</v>
      </c>
      <c r="U10" s="427" t="s">
        <v>108</v>
      </c>
      <c r="V10" s="120" t="s">
        <v>69</v>
      </c>
      <c r="W10" s="120" t="s">
        <v>69</v>
      </c>
      <c r="X10" s="120" t="s">
        <v>69</v>
      </c>
      <c r="Y10" s="120" t="s">
        <v>69</v>
      </c>
      <c r="Z10" s="120" t="s">
        <v>69</v>
      </c>
      <c r="AA10" s="241" t="s">
        <v>111</v>
      </c>
      <c r="AB10" s="427" t="s">
        <v>108</v>
      </c>
      <c r="AC10" s="120" t="s">
        <v>69</v>
      </c>
      <c r="AD10" s="120" t="s">
        <v>69</v>
      </c>
      <c r="AE10" s="120" t="s">
        <v>69</v>
      </c>
      <c r="AF10" s="120" t="s">
        <v>69</v>
      </c>
      <c r="AG10" s="120" t="s">
        <v>69</v>
      </c>
      <c r="AH10" s="120" t="s">
        <v>69</v>
      </c>
      <c r="AI10" s="427" t="s">
        <v>108</v>
      </c>
      <c r="AJ10" s="120" t="s">
        <v>69</v>
      </c>
      <c r="AK10" s="120" t="s">
        <v>70</v>
      </c>
      <c r="AL10">
        <f t="shared" si="0"/>
        <v>0</v>
      </c>
      <c r="AM10">
        <f t="shared" si="1"/>
        <v>2</v>
      </c>
      <c r="AN10">
        <f t="shared" si="2"/>
        <v>1</v>
      </c>
      <c r="AO10">
        <f t="shared" si="3"/>
        <v>0</v>
      </c>
      <c r="AP10">
        <f t="shared" si="4"/>
        <v>1</v>
      </c>
    </row>
    <row r="11" spans="1:42" ht="18">
      <c r="A11" s="5">
        <v>10</v>
      </c>
      <c r="B11" s="254" t="s">
        <v>290</v>
      </c>
      <c r="C11" s="450" t="s">
        <v>291</v>
      </c>
      <c r="D11" s="7"/>
      <c r="E11" s="7"/>
      <c r="F11" s="7"/>
      <c r="G11" s="433" t="s">
        <v>108</v>
      </c>
      <c r="H11" s="9" t="s">
        <v>69</v>
      </c>
      <c r="I11" s="435" t="s">
        <v>69</v>
      </c>
      <c r="J11" s="444" t="s">
        <v>111</v>
      </c>
      <c r="K11" s="9" t="s">
        <v>69</v>
      </c>
      <c r="L11" s="9" t="s">
        <v>69</v>
      </c>
      <c r="M11" s="9" t="s">
        <v>69</v>
      </c>
      <c r="N11" s="427" t="s">
        <v>108</v>
      </c>
      <c r="O11" s="120" t="s">
        <v>69</v>
      </c>
      <c r="P11" s="120" t="s">
        <v>69</v>
      </c>
      <c r="Q11" s="120" t="s">
        <v>69</v>
      </c>
      <c r="R11" s="120" t="s">
        <v>69</v>
      </c>
      <c r="S11" s="120" t="s">
        <v>69</v>
      </c>
      <c r="T11" s="120" t="s">
        <v>69</v>
      </c>
      <c r="U11" s="427" t="s">
        <v>108</v>
      </c>
      <c r="V11" s="120" t="s">
        <v>69</v>
      </c>
      <c r="W11" s="120" t="s">
        <v>69</v>
      </c>
      <c r="X11" s="120" t="s">
        <v>69</v>
      </c>
      <c r="Y11" s="120" t="s">
        <v>69</v>
      </c>
      <c r="Z11" s="120" t="s">
        <v>69</v>
      </c>
      <c r="AA11" s="120" t="s">
        <v>69</v>
      </c>
      <c r="AB11" s="427" t="s">
        <v>108</v>
      </c>
      <c r="AC11" s="120" t="s">
        <v>69</v>
      </c>
      <c r="AD11" s="120" t="s">
        <v>69</v>
      </c>
      <c r="AE11" s="120" t="s">
        <v>69</v>
      </c>
      <c r="AF11" s="120" t="s">
        <v>69</v>
      </c>
      <c r="AG11" s="120" t="s">
        <v>69</v>
      </c>
      <c r="AH11" s="120" t="s">
        <v>69</v>
      </c>
      <c r="AI11" s="427" t="s">
        <v>108</v>
      </c>
      <c r="AJ11" s="120" t="s">
        <v>69</v>
      </c>
      <c r="AK11" s="120" t="s">
        <v>69</v>
      </c>
      <c r="AL11">
        <f t="shared" si="0"/>
        <v>0</v>
      </c>
      <c r="AM11">
        <f t="shared" si="1"/>
        <v>1</v>
      </c>
      <c r="AN11">
        <f t="shared" si="2"/>
        <v>0</v>
      </c>
      <c r="AO11">
        <f t="shared" si="3"/>
        <v>0</v>
      </c>
      <c r="AP11">
        <f t="shared" si="4"/>
        <v>0</v>
      </c>
    </row>
    <row r="12" spans="1:42" ht="18">
      <c r="A12" s="5">
        <v>11</v>
      </c>
      <c r="B12" s="254" t="s">
        <v>237</v>
      </c>
      <c r="C12" s="455" t="s">
        <v>292</v>
      </c>
      <c r="D12" s="7"/>
      <c r="E12" s="7"/>
      <c r="F12" s="7"/>
      <c r="G12" s="433" t="s">
        <v>108</v>
      </c>
      <c r="H12" s="9" t="s">
        <v>69</v>
      </c>
      <c r="I12" s="435" t="s">
        <v>69</v>
      </c>
      <c r="J12" s="444" t="s">
        <v>111</v>
      </c>
      <c r="K12" s="9" t="s">
        <v>69</v>
      </c>
      <c r="L12" s="9" t="s">
        <v>69</v>
      </c>
      <c r="M12" s="9" t="s">
        <v>69</v>
      </c>
      <c r="N12" s="427" t="s">
        <v>108</v>
      </c>
      <c r="O12" s="120" t="s">
        <v>69</v>
      </c>
      <c r="P12" s="120" t="s">
        <v>69</v>
      </c>
      <c r="Q12" s="120" t="s">
        <v>69</v>
      </c>
      <c r="R12" s="120" t="s">
        <v>69</v>
      </c>
      <c r="S12" s="120" t="s">
        <v>69</v>
      </c>
      <c r="T12" s="131" t="s">
        <v>72</v>
      </c>
      <c r="U12" s="427" t="s">
        <v>108</v>
      </c>
      <c r="V12" s="120" t="s">
        <v>69</v>
      </c>
      <c r="W12" s="120" t="s">
        <v>69</v>
      </c>
      <c r="X12" s="120" t="s">
        <v>69</v>
      </c>
      <c r="Y12" s="120" t="s">
        <v>69</v>
      </c>
      <c r="Z12" s="120" t="s">
        <v>69</v>
      </c>
      <c r="AA12" s="120" t="s">
        <v>69</v>
      </c>
      <c r="AB12" s="427" t="s">
        <v>108</v>
      </c>
      <c r="AC12" s="120" t="s">
        <v>69</v>
      </c>
      <c r="AD12" s="120" t="s">
        <v>69</v>
      </c>
      <c r="AE12" s="120" t="s">
        <v>69</v>
      </c>
      <c r="AF12" s="121" t="s">
        <v>72</v>
      </c>
      <c r="AG12" s="120" t="s">
        <v>69</v>
      </c>
      <c r="AH12" s="120" t="s">
        <v>69</v>
      </c>
      <c r="AI12" s="427" t="s">
        <v>108</v>
      </c>
      <c r="AJ12" s="120" t="s">
        <v>69</v>
      </c>
      <c r="AK12" s="120" t="s">
        <v>69</v>
      </c>
      <c r="AL12">
        <f t="shared" si="0"/>
        <v>2</v>
      </c>
      <c r="AM12">
        <f t="shared" si="1"/>
        <v>1</v>
      </c>
      <c r="AN12">
        <f t="shared" si="2"/>
        <v>0</v>
      </c>
      <c r="AO12">
        <f t="shared" si="3"/>
        <v>0</v>
      </c>
      <c r="AP12">
        <f t="shared" si="4"/>
        <v>0</v>
      </c>
    </row>
    <row r="13" spans="1:42" ht="18">
      <c r="A13" s="5">
        <v>12</v>
      </c>
      <c r="B13" s="254" t="s">
        <v>13</v>
      </c>
      <c r="C13" s="450" t="s">
        <v>133</v>
      </c>
      <c r="D13" s="7"/>
      <c r="E13" s="7"/>
      <c r="F13" s="7"/>
      <c r="G13" s="433" t="s">
        <v>108</v>
      </c>
      <c r="H13" s="9" t="s">
        <v>69</v>
      </c>
      <c r="I13" s="435" t="s">
        <v>69</v>
      </c>
      <c r="J13" s="444" t="s">
        <v>111</v>
      </c>
      <c r="K13" s="9" t="s">
        <v>69</v>
      </c>
      <c r="L13" s="9" t="s">
        <v>69</v>
      </c>
      <c r="M13" s="9" t="s">
        <v>69</v>
      </c>
      <c r="N13" s="427" t="s">
        <v>108</v>
      </c>
      <c r="O13" s="120" t="s">
        <v>69</v>
      </c>
      <c r="P13" s="120" t="s">
        <v>69</v>
      </c>
      <c r="Q13" s="120" t="s">
        <v>69</v>
      </c>
      <c r="R13" s="120" t="s">
        <v>69</v>
      </c>
      <c r="S13" s="120" t="s">
        <v>69</v>
      </c>
      <c r="T13" s="120" t="s">
        <v>69</v>
      </c>
      <c r="U13" s="427" t="s">
        <v>108</v>
      </c>
      <c r="V13" s="120" t="s">
        <v>69</v>
      </c>
      <c r="W13" s="120" t="s">
        <v>69</v>
      </c>
      <c r="X13" s="120" t="s">
        <v>69</v>
      </c>
      <c r="Y13" s="120" t="s">
        <v>69</v>
      </c>
      <c r="Z13" s="120" t="s">
        <v>69</v>
      </c>
      <c r="AA13" s="276" t="s">
        <v>111</v>
      </c>
      <c r="AB13" s="427" t="s">
        <v>108</v>
      </c>
      <c r="AC13" s="120" t="s">
        <v>69</v>
      </c>
      <c r="AD13" s="120" t="s">
        <v>69</v>
      </c>
      <c r="AE13" s="121" t="s">
        <v>72</v>
      </c>
      <c r="AF13" s="120" t="s">
        <v>69</v>
      </c>
      <c r="AG13" s="120" t="s">
        <v>69</v>
      </c>
      <c r="AH13" s="120" t="s">
        <v>69</v>
      </c>
      <c r="AI13" s="427" t="s">
        <v>108</v>
      </c>
      <c r="AJ13" s="120" t="s">
        <v>69</v>
      </c>
      <c r="AK13" s="120" t="s">
        <v>70</v>
      </c>
      <c r="AL13">
        <f t="shared" si="0"/>
        <v>1</v>
      </c>
      <c r="AM13">
        <f t="shared" si="1"/>
        <v>2</v>
      </c>
      <c r="AN13">
        <f t="shared" si="2"/>
        <v>0</v>
      </c>
      <c r="AO13">
        <f t="shared" si="3"/>
        <v>0</v>
      </c>
      <c r="AP13">
        <f t="shared" si="4"/>
        <v>0</v>
      </c>
    </row>
    <row r="14" spans="1:42" ht="18">
      <c r="A14" s="5">
        <v>13</v>
      </c>
      <c r="B14" s="254" t="s">
        <v>194</v>
      </c>
      <c r="C14" s="451" t="s">
        <v>292</v>
      </c>
      <c r="D14" s="7"/>
      <c r="E14" s="7"/>
      <c r="F14" s="7"/>
      <c r="G14" s="433" t="s">
        <v>108</v>
      </c>
      <c r="H14" s="9" t="s">
        <v>69</v>
      </c>
      <c r="I14" s="435" t="s">
        <v>69</v>
      </c>
      <c r="J14" s="444" t="s">
        <v>111</v>
      </c>
      <c r="K14" s="9" t="s">
        <v>69</v>
      </c>
      <c r="L14" s="9" t="s">
        <v>69</v>
      </c>
      <c r="M14" s="9" t="s">
        <v>70</v>
      </c>
      <c r="N14" s="427" t="s">
        <v>108</v>
      </c>
      <c r="O14" s="120" t="s">
        <v>69</v>
      </c>
      <c r="P14" s="120" t="s">
        <v>69</v>
      </c>
      <c r="Q14" s="120" t="s">
        <v>69</v>
      </c>
      <c r="R14" s="120" t="s">
        <v>69</v>
      </c>
      <c r="S14" s="120" t="s">
        <v>69</v>
      </c>
      <c r="T14" s="120" t="s">
        <v>69</v>
      </c>
      <c r="U14" s="427" t="s">
        <v>108</v>
      </c>
      <c r="V14" s="120" t="s">
        <v>69</v>
      </c>
      <c r="W14" s="120" t="s">
        <v>69</v>
      </c>
      <c r="X14" s="120" t="s">
        <v>69</v>
      </c>
      <c r="Y14" s="120" t="s">
        <v>69</v>
      </c>
      <c r="Z14" s="120" t="s">
        <v>69</v>
      </c>
      <c r="AA14" s="120" t="s">
        <v>69</v>
      </c>
      <c r="AB14" s="427" t="s">
        <v>108</v>
      </c>
      <c r="AC14" s="120" t="s">
        <v>69</v>
      </c>
      <c r="AD14" s="120" t="s">
        <v>69</v>
      </c>
      <c r="AE14" s="120" t="s">
        <v>69</v>
      </c>
      <c r="AF14" s="121" t="s">
        <v>72</v>
      </c>
      <c r="AG14" s="120" t="s">
        <v>69</v>
      </c>
      <c r="AH14" s="120" t="s">
        <v>69</v>
      </c>
      <c r="AI14" s="427" t="s">
        <v>108</v>
      </c>
      <c r="AJ14" s="120" t="s">
        <v>69</v>
      </c>
      <c r="AK14" s="120" t="s">
        <v>69</v>
      </c>
      <c r="AL14">
        <f t="shared" si="0"/>
        <v>1</v>
      </c>
      <c r="AM14">
        <f t="shared" si="1"/>
        <v>1</v>
      </c>
      <c r="AN14">
        <f t="shared" si="2"/>
        <v>0</v>
      </c>
      <c r="AO14">
        <f t="shared" si="3"/>
        <v>0</v>
      </c>
      <c r="AP14">
        <f t="shared" si="4"/>
        <v>0</v>
      </c>
    </row>
    <row r="15" spans="1:42" ht="18">
      <c r="A15" s="5">
        <v>14</v>
      </c>
      <c r="B15" s="254" t="s">
        <v>177</v>
      </c>
      <c r="C15" s="450" t="s">
        <v>293</v>
      </c>
      <c r="D15" s="7"/>
      <c r="E15" s="7"/>
      <c r="F15" s="7"/>
      <c r="G15" s="433" t="s">
        <v>108</v>
      </c>
      <c r="H15" s="9" t="s">
        <v>69</v>
      </c>
      <c r="I15" s="435" t="s">
        <v>69</v>
      </c>
      <c r="J15" s="444" t="s">
        <v>111</v>
      </c>
      <c r="K15" s="9" t="s">
        <v>69</v>
      </c>
      <c r="L15" s="9" t="s">
        <v>69</v>
      </c>
      <c r="M15" s="9" t="s">
        <v>69</v>
      </c>
      <c r="N15" s="427" t="s">
        <v>108</v>
      </c>
      <c r="O15" s="120" t="s">
        <v>69</v>
      </c>
      <c r="P15" s="120" t="s">
        <v>69</v>
      </c>
      <c r="Q15" s="120" t="s">
        <v>69</v>
      </c>
      <c r="R15" s="120" t="s">
        <v>69</v>
      </c>
      <c r="S15" s="120" t="s">
        <v>69</v>
      </c>
      <c r="T15" s="120" t="s">
        <v>69</v>
      </c>
      <c r="U15" s="427" t="s">
        <v>108</v>
      </c>
      <c r="V15" s="131" t="s">
        <v>72</v>
      </c>
      <c r="W15" s="131" t="s">
        <v>72</v>
      </c>
      <c r="X15" s="120" t="s">
        <v>69</v>
      </c>
      <c r="Y15" s="120" t="s">
        <v>69</v>
      </c>
      <c r="Z15" s="120" t="s">
        <v>69</v>
      </c>
      <c r="AA15" s="276" t="s">
        <v>111</v>
      </c>
      <c r="AB15" s="427" t="s">
        <v>108</v>
      </c>
      <c r="AC15" s="120" t="s">
        <v>69</v>
      </c>
      <c r="AD15" s="120" t="s">
        <v>69</v>
      </c>
      <c r="AE15" s="120" t="s">
        <v>69</v>
      </c>
      <c r="AF15" s="120" t="s">
        <v>69</v>
      </c>
      <c r="AG15" s="120" t="s">
        <v>69</v>
      </c>
      <c r="AH15" s="120" t="s">
        <v>69</v>
      </c>
      <c r="AI15" s="427" t="s">
        <v>108</v>
      </c>
      <c r="AJ15" s="120" t="s">
        <v>69</v>
      </c>
      <c r="AK15" s="120" t="s">
        <v>69</v>
      </c>
      <c r="AL15">
        <f t="shared" si="0"/>
        <v>2</v>
      </c>
      <c r="AM15">
        <f t="shared" si="1"/>
        <v>2</v>
      </c>
      <c r="AN15">
        <f t="shared" si="2"/>
        <v>0</v>
      </c>
      <c r="AO15">
        <f t="shared" si="3"/>
        <v>0</v>
      </c>
      <c r="AP15">
        <f t="shared" si="4"/>
        <v>0</v>
      </c>
    </row>
    <row r="16" spans="1:42" ht="18">
      <c r="A16" s="5">
        <v>15</v>
      </c>
      <c r="B16" s="254" t="s">
        <v>294</v>
      </c>
      <c r="C16" s="450" t="s">
        <v>295</v>
      </c>
      <c r="D16" s="7"/>
      <c r="E16" s="7"/>
      <c r="F16" s="7"/>
      <c r="G16" s="433" t="s">
        <v>108</v>
      </c>
      <c r="H16" s="9" t="s">
        <v>69</v>
      </c>
      <c r="I16" s="435" t="s">
        <v>111</v>
      </c>
      <c r="J16" s="9" t="s">
        <v>69</v>
      </c>
      <c r="K16" s="9" t="s">
        <v>69</v>
      </c>
      <c r="L16" s="9" t="s">
        <v>69</v>
      </c>
      <c r="M16" s="9" t="s">
        <v>69</v>
      </c>
      <c r="N16" s="427" t="s">
        <v>108</v>
      </c>
      <c r="O16" s="120" t="s">
        <v>69</v>
      </c>
      <c r="P16" s="120" t="s">
        <v>69</v>
      </c>
      <c r="Q16" s="120" t="s">
        <v>69</v>
      </c>
      <c r="R16" s="120" t="s">
        <v>69</v>
      </c>
      <c r="S16" s="120" t="s">
        <v>69</v>
      </c>
      <c r="T16" s="120" t="s">
        <v>69</v>
      </c>
      <c r="U16" s="427" t="s">
        <v>108</v>
      </c>
      <c r="V16" s="120" t="s">
        <v>69</v>
      </c>
      <c r="W16" s="120" t="s">
        <v>69</v>
      </c>
      <c r="X16" s="120" t="s">
        <v>69</v>
      </c>
      <c r="Y16" s="121" t="s">
        <v>72</v>
      </c>
      <c r="Z16" s="120" t="s">
        <v>69</v>
      </c>
      <c r="AA16" s="120" t="s">
        <v>69</v>
      </c>
      <c r="AB16" s="427" t="s">
        <v>108</v>
      </c>
      <c r="AC16" s="120" t="s">
        <v>69</v>
      </c>
      <c r="AD16" s="120" t="s">
        <v>69</v>
      </c>
      <c r="AE16" s="121" t="s">
        <v>72</v>
      </c>
      <c r="AF16" s="120" t="s">
        <v>69</v>
      </c>
      <c r="AG16" s="120" t="s">
        <v>69</v>
      </c>
      <c r="AH16" s="120" t="s">
        <v>69</v>
      </c>
      <c r="AI16" s="427" t="s">
        <v>108</v>
      </c>
      <c r="AJ16" s="120" t="s">
        <v>69</v>
      </c>
      <c r="AK16" s="120" t="s">
        <v>69</v>
      </c>
      <c r="AL16">
        <f t="shared" si="0"/>
        <v>2</v>
      </c>
      <c r="AM16">
        <f t="shared" si="1"/>
        <v>1</v>
      </c>
      <c r="AN16">
        <f t="shared" si="2"/>
        <v>0</v>
      </c>
      <c r="AO16">
        <f t="shared" si="3"/>
        <v>0</v>
      </c>
      <c r="AP16">
        <f t="shared" si="4"/>
        <v>0</v>
      </c>
    </row>
    <row r="17" spans="1:42" ht="18">
      <c r="A17" s="5">
        <v>16</v>
      </c>
      <c r="B17" s="254" t="s">
        <v>16</v>
      </c>
      <c r="C17" s="451" t="s">
        <v>285</v>
      </c>
      <c r="D17" s="7"/>
      <c r="E17" s="7"/>
      <c r="F17" s="7"/>
      <c r="G17" s="433" t="s">
        <v>108</v>
      </c>
      <c r="H17" s="9" t="s">
        <v>69</v>
      </c>
      <c r="I17" s="435" t="s">
        <v>69</v>
      </c>
      <c r="J17" s="445" t="s">
        <v>111</v>
      </c>
      <c r="K17" s="9" t="s">
        <v>69</v>
      </c>
      <c r="L17" s="9" t="s">
        <v>69</v>
      </c>
      <c r="M17" s="9" t="s">
        <v>69</v>
      </c>
      <c r="N17" s="427" t="s">
        <v>108</v>
      </c>
      <c r="O17" s="120" t="s">
        <v>69</v>
      </c>
      <c r="P17" s="120" t="s">
        <v>69</v>
      </c>
      <c r="Q17" s="120" t="s">
        <v>69</v>
      </c>
      <c r="R17" s="131" t="s">
        <v>72</v>
      </c>
      <c r="S17" s="131" t="s">
        <v>72</v>
      </c>
      <c r="T17" s="120" t="s">
        <v>69</v>
      </c>
      <c r="U17" s="427" t="s">
        <v>108</v>
      </c>
      <c r="V17" s="131" t="s">
        <v>72</v>
      </c>
      <c r="W17" s="131" t="s">
        <v>72</v>
      </c>
      <c r="X17" s="131" t="s">
        <v>72</v>
      </c>
      <c r="Y17" s="120" t="s">
        <v>69</v>
      </c>
      <c r="Z17" s="120" t="s">
        <v>69</v>
      </c>
      <c r="AA17" s="276" t="s">
        <v>111</v>
      </c>
      <c r="AB17" s="427" t="s">
        <v>108</v>
      </c>
      <c r="AC17" s="120" t="s">
        <v>69</v>
      </c>
      <c r="AD17" s="120" t="s">
        <v>69</v>
      </c>
      <c r="AE17" s="120" t="s">
        <v>69</v>
      </c>
      <c r="AF17" s="120" t="s">
        <v>69</v>
      </c>
      <c r="AG17" s="120" t="s">
        <v>69</v>
      </c>
      <c r="AH17" s="120" t="s">
        <v>69</v>
      </c>
      <c r="AI17" s="427" t="s">
        <v>108</v>
      </c>
      <c r="AJ17" s="120" t="s">
        <v>69</v>
      </c>
      <c r="AK17" s="120" t="s">
        <v>70</v>
      </c>
      <c r="AL17">
        <f t="shared" si="0"/>
        <v>5</v>
      </c>
      <c r="AM17">
        <f t="shared" si="1"/>
        <v>2</v>
      </c>
      <c r="AN17">
        <f t="shared" si="2"/>
        <v>0</v>
      </c>
      <c r="AO17">
        <f t="shared" si="3"/>
        <v>0</v>
      </c>
      <c r="AP17">
        <f t="shared" si="4"/>
        <v>0</v>
      </c>
    </row>
    <row r="18" spans="1:42" ht="18">
      <c r="A18" s="5">
        <v>17</v>
      </c>
      <c r="B18" s="254" t="s">
        <v>17</v>
      </c>
      <c r="C18" s="451" t="s">
        <v>291</v>
      </c>
      <c r="D18" s="7"/>
      <c r="E18" s="7"/>
      <c r="F18" s="7"/>
      <c r="G18" s="433" t="s">
        <v>108</v>
      </c>
      <c r="H18" s="107" t="s">
        <v>69</v>
      </c>
      <c r="I18" s="435" t="s">
        <v>69</v>
      </c>
      <c r="J18" s="445" t="s">
        <v>111</v>
      </c>
      <c r="K18" s="435" t="s">
        <v>69</v>
      </c>
      <c r="L18" s="435" t="s">
        <v>69</v>
      </c>
      <c r="M18" s="435" t="s">
        <v>69</v>
      </c>
      <c r="N18" s="427" t="s">
        <v>108</v>
      </c>
      <c r="O18" s="120" t="s">
        <v>69</v>
      </c>
      <c r="P18" s="120" t="s">
        <v>69</v>
      </c>
      <c r="Q18" s="120" t="s">
        <v>69</v>
      </c>
      <c r="R18" s="131" t="s">
        <v>72</v>
      </c>
      <c r="S18" s="120" t="s">
        <v>69</v>
      </c>
      <c r="T18" s="120" t="s">
        <v>69</v>
      </c>
      <c r="U18" s="427" t="s">
        <v>108</v>
      </c>
      <c r="V18" s="120" t="s">
        <v>69</v>
      </c>
      <c r="W18" s="120" t="s">
        <v>69</v>
      </c>
      <c r="X18" s="120" t="s">
        <v>69</v>
      </c>
      <c r="Y18" s="120" t="s">
        <v>69</v>
      </c>
      <c r="Z18" s="120" t="s">
        <v>69</v>
      </c>
      <c r="AA18" s="120" t="s">
        <v>69</v>
      </c>
      <c r="AB18" s="427" t="s">
        <v>108</v>
      </c>
      <c r="AC18" s="120" t="s">
        <v>69</v>
      </c>
      <c r="AD18" s="120" t="s">
        <v>69</v>
      </c>
      <c r="AE18" s="120" t="s">
        <v>69</v>
      </c>
      <c r="AF18" s="120" t="s">
        <v>69</v>
      </c>
      <c r="AG18" s="120" t="s">
        <v>69</v>
      </c>
      <c r="AH18" s="120" t="s">
        <v>69</v>
      </c>
      <c r="AI18" s="427" t="s">
        <v>108</v>
      </c>
      <c r="AJ18" s="121" t="s">
        <v>72</v>
      </c>
      <c r="AK18" s="147" t="s">
        <v>92</v>
      </c>
      <c r="AL18">
        <f t="shared" si="0"/>
        <v>2</v>
      </c>
      <c r="AM18">
        <f t="shared" si="1"/>
        <v>1</v>
      </c>
      <c r="AN18">
        <f t="shared" si="2"/>
        <v>0</v>
      </c>
      <c r="AO18">
        <f t="shared" si="3"/>
        <v>0</v>
      </c>
      <c r="AP18">
        <f t="shared" si="4"/>
        <v>0</v>
      </c>
    </row>
    <row r="19" spans="1:42" ht="18">
      <c r="A19" s="5">
        <v>18</v>
      </c>
      <c r="B19" s="254" t="s">
        <v>18</v>
      </c>
      <c r="C19" s="454" t="s">
        <v>286</v>
      </c>
      <c r="D19" s="7"/>
      <c r="E19" s="7"/>
      <c r="F19" s="7"/>
      <c r="G19" s="433" t="s">
        <v>108</v>
      </c>
      <c r="H19" s="63" t="s">
        <v>72</v>
      </c>
      <c r="I19" s="9" t="s">
        <v>69</v>
      </c>
      <c r="J19" s="445" t="s">
        <v>111</v>
      </c>
      <c r="K19" s="9" t="s">
        <v>69</v>
      </c>
      <c r="L19" s="9" t="s">
        <v>69</v>
      </c>
      <c r="M19" s="9" t="s">
        <v>69</v>
      </c>
      <c r="N19" s="427" t="s">
        <v>108</v>
      </c>
      <c r="O19" s="120" t="s">
        <v>69</v>
      </c>
      <c r="P19" s="120" t="s">
        <v>69</v>
      </c>
      <c r="Q19" s="120" t="s">
        <v>69</v>
      </c>
      <c r="R19" s="120" t="s">
        <v>69</v>
      </c>
      <c r="S19" s="120" t="s">
        <v>69</v>
      </c>
      <c r="T19" s="120" t="s">
        <v>69</v>
      </c>
      <c r="U19" s="427" t="s">
        <v>108</v>
      </c>
      <c r="V19" s="120" t="s">
        <v>69</v>
      </c>
      <c r="W19" s="120" t="s">
        <v>69</v>
      </c>
      <c r="X19" s="120" t="s">
        <v>69</v>
      </c>
      <c r="Y19" s="120" t="s">
        <v>69</v>
      </c>
      <c r="Z19" s="120" t="s">
        <v>69</v>
      </c>
      <c r="AA19" s="276" t="s">
        <v>111</v>
      </c>
      <c r="AB19" s="427" t="s">
        <v>108</v>
      </c>
      <c r="AC19" s="120" t="s">
        <v>69</v>
      </c>
      <c r="AD19" s="120" t="s">
        <v>69</v>
      </c>
      <c r="AE19" s="120" t="s">
        <v>69</v>
      </c>
      <c r="AF19" s="121" t="s">
        <v>72</v>
      </c>
      <c r="AG19" s="120" t="s">
        <v>69</v>
      </c>
      <c r="AH19" s="120" t="s">
        <v>69</v>
      </c>
      <c r="AI19" s="427" t="s">
        <v>108</v>
      </c>
      <c r="AJ19" s="120" t="s">
        <v>69</v>
      </c>
      <c r="AK19" s="120" t="s">
        <v>69</v>
      </c>
      <c r="AL19">
        <f t="shared" si="0"/>
        <v>2</v>
      </c>
      <c r="AM19">
        <f t="shared" si="1"/>
        <v>2</v>
      </c>
      <c r="AN19">
        <f t="shared" si="2"/>
        <v>0</v>
      </c>
      <c r="AO19">
        <f t="shared" si="3"/>
        <v>0</v>
      </c>
      <c r="AP19">
        <f t="shared" si="4"/>
        <v>0</v>
      </c>
    </row>
    <row r="20" spans="1:42" ht="18">
      <c r="A20" s="5">
        <v>19</v>
      </c>
      <c r="B20" s="186" t="s">
        <v>155</v>
      </c>
      <c r="C20" s="451" t="s">
        <v>296</v>
      </c>
      <c r="D20" s="7"/>
      <c r="E20" s="7"/>
      <c r="F20" s="7"/>
      <c r="G20" s="433" t="s">
        <v>108</v>
      </c>
      <c r="H20" s="9" t="s">
        <v>69</v>
      </c>
      <c r="I20" s="9" t="s">
        <v>69</v>
      </c>
      <c r="J20" s="9" t="s">
        <v>69</v>
      </c>
      <c r="K20" s="9" t="s">
        <v>69</v>
      </c>
      <c r="L20" s="9" t="s">
        <v>69</v>
      </c>
      <c r="M20" s="9" t="s">
        <v>69</v>
      </c>
      <c r="N20" s="427" t="s">
        <v>108</v>
      </c>
      <c r="O20" s="120" t="s">
        <v>69</v>
      </c>
      <c r="P20" s="120" t="s">
        <v>69</v>
      </c>
      <c r="Q20" s="120" t="s">
        <v>69</v>
      </c>
      <c r="R20" s="120" t="s">
        <v>69</v>
      </c>
      <c r="S20" s="120" t="s">
        <v>69</v>
      </c>
      <c r="T20" s="131" t="s">
        <v>72</v>
      </c>
      <c r="U20" s="427" t="s">
        <v>108</v>
      </c>
      <c r="V20" s="120" t="s">
        <v>69</v>
      </c>
      <c r="W20" s="120" t="s">
        <v>69</v>
      </c>
      <c r="X20" s="120" t="s">
        <v>69</v>
      </c>
      <c r="Y20" s="120" t="s">
        <v>69</v>
      </c>
      <c r="Z20" s="120" t="s">
        <v>69</v>
      </c>
      <c r="AA20" s="276" t="s">
        <v>111</v>
      </c>
      <c r="AB20" s="427" t="s">
        <v>108</v>
      </c>
      <c r="AC20" s="120" t="s">
        <v>69</v>
      </c>
      <c r="AD20" s="120" t="s">
        <v>69</v>
      </c>
      <c r="AE20" s="120" t="s">
        <v>69</v>
      </c>
      <c r="AF20" s="120" t="s">
        <v>69</v>
      </c>
      <c r="AG20" s="120" t="s">
        <v>69</v>
      </c>
      <c r="AH20" s="120" t="s">
        <v>69</v>
      </c>
      <c r="AI20" s="427" t="s">
        <v>108</v>
      </c>
      <c r="AJ20" s="121" t="s">
        <v>72</v>
      </c>
      <c r="AK20" s="120" t="s">
        <v>70</v>
      </c>
      <c r="AL20">
        <f t="shared" si="0"/>
        <v>2</v>
      </c>
      <c r="AM20">
        <f t="shared" si="1"/>
        <v>1</v>
      </c>
      <c r="AN20">
        <f t="shared" si="2"/>
        <v>0</v>
      </c>
      <c r="AO20">
        <f t="shared" si="3"/>
        <v>0</v>
      </c>
      <c r="AP20">
        <f t="shared" si="4"/>
        <v>0</v>
      </c>
    </row>
    <row r="21" spans="1:42" ht="18">
      <c r="A21" s="5">
        <v>20</v>
      </c>
      <c r="B21" s="186" t="s">
        <v>252</v>
      </c>
      <c r="C21" s="451" t="s">
        <v>295</v>
      </c>
      <c r="D21" s="7"/>
      <c r="E21" s="7"/>
      <c r="F21" s="7"/>
      <c r="G21" s="433" t="s">
        <v>108</v>
      </c>
      <c r="H21" s="63" t="s">
        <v>72</v>
      </c>
      <c r="I21" s="9" t="s">
        <v>73</v>
      </c>
      <c r="J21" s="444" t="s">
        <v>111</v>
      </c>
      <c r="K21" s="9" t="s">
        <v>70</v>
      </c>
      <c r="L21" s="9" t="s">
        <v>69</v>
      </c>
      <c r="M21" s="9" t="s">
        <v>69</v>
      </c>
      <c r="N21" s="427" t="s">
        <v>108</v>
      </c>
      <c r="O21" s="120" t="s">
        <v>69</v>
      </c>
      <c r="P21" s="120" t="s">
        <v>69</v>
      </c>
      <c r="Q21" s="120" t="s">
        <v>69</v>
      </c>
      <c r="R21" s="120" t="s">
        <v>69</v>
      </c>
      <c r="S21" s="120" t="s">
        <v>69</v>
      </c>
      <c r="T21" s="120" t="s">
        <v>69</v>
      </c>
      <c r="U21" s="427" t="s">
        <v>108</v>
      </c>
      <c r="V21" s="131" t="s">
        <v>72</v>
      </c>
      <c r="W21" s="120" t="s">
        <v>69</v>
      </c>
      <c r="X21" s="120" t="s">
        <v>69</v>
      </c>
      <c r="Y21" s="120" t="s">
        <v>69</v>
      </c>
      <c r="Z21" s="120" t="s">
        <v>69</v>
      </c>
      <c r="AA21" s="120" t="s">
        <v>69</v>
      </c>
      <c r="AB21" s="427" t="s">
        <v>108</v>
      </c>
      <c r="AC21" s="121" t="s">
        <v>72</v>
      </c>
      <c r="AD21" s="120" t="s">
        <v>69</v>
      </c>
      <c r="AE21" s="120" t="s">
        <v>69</v>
      </c>
      <c r="AF21" s="120" t="s">
        <v>69</v>
      </c>
      <c r="AG21" s="120" t="s">
        <v>69</v>
      </c>
      <c r="AH21" s="120" t="s">
        <v>69</v>
      </c>
      <c r="AI21" s="427" t="s">
        <v>108</v>
      </c>
      <c r="AJ21" s="121" t="s">
        <v>72</v>
      </c>
      <c r="AK21" s="120" t="s">
        <v>69</v>
      </c>
      <c r="AL21">
        <f t="shared" si="0"/>
        <v>4</v>
      </c>
      <c r="AM21">
        <f t="shared" si="1"/>
        <v>1</v>
      </c>
      <c r="AN21">
        <f t="shared" si="2"/>
        <v>1</v>
      </c>
      <c r="AO21">
        <f t="shared" si="3"/>
        <v>0</v>
      </c>
      <c r="AP21">
        <f t="shared" si="4"/>
        <v>0</v>
      </c>
    </row>
    <row r="22" spans="1:42" ht="18">
      <c r="A22" s="5">
        <v>21</v>
      </c>
      <c r="B22" s="186" t="s">
        <v>238</v>
      </c>
      <c r="C22" s="455" t="s">
        <v>297</v>
      </c>
      <c r="D22" s="7"/>
      <c r="E22" s="7"/>
      <c r="F22" s="7"/>
      <c r="G22" s="433" t="s">
        <v>108</v>
      </c>
      <c r="H22" s="9" t="s">
        <v>69</v>
      </c>
      <c r="I22" s="9" t="s">
        <v>69</v>
      </c>
      <c r="J22" s="444" t="s">
        <v>111</v>
      </c>
      <c r="K22" s="9" t="s">
        <v>70</v>
      </c>
      <c r="L22" s="9" t="s">
        <v>69</v>
      </c>
      <c r="M22" s="9" t="s">
        <v>69</v>
      </c>
      <c r="N22" s="427" t="s">
        <v>108</v>
      </c>
      <c r="O22" s="120" t="s">
        <v>69</v>
      </c>
      <c r="P22" s="120" t="s">
        <v>69</v>
      </c>
      <c r="Q22" s="120" t="s">
        <v>69</v>
      </c>
      <c r="R22" s="120" t="s">
        <v>69</v>
      </c>
      <c r="S22" s="120" t="s">
        <v>69</v>
      </c>
      <c r="T22" s="120" t="s">
        <v>69</v>
      </c>
      <c r="U22" s="427" t="s">
        <v>108</v>
      </c>
      <c r="V22" s="120" t="s">
        <v>69</v>
      </c>
      <c r="W22" s="120" t="s">
        <v>69</v>
      </c>
      <c r="X22" s="120" t="s">
        <v>69</v>
      </c>
      <c r="Y22" s="120" t="s">
        <v>69</v>
      </c>
      <c r="Z22" s="120" t="s">
        <v>69</v>
      </c>
      <c r="AA22" s="120" t="s">
        <v>69</v>
      </c>
      <c r="AB22" s="427" t="s">
        <v>108</v>
      </c>
      <c r="AC22" s="120" t="s">
        <v>69</v>
      </c>
      <c r="AD22" s="120" t="s">
        <v>69</v>
      </c>
      <c r="AE22" s="120" t="s">
        <v>69</v>
      </c>
      <c r="AF22" s="121" t="s">
        <v>72</v>
      </c>
      <c r="AG22" s="120" t="s">
        <v>69</v>
      </c>
      <c r="AH22" s="120" t="s">
        <v>69</v>
      </c>
      <c r="AI22" s="427" t="s">
        <v>108</v>
      </c>
      <c r="AJ22" s="120" t="s">
        <v>69</v>
      </c>
      <c r="AK22" s="120" t="s">
        <v>69</v>
      </c>
      <c r="AL22">
        <f t="shared" si="0"/>
        <v>1</v>
      </c>
      <c r="AM22">
        <f t="shared" si="1"/>
        <v>1</v>
      </c>
      <c r="AN22">
        <f t="shared" si="2"/>
        <v>0</v>
      </c>
      <c r="AO22">
        <f t="shared" si="3"/>
        <v>0</v>
      </c>
      <c r="AP22">
        <f t="shared" si="4"/>
        <v>0</v>
      </c>
    </row>
    <row r="23" spans="1:42" ht="18">
      <c r="A23" s="5">
        <v>22</v>
      </c>
      <c r="B23" s="254" t="s">
        <v>22</v>
      </c>
      <c r="C23" s="451" t="s">
        <v>285</v>
      </c>
      <c r="D23" s="7"/>
      <c r="E23" s="7"/>
      <c r="F23" s="7"/>
      <c r="G23" s="433" t="s">
        <v>108</v>
      </c>
      <c r="H23" s="9" t="s">
        <v>69</v>
      </c>
      <c r="I23" s="9" t="s">
        <v>69</v>
      </c>
      <c r="J23" s="444" t="s">
        <v>111</v>
      </c>
      <c r="K23" s="9" t="s">
        <v>70</v>
      </c>
      <c r="L23" s="9" t="s">
        <v>70</v>
      </c>
      <c r="M23" s="9" t="s">
        <v>70</v>
      </c>
      <c r="N23" s="427" t="s">
        <v>108</v>
      </c>
      <c r="O23" s="131" t="s">
        <v>72</v>
      </c>
      <c r="P23" s="120" t="s">
        <v>69</v>
      </c>
      <c r="Q23" s="120" t="s">
        <v>69</v>
      </c>
      <c r="R23" s="120" t="s">
        <v>69</v>
      </c>
      <c r="S23" s="120" t="s">
        <v>69</v>
      </c>
      <c r="T23" s="120" t="s">
        <v>69</v>
      </c>
      <c r="U23" s="427" t="s">
        <v>108</v>
      </c>
      <c r="V23" s="120" t="s">
        <v>69</v>
      </c>
      <c r="W23" s="120" t="s">
        <v>69</v>
      </c>
      <c r="X23" s="120" t="s">
        <v>69</v>
      </c>
      <c r="Y23" s="120" t="s">
        <v>69</v>
      </c>
      <c r="Z23" s="120" t="s">
        <v>69</v>
      </c>
      <c r="AA23" s="276" t="s">
        <v>111</v>
      </c>
      <c r="AB23" s="427" t="s">
        <v>108</v>
      </c>
      <c r="AC23" s="120" t="s">
        <v>69</v>
      </c>
      <c r="AD23" s="120" t="s">
        <v>69</v>
      </c>
      <c r="AE23" s="120" t="s">
        <v>69</v>
      </c>
      <c r="AF23" s="120" t="s">
        <v>69</v>
      </c>
      <c r="AG23" s="120" t="s">
        <v>69</v>
      </c>
      <c r="AH23" s="120" t="s">
        <v>69</v>
      </c>
      <c r="AI23" s="427" t="s">
        <v>108</v>
      </c>
      <c r="AJ23" s="120" t="s">
        <v>69</v>
      </c>
      <c r="AK23" s="120" t="s">
        <v>69</v>
      </c>
      <c r="AL23">
        <f t="shared" si="0"/>
        <v>1</v>
      </c>
      <c r="AM23">
        <f t="shared" si="1"/>
        <v>2</v>
      </c>
      <c r="AN23">
        <f t="shared" si="2"/>
        <v>0</v>
      </c>
      <c r="AO23">
        <f t="shared" si="3"/>
        <v>0</v>
      </c>
      <c r="AP23">
        <f t="shared" si="4"/>
        <v>0</v>
      </c>
    </row>
    <row r="24" spans="1:42" ht="18">
      <c r="A24" s="5">
        <v>23</v>
      </c>
      <c r="B24" s="254" t="s">
        <v>221</v>
      </c>
      <c r="C24" s="451" t="s">
        <v>296</v>
      </c>
      <c r="D24" s="7"/>
      <c r="E24" s="7"/>
      <c r="F24" s="7"/>
      <c r="G24" s="433" t="s">
        <v>108</v>
      </c>
      <c r="H24" s="9" t="s">
        <v>69</v>
      </c>
      <c r="I24" s="9" t="s">
        <v>69</v>
      </c>
      <c r="J24" s="9" t="s">
        <v>69</v>
      </c>
      <c r="K24" s="9" t="s">
        <v>69</v>
      </c>
      <c r="L24" s="9" t="s">
        <v>69</v>
      </c>
      <c r="M24" s="9" t="s">
        <v>69</v>
      </c>
      <c r="N24" s="427" t="s">
        <v>108</v>
      </c>
      <c r="O24" s="120" t="s">
        <v>69</v>
      </c>
      <c r="P24" s="120" t="s">
        <v>69</v>
      </c>
      <c r="Q24" s="120" t="s">
        <v>69</v>
      </c>
      <c r="R24" s="120" t="s">
        <v>69</v>
      </c>
      <c r="S24" s="120" t="s">
        <v>69</v>
      </c>
      <c r="T24" s="120" t="s">
        <v>69</v>
      </c>
      <c r="U24" s="427" t="s">
        <v>108</v>
      </c>
      <c r="V24" s="120" t="s">
        <v>69</v>
      </c>
      <c r="W24" s="120" t="s">
        <v>69</v>
      </c>
      <c r="X24" s="120" t="s">
        <v>69</v>
      </c>
      <c r="Y24" s="120" t="s">
        <v>69</v>
      </c>
      <c r="Z24" s="120" t="s">
        <v>69</v>
      </c>
      <c r="AA24" s="276" t="s">
        <v>111</v>
      </c>
      <c r="AB24" s="427" t="s">
        <v>108</v>
      </c>
      <c r="AC24" s="120" t="s">
        <v>69</v>
      </c>
      <c r="AD24" s="120" t="s">
        <v>69</v>
      </c>
      <c r="AE24" s="120" t="s">
        <v>69</v>
      </c>
      <c r="AF24" s="120" t="s">
        <v>69</v>
      </c>
      <c r="AG24" s="120" t="s">
        <v>69</v>
      </c>
      <c r="AH24" s="121" t="s">
        <v>72</v>
      </c>
      <c r="AI24" s="427" t="s">
        <v>108</v>
      </c>
      <c r="AJ24" s="120" t="s">
        <v>69</v>
      </c>
      <c r="AK24" s="428" t="s">
        <v>92</v>
      </c>
      <c r="AL24">
        <f t="shared" si="0"/>
        <v>1</v>
      </c>
      <c r="AM24">
        <f t="shared" si="1"/>
        <v>1</v>
      </c>
      <c r="AN24">
        <f t="shared" si="2"/>
        <v>0</v>
      </c>
      <c r="AO24">
        <f t="shared" si="3"/>
        <v>0</v>
      </c>
      <c r="AP24">
        <f t="shared" si="4"/>
        <v>0</v>
      </c>
    </row>
    <row r="25" spans="1:42" ht="18">
      <c r="A25" s="5">
        <v>24</v>
      </c>
      <c r="B25" s="254" t="s">
        <v>179</v>
      </c>
      <c r="C25" s="451" t="s">
        <v>289</v>
      </c>
      <c r="D25" s="7"/>
      <c r="E25" s="7"/>
      <c r="F25" s="7"/>
      <c r="G25" s="433" t="s">
        <v>108</v>
      </c>
      <c r="H25" s="9" t="s">
        <v>69</v>
      </c>
      <c r="I25" s="9" t="s">
        <v>69</v>
      </c>
      <c r="J25" s="444" t="s">
        <v>111</v>
      </c>
      <c r="K25" s="9" t="s">
        <v>69</v>
      </c>
      <c r="L25" s="9" t="s">
        <v>69</v>
      </c>
      <c r="M25" s="9" t="s">
        <v>69</v>
      </c>
      <c r="N25" s="427" t="s">
        <v>108</v>
      </c>
      <c r="O25" s="120" t="s">
        <v>69</v>
      </c>
      <c r="P25" s="120" t="s">
        <v>69</v>
      </c>
      <c r="Q25" s="120" t="s">
        <v>69</v>
      </c>
      <c r="R25" s="120" t="s">
        <v>69</v>
      </c>
      <c r="S25" s="120" t="s">
        <v>69</v>
      </c>
      <c r="T25" s="120" t="s">
        <v>69</v>
      </c>
      <c r="U25" s="427" t="s">
        <v>108</v>
      </c>
      <c r="V25" s="120" t="s">
        <v>69</v>
      </c>
      <c r="W25" s="132" t="s">
        <v>73</v>
      </c>
      <c r="X25" s="120" t="s">
        <v>69</v>
      </c>
      <c r="Y25" s="120" t="s">
        <v>69</v>
      </c>
      <c r="Z25" s="131" t="s">
        <v>72</v>
      </c>
      <c r="AA25" s="276" t="s">
        <v>111</v>
      </c>
      <c r="AB25" s="427" t="s">
        <v>108</v>
      </c>
      <c r="AC25" s="120" t="s">
        <v>69</v>
      </c>
      <c r="AD25" s="120" t="s">
        <v>69</v>
      </c>
      <c r="AE25" s="120" t="s">
        <v>69</v>
      </c>
      <c r="AF25" s="120" t="s">
        <v>69</v>
      </c>
      <c r="AG25" s="120" t="s">
        <v>69</v>
      </c>
      <c r="AH25" s="120" t="s">
        <v>69</v>
      </c>
      <c r="AI25" s="427" t="s">
        <v>108</v>
      </c>
      <c r="AJ25" s="132" t="s">
        <v>94</v>
      </c>
      <c r="AK25" s="120" t="s">
        <v>69</v>
      </c>
      <c r="AL25">
        <f t="shared" si="0"/>
        <v>1</v>
      </c>
      <c r="AM25">
        <f t="shared" si="1"/>
        <v>2</v>
      </c>
      <c r="AN25">
        <f t="shared" si="2"/>
        <v>1</v>
      </c>
      <c r="AO25">
        <f t="shared" si="3"/>
        <v>0</v>
      </c>
      <c r="AP25">
        <f t="shared" si="4"/>
        <v>0</v>
      </c>
    </row>
    <row r="26" spans="1:42" ht="18">
      <c r="A26" s="5">
        <v>25</v>
      </c>
      <c r="B26" s="254" t="s">
        <v>298</v>
      </c>
      <c r="C26" s="254"/>
      <c r="D26" s="7"/>
      <c r="E26" s="7"/>
      <c r="F26" s="7"/>
      <c r="G26" s="433" t="s">
        <v>108</v>
      </c>
      <c r="H26" s="9" t="s">
        <v>69</v>
      </c>
      <c r="I26" s="9" t="s">
        <v>69</v>
      </c>
      <c r="J26" s="9" t="s">
        <v>69</v>
      </c>
      <c r="K26" s="9" t="s">
        <v>69</v>
      </c>
      <c r="L26" s="9" t="s">
        <v>69</v>
      </c>
      <c r="M26" s="9" t="s">
        <v>69</v>
      </c>
      <c r="N26" s="427" t="s">
        <v>108</v>
      </c>
      <c r="O26" s="120" t="s">
        <v>69</v>
      </c>
      <c r="P26" s="120" t="s">
        <v>69</v>
      </c>
      <c r="Q26" s="120" t="s">
        <v>69</v>
      </c>
      <c r="R26" s="120" t="s">
        <v>69</v>
      </c>
      <c r="S26" s="120" t="s">
        <v>69</v>
      </c>
      <c r="T26" s="120" t="s">
        <v>69</v>
      </c>
      <c r="U26" s="427" t="s">
        <v>108</v>
      </c>
      <c r="V26" s="120" t="s">
        <v>69</v>
      </c>
      <c r="W26" s="404" t="s">
        <v>267</v>
      </c>
      <c r="X26" s="120" t="s">
        <v>69</v>
      </c>
      <c r="Y26" s="120" t="s">
        <v>69</v>
      </c>
      <c r="Z26" s="120" t="s">
        <v>69</v>
      </c>
      <c r="AA26" s="276" t="s">
        <v>111</v>
      </c>
      <c r="AB26" s="427" t="s">
        <v>108</v>
      </c>
      <c r="AC26" s="120" t="s">
        <v>69</v>
      </c>
      <c r="AD26" s="120" t="s">
        <v>69</v>
      </c>
      <c r="AE26" s="120" t="s">
        <v>69</v>
      </c>
      <c r="AF26" s="120" t="s">
        <v>69</v>
      </c>
      <c r="AG26" s="120" t="s">
        <v>69</v>
      </c>
      <c r="AH26" s="120" t="s">
        <v>69</v>
      </c>
      <c r="AI26" s="427" t="s">
        <v>108</v>
      </c>
      <c r="AJ26" s="120" t="s">
        <v>69</v>
      </c>
      <c r="AK26" s="120" t="s">
        <v>69</v>
      </c>
      <c r="AL26">
        <f t="shared" si="0"/>
        <v>0</v>
      </c>
      <c r="AM26">
        <f t="shared" si="1"/>
        <v>1</v>
      </c>
      <c r="AN26">
        <f t="shared" si="2"/>
        <v>0</v>
      </c>
      <c r="AO26">
        <f t="shared" si="3"/>
        <v>0</v>
      </c>
      <c r="AP26">
        <f t="shared" si="4"/>
        <v>1</v>
      </c>
    </row>
    <row r="27" spans="1:42" ht="18">
      <c r="A27" s="5">
        <v>26</v>
      </c>
      <c r="B27" s="254" t="s">
        <v>299</v>
      </c>
      <c r="C27" s="254"/>
      <c r="D27" s="7"/>
      <c r="E27" s="7"/>
      <c r="F27" s="7"/>
      <c r="G27" s="433" t="s">
        <v>108</v>
      </c>
      <c r="H27" s="9" t="s">
        <v>69</v>
      </c>
      <c r="I27" s="9" t="s">
        <v>111</v>
      </c>
      <c r="J27" s="63" t="s">
        <v>72</v>
      </c>
      <c r="K27" s="9" t="s">
        <v>69</v>
      </c>
      <c r="L27" s="9" t="s">
        <v>69</v>
      </c>
      <c r="M27" s="9" t="s">
        <v>69</v>
      </c>
      <c r="N27" s="427" t="s">
        <v>108</v>
      </c>
      <c r="O27" s="120" t="s">
        <v>69</v>
      </c>
      <c r="P27" s="120" t="s">
        <v>69</v>
      </c>
      <c r="Q27" s="120" t="s">
        <v>69</v>
      </c>
      <c r="R27" s="120" t="s">
        <v>69</v>
      </c>
      <c r="S27" s="120" t="s">
        <v>69</v>
      </c>
      <c r="T27" s="120" t="s">
        <v>69</v>
      </c>
      <c r="U27" s="427" t="s">
        <v>108</v>
      </c>
      <c r="V27" s="120" t="s">
        <v>69</v>
      </c>
      <c r="W27" s="120" t="s">
        <v>69</v>
      </c>
      <c r="X27" s="120" t="s">
        <v>69</v>
      </c>
      <c r="Y27" s="120" t="s">
        <v>69</v>
      </c>
      <c r="Z27" s="120" t="s">
        <v>69</v>
      </c>
      <c r="AA27" s="120" t="s">
        <v>69</v>
      </c>
      <c r="AB27" s="427" t="s">
        <v>108</v>
      </c>
      <c r="AC27" s="121" t="s">
        <v>72</v>
      </c>
      <c r="AD27" s="120" t="s">
        <v>69</v>
      </c>
      <c r="AE27" s="120" t="s">
        <v>69</v>
      </c>
      <c r="AF27" s="120" t="s">
        <v>69</v>
      </c>
      <c r="AG27" s="120" t="s">
        <v>69</v>
      </c>
      <c r="AH27" s="120" t="s">
        <v>69</v>
      </c>
      <c r="AI27" s="427" t="s">
        <v>108</v>
      </c>
      <c r="AJ27" s="121" t="s">
        <v>72</v>
      </c>
      <c r="AK27" s="120" t="s">
        <v>69</v>
      </c>
      <c r="AL27">
        <f t="shared" si="0"/>
        <v>3</v>
      </c>
      <c r="AM27">
        <f t="shared" si="1"/>
        <v>1</v>
      </c>
      <c r="AN27">
        <f t="shared" si="2"/>
        <v>0</v>
      </c>
      <c r="AO27">
        <f t="shared" si="3"/>
        <v>0</v>
      </c>
      <c r="AP27">
        <f t="shared" si="4"/>
        <v>0</v>
      </c>
    </row>
    <row r="28" spans="1:42" ht="18">
      <c r="A28" s="5">
        <v>27</v>
      </c>
      <c r="B28" s="254" t="s">
        <v>140</v>
      </c>
      <c r="C28" s="456" t="s">
        <v>300</v>
      </c>
      <c r="D28" s="7"/>
      <c r="E28" s="7"/>
      <c r="F28" s="7"/>
      <c r="G28" s="433" t="s">
        <v>108</v>
      </c>
      <c r="H28" s="9" t="s">
        <v>69</v>
      </c>
      <c r="I28" s="9" t="s">
        <v>69</v>
      </c>
      <c r="J28" s="9" t="s">
        <v>69</v>
      </c>
      <c r="K28" s="9" t="s">
        <v>69</v>
      </c>
      <c r="L28" s="9" t="s">
        <v>69</v>
      </c>
      <c r="M28" s="9" t="s">
        <v>69</v>
      </c>
      <c r="N28" s="427" t="s">
        <v>108</v>
      </c>
      <c r="O28" s="120" t="s">
        <v>69</v>
      </c>
      <c r="P28" s="120" t="s">
        <v>69</v>
      </c>
      <c r="Q28" s="120" t="s">
        <v>69</v>
      </c>
      <c r="R28" s="120" t="s">
        <v>69</v>
      </c>
      <c r="S28" s="120" t="s">
        <v>69</v>
      </c>
      <c r="T28" s="120" t="s">
        <v>69</v>
      </c>
      <c r="U28" s="427" t="s">
        <v>108</v>
      </c>
      <c r="V28" s="120" t="s">
        <v>69</v>
      </c>
      <c r="W28" s="120" t="s">
        <v>69</v>
      </c>
      <c r="X28" s="120" t="s">
        <v>69</v>
      </c>
      <c r="Y28" s="322" t="s">
        <v>111</v>
      </c>
      <c r="Z28" s="120" t="s">
        <v>69</v>
      </c>
      <c r="AA28" s="120" t="s">
        <v>69</v>
      </c>
      <c r="AB28" s="427" t="s">
        <v>108</v>
      </c>
      <c r="AC28" s="120" t="s">
        <v>69</v>
      </c>
      <c r="AD28" s="120" t="s">
        <v>69</v>
      </c>
      <c r="AE28" s="120" t="s">
        <v>69</v>
      </c>
      <c r="AF28" s="121" t="s">
        <v>72</v>
      </c>
      <c r="AG28" s="120" t="s">
        <v>69</v>
      </c>
      <c r="AH28" s="120" t="s">
        <v>69</v>
      </c>
      <c r="AI28" s="427" t="s">
        <v>108</v>
      </c>
      <c r="AJ28" s="120" t="s">
        <v>69</v>
      </c>
      <c r="AK28" s="120" t="s">
        <v>69</v>
      </c>
      <c r="AL28">
        <f t="shared" si="0"/>
        <v>1</v>
      </c>
      <c r="AM28">
        <f t="shared" si="1"/>
        <v>1</v>
      </c>
      <c r="AN28">
        <f t="shared" si="2"/>
        <v>0</v>
      </c>
      <c r="AO28">
        <f t="shared" si="3"/>
        <v>0</v>
      </c>
      <c r="AP28">
        <f t="shared" si="4"/>
        <v>0</v>
      </c>
    </row>
    <row r="29" spans="1:42" ht="18">
      <c r="A29" s="5">
        <v>28</v>
      </c>
      <c r="B29" s="254" t="s">
        <v>222</v>
      </c>
      <c r="C29" s="451" t="s">
        <v>296</v>
      </c>
      <c r="D29" s="7"/>
      <c r="E29" s="7"/>
      <c r="F29" s="7"/>
      <c r="G29" s="433" t="s">
        <v>108</v>
      </c>
      <c r="H29" s="9" t="s">
        <v>69</v>
      </c>
      <c r="I29" s="9" t="s">
        <v>69</v>
      </c>
      <c r="J29" s="9" t="s">
        <v>69</v>
      </c>
      <c r="K29" s="9" t="s">
        <v>69</v>
      </c>
      <c r="L29" s="9" t="s">
        <v>69</v>
      </c>
      <c r="M29" s="9" t="s">
        <v>69</v>
      </c>
      <c r="N29" s="427" t="s">
        <v>108</v>
      </c>
      <c r="O29" s="120" t="s">
        <v>69</v>
      </c>
      <c r="P29" s="120" t="s">
        <v>69</v>
      </c>
      <c r="Q29" s="120" t="s">
        <v>69</v>
      </c>
      <c r="R29" s="120" t="s">
        <v>69</v>
      </c>
      <c r="S29" s="120" t="s">
        <v>69</v>
      </c>
      <c r="T29" s="120" t="s">
        <v>69</v>
      </c>
      <c r="U29" s="427" t="s">
        <v>108</v>
      </c>
      <c r="V29" s="120" t="s">
        <v>69</v>
      </c>
      <c r="W29" s="120" t="s">
        <v>69</v>
      </c>
      <c r="X29" s="120" t="s">
        <v>69</v>
      </c>
      <c r="Y29" s="120" t="s">
        <v>69</v>
      </c>
      <c r="Z29" s="120" t="s">
        <v>69</v>
      </c>
      <c r="AA29" s="120" t="s">
        <v>111</v>
      </c>
      <c r="AB29" s="427" t="s">
        <v>108</v>
      </c>
      <c r="AC29" s="121" t="s">
        <v>72</v>
      </c>
      <c r="AD29" s="120" t="s">
        <v>69</v>
      </c>
      <c r="AE29" s="120" t="s">
        <v>69</v>
      </c>
      <c r="AF29" s="120" t="s">
        <v>69</v>
      </c>
      <c r="AG29" s="120" t="s">
        <v>69</v>
      </c>
      <c r="AH29" s="120" t="s">
        <v>69</v>
      </c>
      <c r="AI29" s="427" t="s">
        <v>108</v>
      </c>
      <c r="AJ29" s="120" t="s">
        <v>69</v>
      </c>
      <c r="AK29" s="120" t="s">
        <v>69</v>
      </c>
      <c r="AL29">
        <f t="shared" si="0"/>
        <v>1</v>
      </c>
      <c r="AM29">
        <f t="shared" si="1"/>
        <v>1</v>
      </c>
      <c r="AN29">
        <f t="shared" si="2"/>
        <v>0</v>
      </c>
      <c r="AO29">
        <f t="shared" si="3"/>
        <v>0</v>
      </c>
      <c r="AP29">
        <f t="shared" si="4"/>
        <v>0</v>
      </c>
    </row>
    <row r="30" spans="1:42" ht="18">
      <c r="A30" s="5">
        <v>29</v>
      </c>
      <c r="B30" s="254" t="s">
        <v>114</v>
      </c>
      <c r="C30" s="450" t="s">
        <v>301</v>
      </c>
      <c r="D30" s="7"/>
      <c r="E30" s="7"/>
      <c r="F30" s="7"/>
      <c r="G30" s="433" t="s">
        <v>108</v>
      </c>
      <c r="H30" s="9" t="s">
        <v>69</v>
      </c>
      <c r="I30" s="9" t="s">
        <v>69</v>
      </c>
      <c r="J30" s="9" t="s">
        <v>69</v>
      </c>
      <c r="K30" s="9" t="s">
        <v>69</v>
      </c>
      <c r="L30" s="9" t="s">
        <v>69</v>
      </c>
      <c r="M30" s="9" t="s">
        <v>69</v>
      </c>
      <c r="N30" s="427" t="s">
        <v>108</v>
      </c>
      <c r="O30" s="120" t="s">
        <v>69</v>
      </c>
      <c r="P30" s="120" t="s">
        <v>69</v>
      </c>
      <c r="Q30" s="120" t="s">
        <v>69</v>
      </c>
      <c r="R30" s="120" t="s">
        <v>69</v>
      </c>
      <c r="S30" s="120" t="s">
        <v>69</v>
      </c>
      <c r="T30" s="120" t="s">
        <v>69</v>
      </c>
      <c r="U30" s="427" t="s">
        <v>108</v>
      </c>
      <c r="V30" s="120" t="s">
        <v>69</v>
      </c>
      <c r="W30" s="120" t="s">
        <v>69</v>
      </c>
      <c r="X30" s="120" t="s">
        <v>69</v>
      </c>
      <c r="Y30" s="322" t="s">
        <v>111</v>
      </c>
      <c r="Z30" s="120" t="s">
        <v>69</v>
      </c>
      <c r="AA30" s="120" t="s">
        <v>69</v>
      </c>
      <c r="AB30" s="427" t="s">
        <v>108</v>
      </c>
      <c r="AC30" s="120" t="s">
        <v>69</v>
      </c>
      <c r="AD30" s="120" t="s">
        <v>69</v>
      </c>
      <c r="AE30" s="120" t="s">
        <v>69</v>
      </c>
      <c r="AF30" s="149" t="s">
        <v>69</v>
      </c>
      <c r="AG30" s="120" t="s">
        <v>69</v>
      </c>
      <c r="AH30" s="120" t="s">
        <v>69</v>
      </c>
      <c r="AI30" s="427" t="s">
        <v>108</v>
      </c>
      <c r="AJ30" s="120" t="s">
        <v>69</v>
      </c>
      <c r="AK30" s="120" t="s">
        <v>69</v>
      </c>
      <c r="AL30">
        <f t="shared" si="0"/>
        <v>0</v>
      </c>
      <c r="AM30">
        <f t="shared" si="1"/>
        <v>1</v>
      </c>
      <c r="AN30">
        <f t="shared" si="2"/>
        <v>0</v>
      </c>
      <c r="AO30">
        <f t="shared" si="3"/>
        <v>0</v>
      </c>
      <c r="AP30">
        <f t="shared" si="4"/>
        <v>0</v>
      </c>
    </row>
    <row r="31" spans="1:42" ht="18">
      <c r="A31" s="5">
        <v>30</v>
      </c>
      <c r="B31" s="254" t="s">
        <v>253</v>
      </c>
      <c r="C31" s="450" t="s">
        <v>284</v>
      </c>
      <c r="D31" s="7"/>
      <c r="E31" s="7"/>
      <c r="F31" s="7"/>
      <c r="G31" s="433" t="s">
        <v>108</v>
      </c>
      <c r="H31" s="63" t="s">
        <v>72</v>
      </c>
      <c r="I31" s="63" t="s">
        <v>72</v>
      </c>
      <c r="J31" s="9" t="s">
        <v>69</v>
      </c>
      <c r="K31" s="9" t="s">
        <v>69</v>
      </c>
      <c r="L31" s="9" t="s">
        <v>69</v>
      </c>
      <c r="M31" s="63" t="s">
        <v>72</v>
      </c>
      <c r="N31" s="427" t="s">
        <v>108</v>
      </c>
      <c r="O31" s="120" t="s">
        <v>69</v>
      </c>
      <c r="P31" s="120" t="s">
        <v>69</v>
      </c>
      <c r="Q31" s="120" t="s">
        <v>69</v>
      </c>
      <c r="R31" s="120" t="s">
        <v>69</v>
      </c>
      <c r="S31" s="120" t="s">
        <v>69</v>
      </c>
      <c r="T31" s="120" t="s">
        <v>69</v>
      </c>
      <c r="U31" s="427" t="s">
        <v>108</v>
      </c>
      <c r="V31" s="120" t="s">
        <v>69</v>
      </c>
      <c r="W31" s="120" t="s">
        <v>69</v>
      </c>
      <c r="X31" s="120" t="s">
        <v>69</v>
      </c>
      <c r="Y31" s="120" t="s">
        <v>69</v>
      </c>
      <c r="Z31" s="120" t="s">
        <v>69</v>
      </c>
      <c r="AA31" s="137" t="s">
        <v>302</v>
      </c>
      <c r="AB31" s="427" t="s">
        <v>108</v>
      </c>
      <c r="AC31" s="120" t="s">
        <v>69</v>
      </c>
      <c r="AD31" s="120" t="s">
        <v>69</v>
      </c>
      <c r="AE31" s="120" t="s">
        <v>69</v>
      </c>
      <c r="AF31" s="120" t="s">
        <v>69</v>
      </c>
      <c r="AG31" s="120" t="s">
        <v>69</v>
      </c>
      <c r="AH31" s="120" t="s">
        <v>69</v>
      </c>
      <c r="AI31" s="427" t="s">
        <v>108</v>
      </c>
      <c r="AJ31" s="120" t="s">
        <v>69</v>
      </c>
      <c r="AK31" s="120" t="s">
        <v>69</v>
      </c>
      <c r="AL31">
        <f t="shared" si="0"/>
        <v>3</v>
      </c>
      <c r="AM31">
        <f t="shared" si="1"/>
        <v>0</v>
      </c>
      <c r="AN31">
        <f t="shared" si="2"/>
        <v>0</v>
      </c>
      <c r="AO31">
        <f t="shared" si="3"/>
        <v>0</v>
      </c>
      <c r="AP31">
        <f t="shared" si="4"/>
        <v>0</v>
      </c>
    </row>
    <row r="32" spans="1:42" ht="18">
      <c r="A32" s="5">
        <v>31</v>
      </c>
      <c r="B32" s="254" t="s">
        <v>26</v>
      </c>
      <c r="C32" s="450" t="s">
        <v>300</v>
      </c>
      <c r="D32" s="7"/>
      <c r="E32" s="7"/>
      <c r="F32" s="7"/>
      <c r="G32" s="433" t="s">
        <v>108</v>
      </c>
      <c r="H32" s="9" t="s">
        <v>69</v>
      </c>
      <c r="I32" s="9" t="s">
        <v>69</v>
      </c>
      <c r="J32" s="9" t="s">
        <v>69</v>
      </c>
      <c r="K32" s="9" t="s">
        <v>69</v>
      </c>
      <c r="L32" s="9" t="s">
        <v>69</v>
      </c>
      <c r="M32" s="9" t="s">
        <v>69</v>
      </c>
      <c r="N32" s="427" t="s">
        <v>108</v>
      </c>
      <c r="O32" s="120" t="s">
        <v>69</v>
      </c>
      <c r="P32" s="120" t="s">
        <v>69</v>
      </c>
      <c r="Q32" s="120" t="s">
        <v>69</v>
      </c>
      <c r="R32" s="120" t="s">
        <v>69</v>
      </c>
      <c r="S32" s="120" t="s">
        <v>69</v>
      </c>
      <c r="T32" s="130" t="s">
        <v>267</v>
      </c>
      <c r="U32" s="427" t="s">
        <v>108</v>
      </c>
      <c r="V32" s="120" t="s">
        <v>69</v>
      </c>
      <c r="W32" s="120" t="s">
        <v>69</v>
      </c>
      <c r="X32" s="120" t="s">
        <v>69</v>
      </c>
      <c r="Y32" s="322" t="s">
        <v>111</v>
      </c>
      <c r="Z32" s="120" t="s">
        <v>69</v>
      </c>
      <c r="AA32" s="120" t="s">
        <v>69</v>
      </c>
      <c r="AB32" s="427" t="s">
        <v>108</v>
      </c>
      <c r="AC32" s="120" t="s">
        <v>69</v>
      </c>
      <c r="AD32" s="120" t="s">
        <v>69</v>
      </c>
      <c r="AE32" s="120" t="s">
        <v>69</v>
      </c>
      <c r="AF32" s="120" t="s">
        <v>69</v>
      </c>
      <c r="AG32" s="120" t="s">
        <v>69</v>
      </c>
      <c r="AH32" s="120" t="s">
        <v>69</v>
      </c>
      <c r="AI32" s="427" t="s">
        <v>108</v>
      </c>
      <c r="AJ32" s="120" t="s">
        <v>69</v>
      </c>
      <c r="AK32" s="120" t="s">
        <v>69</v>
      </c>
      <c r="AL32">
        <f t="shared" si="0"/>
        <v>0</v>
      </c>
      <c r="AM32">
        <f t="shared" si="1"/>
        <v>1</v>
      </c>
      <c r="AN32">
        <f t="shared" si="2"/>
        <v>0</v>
      </c>
      <c r="AO32">
        <f t="shared" si="3"/>
        <v>0</v>
      </c>
      <c r="AP32">
        <f t="shared" si="4"/>
        <v>1</v>
      </c>
    </row>
    <row r="33" spans="1:42" ht="18">
      <c r="A33" s="5">
        <v>32</v>
      </c>
      <c r="B33" s="254" t="s">
        <v>27</v>
      </c>
      <c r="C33" s="450" t="s">
        <v>300</v>
      </c>
      <c r="D33" s="7"/>
      <c r="E33" s="7"/>
      <c r="F33" s="7"/>
      <c r="G33" s="433" t="s">
        <v>108</v>
      </c>
      <c r="H33" s="9" t="s">
        <v>69</v>
      </c>
      <c r="I33" s="9" t="s">
        <v>69</v>
      </c>
      <c r="J33" s="9" t="s">
        <v>69</v>
      </c>
      <c r="K33" s="9" t="s">
        <v>69</v>
      </c>
      <c r="L33" s="9" t="s">
        <v>69</v>
      </c>
      <c r="M33" s="9" t="s">
        <v>69</v>
      </c>
      <c r="N33" s="427" t="s">
        <v>108</v>
      </c>
      <c r="O33" s="120" t="s">
        <v>69</v>
      </c>
      <c r="P33" s="120" t="s">
        <v>69</v>
      </c>
      <c r="Q33" s="120" t="s">
        <v>69</v>
      </c>
      <c r="R33" s="131" t="s">
        <v>72</v>
      </c>
      <c r="S33" s="120" t="s">
        <v>69</v>
      </c>
      <c r="T33" s="120" t="s">
        <v>69</v>
      </c>
      <c r="U33" s="427" t="s">
        <v>108</v>
      </c>
      <c r="V33" s="120" t="s">
        <v>69</v>
      </c>
      <c r="W33" s="120" t="s">
        <v>69</v>
      </c>
      <c r="X33" s="120" t="s">
        <v>69</v>
      </c>
      <c r="Y33" s="322" t="s">
        <v>111</v>
      </c>
      <c r="Z33" s="120" t="s">
        <v>69</v>
      </c>
      <c r="AA33" s="120" t="s">
        <v>69</v>
      </c>
      <c r="AB33" s="427" t="s">
        <v>108</v>
      </c>
      <c r="AC33" s="120" t="s">
        <v>69</v>
      </c>
      <c r="AD33" s="120" t="s">
        <v>69</v>
      </c>
      <c r="AE33" s="120" t="s">
        <v>69</v>
      </c>
      <c r="AF33" s="120" t="s">
        <v>69</v>
      </c>
      <c r="AG33" s="120" t="s">
        <v>69</v>
      </c>
      <c r="AH33" s="120" t="s">
        <v>69</v>
      </c>
      <c r="AI33" s="427" t="s">
        <v>108</v>
      </c>
      <c r="AJ33" s="120" t="s">
        <v>69</v>
      </c>
      <c r="AK33" s="120" t="s">
        <v>69</v>
      </c>
      <c r="AL33">
        <f t="shared" si="0"/>
        <v>1</v>
      </c>
      <c r="AM33">
        <f t="shared" si="1"/>
        <v>1</v>
      </c>
      <c r="AN33">
        <f t="shared" si="2"/>
        <v>0</v>
      </c>
      <c r="AO33">
        <f t="shared" si="3"/>
        <v>0</v>
      </c>
      <c r="AP33">
        <f t="shared" si="4"/>
        <v>0</v>
      </c>
    </row>
    <row r="34" spans="1:42" ht="18">
      <c r="A34" s="5">
        <v>33</v>
      </c>
      <c r="B34" s="254" t="s">
        <v>28</v>
      </c>
      <c r="C34" s="450" t="s">
        <v>286</v>
      </c>
      <c r="D34" s="7"/>
      <c r="E34" s="7"/>
      <c r="F34" s="7"/>
      <c r="G34" s="433" t="s">
        <v>108</v>
      </c>
      <c r="H34" s="9" t="s">
        <v>69</v>
      </c>
      <c r="I34" s="9" t="s">
        <v>69</v>
      </c>
      <c r="J34" s="444" t="s">
        <v>111</v>
      </c>
      <c r="K34" s="9" t="s">
        <v>69</v>
      </c>
      <c r="L34" s="9" t="s">
        <v>69</v>
      </c>
      <c r="M34" s="9" t="s">
        <v>69</v>
      </c>
      <c r="N34" s="427" t="s">
        <v>108</v>
      </c>
      <c r="O34" s="120" t="s">
        <v>69</v>
      </c>
      <c r="P34" s="120" t="s">
        <v>69</v>
      </c>
      <c r="Q34" s="120" t="s">
        <v>69</v>
      </c>
      <c r="R34" s="120" t="s">
        <v>69</v>
      </c>
      <c r="S34" s="120" t="s">
        <v>69</v>
      </c>
      <c r="T34" s="120" t="s">
        <v>69</v>
      </c>
      <c r="U34" s="427" t="s">
        <v>108</v>
      </c>
      <c r="V34" s="120" t="s">
        <v>69</v>
      </c>
      <c r="W34" s="120" t="s">
        <v>69</v>
      </c>
      <c r="X34" s="120" t="s">
        <v>69</v>
      </c>
      <c r="Y34" s="120" t="s">
        <v>69</v>
      </c>
      <c r="Z34" s="120" t="s">
        <v>69</v>
      </c>
      <c r="AA34" s="276" t="s">
        <v>111</v>
      </c>
      <c r="AB34" s="427" t="s">
        <v>108</v>
      </c>
      <c r="AC34" s="120" t="s">
        <v>69</v>
      </c>
      <c r="AD34" s="120" t="s">
        <v>69</v>
      </c>
      <c r="AE34" s="120" t="s">
        <v>69</v>
      </c>
      <c r="AF34" s="120" t="s">
        <v>69</v>
      </c>
      <c r="AG34" s="120" t="s">
        <v>69</v>
      </c>
      <c r="AH34" s="120" t="s">
        <v>69</v>
      </c>
      <c r="AI34" s="427" t="s">
        <v>108</v>
      </c>
      <c r="AJ34" s="120" t="s">
        <v>69</v>
      </c>
      <c r="AK34" s="120" t="s">
        <v>69</v>
      </c>
      <c r="AL34">
        <f t="shared" si="0"/>
        <v>0</v>
      </c>
      <c r="AM34">
        <f t="shared" si="1"/>
        <v>2</v>
      </c>
      <c r="AN34">
        <f t="shared" si="2"/>
        <v>0</v>
      </c>
      <c r="AO34">
        <f t="shared" si="3"/>
        <v>0</v>
      </c>
      <c r="AP34">
        <f t="shared" si="4"/>
        <v>0</v>
      </c>
    </row>
    <row r="35" spans="1:42" ht="18">
      <c r="A35" s="5">
        <v>34</v>
      </c>
      <c r="B35" s="254" t="s">
        <v>29</v>
      </c>
      <c r="C35" s="450" t="s">
        <v>303</v>
      </c>
      <c r="D35" s="7"/>
      <c r="E35" s="7"/>
      <c r="F35" s="7"/>
      <c r="G35" s="433" t="s">
        <v>108</v>
      </c>
      <c r="H35" s="9" t="s">
        <v>69</v>
      </c>
      <c r="I35" s="9" t="s">
        <v>69</v>
      </c>
      <c r="J35" s="9" t="s">
        <v>69</v>
      </c>
      <c r="K35" s="9" t="s">
        <v>69</v>
      </c>
      <c r="L35" s="9" t="s">
        <v>69</v>
      </c>
      <c r="M35" s="9" t="s">
        <v>69</v>
      </c>
      <c r="N35" s="427" t="s">
        <v>108</v>
      </c>
      <c r="O35" s="120" t="s">
        <v>69</v>
      </c>
      <c r="P35" s="120" t="s">
        <v>69</v>
      </c>
      <c r="Q35" s="120" t="s">
        <v>69</v>
      </c>
      <c r="R35" s="120" t="s">
        <v>69</v>
      </c>
      <c r="S35" s="120" t="s">
        <v>69</v>
      </c>
      <c r="T35" s="120" t="s">
        <v>69</v>
      </c>
      <c r="U35" s="427" t="s">
        <v>108</v>
      </c>
      <c r="V35" s="120" t="s">
        <v>69</v>
      </c>
      <c r="W35" s="120" t="s">
        <v>69</v>
      </c>
      <c r="X35" s="120" t="s">
        <v>69</v>
      </c>
      <c r="Y35" s="120" t="s">
        <v>69</v>
      </c>
      <c r="Z35" s="120" t="s">
        <v>69</v>
      </c>
      <c r="AA35" s="276" t="s">
        <v>111</v>
      </c>
      <c r="AB35" s="427" t="s">
        <v>108</v>
      </c>
      <c r="AC35" s="120" t="s">
        <v>69</v>
      </c>
      <c r="AD35" s="120" t="s">
        <v>69</v>
      </c>
      <c r="AE35" s="120" t="s">
        <v>69</v>
      </c>
      <c r="AF35" s="120" t="s">
        <v>69</v>
      </c>
      <c r="AG35" s="120" t="s">
        <v>69</v>
      </c>
      <c r="AH35" s="120" t="s">
        <v>69</v>
      </c>
      <c r="AI35" s="427" t="s">
        <v>108</v>
      </c>
      <c r="AJ35" s="120" t="s">
        <v>69</v>
      </c>
      <c r="AK35" s="121" t="s">
        <v>72</v>
      </c>
      <c r="AL35">
        <f t="shared" si="0"/>
        <v>1</v>
      </c>
      <c r="AM35">
        <f t="shared" si="1"/>
        <v>1</v>
      </c>
      <c r="AN35">
        <f t="shared" si="2"/>
        <v>0</v>
      </c>
      <c r="AO35">
        <f t="shared" si="3"/>
        <v>0</v>
      </c>
      <c r="AP35">
        <f t="shared" si="4"/>
        <v>0</v>
      </c>
    </row>
    <row r="36" spans="1:42" ht="18">
      <c r="A36" s="5">
        <v>35</v>
      </c>
      <c r="B36" s="254" t="s">
        <v>181</v>
      </c>
      <c r="C36" s="450" t="s">
        <v>293</v>
      </c>
      <c r="D36" s="7"/>
      <c r="E36" s="7"/>
      <c r="F36" s="7"/>
      <c r="G36" s="433" t="s">
        <v>108</v>
      </c>
      <c r="H36" s="9" t="s">
        <v>69</v>
      </c>
      <c r="I36" s="9" t="s">
        <v>69</v>
      </c>
      <c r="J36" s="9" t="s">
        <v>69</v>
      </c>
      <c r="K36" s="9" t="s">
        <v>69</v>
      </c>
      <c r="L36" s="9" t="s">
        <v>69</v>
      </c>
      <c r="M36" s="9" t="s">
        <v>69</v>
      </c>
      <c r="N36" s="427" t="s">
        <v>108</v>
      </c>
      <c r="O36" s="120" t="s">
        <v>69</v>
      </c>
      <c r="P36" s="120" t="s">
        <v>69</v>
      </c>
      <c r="Q36" s="120" t="s">
        <v>69</v>
      </c>
      <c r="R36" s="120" t="s">
        <v>69</v>
      </c>
      <c r="S36" s="120" t="s">
        <v>69</v>
      </c>
      <c r="T36" s="120" t="s">
        <v>69</v>
      </c>
      <c r="U36" s="427" t="s">
        <v>108</v>
      </c>
      <c r="V36" s="120" t="s">
        <v>69</v>
      </c>
      <c r="W36" s="120" t="s">
        <v>69</v>
      </c>
      <c r="X36" s="120" t="s">
        <v>69</v>
      </c>
      <c r="Y36" s="120" t="s">
        <v>69</v>
      </c>
      <c r="Z36" s="120" t="s">
        <v>69</v>
      </c>
      <c r="AA36" s="276" t="s">
        <v>111</v>
      </c>
      <c r="AB36" s="427" t="s">
        <v>108</v>
      </c>
      <c r="AC36" s="120" t="s">
        <v>69</v>
      </c>
      <c r="AD36" s="120" t="s">
        <v>69</v>
      </c>
      <c r="AE36" s="120" t="s">
        <v>69</v>
      </c>
      <c r="AF36" s="120" t="s">
        <v>69</v>
      </c>
      <c r="AG36" s="120" t="s">
        <v>69</v>
      </c>
      <c r="AH36" s="120" t="s">
        <v>69</v>
      </c>
      <c r="AI36" s="427" t="s">
        <v>108</v>
      </c>
      <c r="AJ36" s="120" t="s">
        <v>69</v>
      </c>
      <c r="AK36" s="120" t="s">
        <v>69</v>
      </c>
      <c r="AL36">
        <f t="shared" si="0"/>
        <v>0</v>
      </c>
      <c r="AM36">
        <f t="shared" si="1"/>
        <v>1</v>
      </c>
      <c r="AN36">
        <f t="shared" si="2"/>
        <v>0</v>
      </c>
      <c r="AO36">
        <f t="shared" si="3"/>
        <v>0</v>
      </c>
      <c r="AP36">
        <f t="shared" si="4"/>
        <v>0</v>
      </c>
    </row>
    <row r="37" spans="1:42" ht="18">
      <c r="A37" s="5">
        <v>36</v>
      </c>
      <c r="B37" s="254" t="s">
        <v>30</v>
      </c>
      <c r="C37" s="450" t="s">
        <v>301</v>
      </c>
      <c r="D37" s="7"/>
      <c r="E37" s="7"/>
      <c r="F37" s="7"/>
      <c r="G37" s="433" t="s">
        <v>108</v>
      </c>
      <c r="H37" s="9" t="s">
        <v>69</v>
      </c>
      <c r="I37" s="9" t="s">
        <v>69</v>
      </c>
      <c r="J37" s="9" t="s">
        <v>69</v>
      </c>
      <c r="K37" s="9" t="s">
        <v>69</v>
      </c>
      <c r="L37" s="9" t="s">
        <v>69</v>
      </c>
      <c r="M37" s="63" t="s">
        <v>72</v>
      </c>
      <c r="N37" s="427" t="s">
        <v>108</v>
      </c>
      <c r="O37" s="120" t="s">
        <v>69</v>
      </c>
      <c r="P37" s="120" t="s">
        <v>69</v>
      </c>
      <c r="Q37" s="120" t="s">
        <v>69</v>
      </c>
      <c r="R37" s="120" t="s">
        <v>69</v>
      </c>
      <c r="S37" s="120" t="s">
        <v>69</v>
      </c>
      <c r="T37" s="120" t="s">
        <v>69</v>
      </c>
      <c r="U37" s="427" t="s">
        <v>108</v>
      </c>
      <c r="V37" s="120" t="s">
        <v>69</v>
      </c>
      <c r="W37" s="120" t="s">
        <v>69</v>
      </c>
      <c r="X37" s="120" t="s">
        <v>69</v>
      </c>
      <c r="Y37" s="322" t="s">
        <v>111</v>
      </c>
      <c r="Z37" s="120" t="s">
        <v>69</v>
      </c>
      <c r="AA37" s="120" t="s">
        <v>69</v>
      </c>
      <c r="AB37" s="427" t="s">
        <v>108</v>
      </c>
      <c r="AC37" s="120" t="s">
        <v>69</v>
      </c>
      <c r="AD37" s="120" t="s">
        <v>69</v>
      </c>
      <c r="AE37" s="120" t="s">
        <v>69</v>
      </c>
      <c r="AF37" s="120" t="s">
        <v>69</v>
      </c>
      <c r="AG37" s="121" t="s">
        <v>72</v>
      </c>
      <c r="AH37" s="120" t="s">
        <v>69</v>
      </c>
      <c r="AI37" s="427" t="s">
        <v>108</v>
      </c>
      <c r="AJ37" s="120" t="s">
        <v>69</v>
      </c>
      <c r="AK37" s="120" t="s">
        <v>69</v>
      </c>
      <c r="AL37">
        <f t="shared" si="0"/>
        <v>2</v>
      </c>
      <c r="AM37">
        <f t="shared" si="1"/>
        <v>1</v>
      </c>
      <c r="AN37">
        <f t="shared" si="2"/>
        <v>0</v>
      </c>
      <c r="AO37">
        <f t="shared" si="3"/>
        <v>0</v>
      </c>
      <c r="AP37">
        <f t="shared" si="4"/>
        <v>0</v>
      </c>
    </row>
    <row r="38" spans="1:42" ht="18">
      <c r="A38" s="5">
        <v>37</v>
      </c>
      <c r="B38" s="254" t="s">
        <v>183</v>
      </c>
      <c r="C38" s="450" t="s">
        <v>301</v>
      </c>
      <c r="D38" s="7"/>
      <c r="E38" s="7"/>
      <c r="F38" s="7"/>
      <c r="G38" s="433" t="s">
        <v>108</v>
      </c>
      <c r="H38" s="9" t="s">
        <v>69</v>
      </c>
      <c r="I38" s="9" t="s">
        <v>69</v>
      </c>
      <c r="J38" s="9" t="s">
        <v>69</v>
      </c>
      <c r="K38" s="9" t="s">
        <v>69</v>
      </c>
      <c r="L38" s="9" t="s">
        <v>69</v>
      </c>
      <c r="M38" s="63" t="s">
        <v>72</v>
      </c>
      <c r="N38" s="427" t="s">
        <v>108</v>
      </c>
      <c r="O38" s="120" t="s">
        <v>69</v>
      </c>
      <c r="P38" s="120" t="s">
        <v>69</v>
      </c>
      <c r="Q38" s="120" t="s">
        <v>69</v>
      </c>
      <c r="R38" s="120" t="s">
        <v>69</v>
      </c>
      <c r="S38" s="446" t="s">
        <v>267</v>
      </c>
      <c r="T38" s="120" t="s">
        <v>69</v>
      </c>
      <c r="U38" s="427" t="s">
        <v>108</v>
      </c>
      <c r="V38" s="120" t="s">
        <v>69</v>
      </c>
      <c r="W38" s="120" t="s">
        <v>69</v>
      </c>
      <c r="X38" s="120" t="s">
        <v>69</v>
      </c>
      <c r="Y38" s="322" t="s">
        <v>111</v>
      </c>
      <c r="Z38" s="120" t="s">
        <v>69</v>
      </c>
      <c r="AA38" s="120" t="s">
        <v>69</v>
      </c>
      <c r="AB38" s="427" t="s">
        <v>108</v>
      </c>
      <c r="AC38" s="120" t="s">
        <v>69</v>
      </c>
      <c r="AD38" s="121" t="s">
        <v>72</v>
      </c>
      <c r="AE38" s="120" t="s">
        <v>69</v>
      </c>
      <c r="AF38" s="121" t="s">
        <v>72</v>
      </c>
      <c r="AG38" s="120" t="s">
        <v>69</v>
      </c>
      <c r="AH38" s="120" t="s">
        <v>69</v>
      </c>
      <c r="AI38" s="427" t="s">
        <v>108</v>
      </c>
      <c r="AJ38" s="120" t="s">
        <v>69</v>
      </c>
      <c r="AK38" s="120" t="s">
        <v>69</v>
      </c>
      <c r="AL38">
        <f t="shared" si="0"/>
        <v>3</v>
      </c>
      <c r="AM38">
        <f t="shared" si="1"/>
        <v>1</v>
      </c>
      <c r="AN38">
        <f t="shared" si="2"/>
        <v>0</v>
      </c>
      <c r="AO38">
        <f t="shared" si="3"/>
        <v>0</v>
      </c>
      <c r="AP38">
        <f t="shared" si="4"/>
        <v>1</v>
      </c>
    </row>
    <row r="39" spans="1:42" ht="18">
      <c r="A39" s="5">
        <v>38</v>
      </c>
      <c r="B39" s="254" t="s">
        <v>31</v>
      </c>
      <c r="C39" s="450" t="s">
        <v>292</v>
      </c>
      <c r="D39" s="7"/>
      <c r="E39" s="7"/>
      <c r="F39" s="7"/>
      <c r="G39" s="433" t="s">
        <v>108</v>
      </c>
      <c r="H39" s="9" t="s">
        <v>69</v>
      </c>
      <c r="I39" s="9" t="s">
        <v>69</v>
      </c>
      <c r="J39" s="444" t="s">
        <v>111</v>
      </c>
      <c r="K39" s="64" t="s">
        <v>94</v>
      </c>
      <c r="L39" s="9" t="s">
        <v>72</v>
      </c>
      <c r="M39" s="9" t="s">
        <v>69</v>
      </c>
      <c r="N39" s="427" t="s">
        <v>108</v>
      </c>
      <c r="O39" s="120" t="s">
        <v>69</v>
      </c>
      <c r="P39" s="120" t="s">
        <v>69</v>
      </c>
      <c r="Q39" s="120" t="s">
        <v>69</v>
      </c>
      <c r="R39" s="120" t="s">
        <v>69</v>
      </c>
      <c r="S39" s="120" t="s">
        <v>69</v>
      </c>
      <c r="T39" s="120" t="s">
        <v>69</v>
      </c>
      <c r="U39" s="427" t="s">
        <v>108</v>
      </c>
      <c r="V39" s="120" t="s">
        <v>69</v>
      </c>
      <c r="W39" s="120" t="s">
        <v>69</v>
      </c>
      <c r="X39" s="120" t="s">
        <v>69</v>
      </c>
      <c r="Y39" s="120" t="s">
        <v>69</v>
      </c>
      <c r="Z39" s="120" t="s">
        <v>69</v>
      </c>
      <c r="AA39" s="120" t="s">
        <v>69</v>
      </c>
      <c r="AB39" s="427" t="s">
        <v>108</v>
      </c>
      <c r="AC39" s="120" t="s">
        <v>69</v>
      </c>
      <c r="AD39" s="120" t="s">
        <v>69</v>
      </c>
      <c r="AE39" s="120" t="s">
        <v>69</v>
      </c>
      <c r="AF39" s="120" t="s">
        <v>69</v>
      </c>
      <c r="AG39" s="120" t="s">
        <v>69</v>
      </c>
      <c r="AH39" s="120" t="s">
        <v>69</v>
      </c>
      <c r="AI39" s="427" t="s">
        <v>108</v>
      </c>
      <c r="AJ39" s="120" t="s">
        <v>69</v>
      </c>
      <c r="AK39" s="120" t="s">
        <v>69</v>
      </c>
      <c r="AL39">
        <f t="shared" si="0"/>
        <v>1</v>
      </c>
      <c r="AM39">
        <f t="shared" si="1"/>
        <v>1</v>
      </c>
      <c r="AN39">
        <f t="shared" si="2"/>
        <v>0</v>
      </c>
      <c r="AO39">
        <f t="shared" si="3"/>
        <v>0</v>
      </c>
      <c r="AP39">
        <f t="shared" si="4"/>
        <v>0</v>
      </c>
    </row>
    <row r="40" spans="1:42" ht="18">
      <c r="A40" s="5">
        <v>39</v>
      </c>
      <c r="B40" s="186" t="s">
        <v>142</v>
      </c>
      <c r="C40" s="450" t="s">
        <v>292</v>
      </c>
      <c r="D40" s="7"/>
      <c r="E40" s="7"/>
      <c r="F40" s="7"/>
      <c r="G40" s="433" t="s">
        <v>108</v>
      </c>
      <c r="H40" s="9" t="s">
        <v>69</v>
      </c>
      <c r="I40" s="9" t="s">
        <v>69</v>
      </c>
      <c r="J40" s="444" t="s">
        <v>111</v>
      </c>
      <c r="K40" s="9" t="s">
        <v>69</v>
      </c>
      <c r="L40" s="9" t="s">
        <v>69</v>
      </c>
      <c r="M40" s="9" t="s">
        <v>69</v>
      </c>
      <c r="N40" s="427" t="s">
        <v>108</v>
      </c>
      <c r="O40" s="120" t="s">
        <v>69</v>
      </c>
      <c r="P40" s="120" t="s">
        <v>69</v>
      </c>
      <c r="Q40" s="120" t="s">
        <v>69</v>
      </c>
      <c r="R40" s="120" t="s">
        <v>69</v>
      </c>
      <c r="S40" s="120" t="s">
        <v>69</v>
      </c>
      <c r="T40" s="120" t="s">
        <v>69</v>
      </c>
      <c r="U40" s="427" t="s">
        <v>108</v>
      </c>
      <c r="V40" s="120" t="s">
        <v>69</v>
      </c>
      <c r="W40" s="120" t="s">
        <v>69</v>
      </c>
      <c r="X40" s="120" t="s">
        <v>69</v>
      </c>
      <c r="Y40" s="120" t="s">
        <v>69</v>
      </c>
      <c r="Z40" s="120" t="s">
        <v>69</v>
      </c>
      <c r="AA40" s="120" t="s">
        <v>69</v>
      </c>
      <c r="AB40" s="427" t="s">
        <v>108</v>
      </c>
      <c r="AC40" s="120" t="s">
        <v>69</v>
      </c>
      <c r="AD40" s="120" t="s">
        <v>69</v>
      </c>
      <c r="AE40" s="120" t="s">
        <v>69</v>
      </c>
      <c r="AF40" s="120" t="s">
        <v>69</v>
      </c>
      <c r="AG40" s="120" t="s">
        <v>69</v>
      </c>
      <c r="AH40" s="120" t="s">
        <v>69</v>
      </c>
      <c r="AI40" s="427" t="s">
        <v>108</v>
      </c>
      <c r="AJ40" s="120" t="s">
        <v>69</v>
      </c>
      <c r="AK40" s="428" t="s">
        <v>92</v>
      </c>
      <c r="AL40">
        <f t="shared" si="0"/>
        <v>0</v>
      </c>
      <c r="AM40">
        <f t="shared" si="1"/>
        <v>1</v>
      </c>
      <c r="AN40">
        <f t="shared" si="2"/>
        <v>0</v>
      </c>
      <c r="AO40">
        <f t="shared" si="3"/>
        <v>0</v>
      </c>
      <c r="AP40">
        <f t="shared" si="4"/>
        <v>0</v>
      </c>
    </row>
    <row r="41" spans="1:42" ht="18">
      <c r="A41" s="5">
        <v>40</v>
      </c>
      <c r="B41" s="186" t="s">
        <v>33</v>
      </c>
      <c r="C41" s="454" t="s">
        <v>300</v>
      </c>
      <c r="D41" s="7"/>
      <c r="E41" s="7"/>
      <c r="F41" s="7"/>
      <c r="G41" s="433" t="s">
        <v>108</v>
      </c>
      <c r="H41" s="9" t="s">
        <v>69</v>
      </c>
      <c r="I41" s="9" t="s">
        <v>69</v>
      </c>
      <c r="J41" s="9" t="s">
        <v>69</v>
      </c>
      <c r="K41" s="9" t="s">
        <v>69</v>
      </c>
      <c r="L41" s="9" t="s">
        <v>69</v>
      </c>
      <c r="M41" s="63" t="s">
        <v>72</v>
      </c>
      <c r="N41" s="427" t="s">
        <v>108</v>
      </c>
      <c r="O41" s="120" t="s">
        <v>69</v>
      </c>
      <c r="P41" s="120" t="s">
        <v>69</v>
      </c>
      <c r="Q41" s="120" t="s">
        <v>69</v>
      </c>
      <c r="R41" s="120" t="s">
        <v>69</v>
      </c>
      <c r="S41" s="120" t="s">
        <v>69</v>
      </c>
      <c r="T41" s="120" t="s">
        <v>69</v>
      </c>
      <c r="U41" s="427" t="s">
        <v>108</v>
      </c>
      <c r="V41" s="120" t="s">
        <v>69</v>
      </c>
      <c r="W41" s="120" t="s">
        <v>69</v>
      </c>
      <c r="X41" s="120" t="s">
        <v>69</v>
      </c>
      <c r="Y41" s="322" t="s">
        <v>111</v>
      </c>
      <c r="Z41" s="120" t="s">
        <v>69</v>
      </c>
      <c r="AA41" s="120" t="s">
        <v>69</v>
      </c>
      <c r="AB41" s="427" t="s">
        <v>108</v>
      </c>
      <c r="AC41" s="120" t="s">
        <v>69</v>
      </c>
      <c r="AD41" s="120" t="s">
        <v>69</v>
      </c>
      <c r="AE41" s="120" t="s">
        <v>69</v>
      </c>
      <c r="AF41" s="120" t="s">
        <v>69</v>
      </c>
      <c r="AG41" s="120" t="s">
        <v>69</v>
      </c>
      <c r="AH41" s="120" t="s">
        <v>69</v>
      </c>
      <c r="AI41" s="427" t="s">
        <v>108</v>
      </c>
      <c r="AJ41" s="120" t="s">
        <v>69</v>
      </c>
      <c r="AK41" s="120" t="s">
        <v>69</v>
      </c>
      <c r="AL41">
        <f t="shared" si="0"/>
        <v>1</v>
      </c>
      <c r="AM41">
        <f t="shared" si="1"/>
        <v>1</v>
      </c>
      <c r="AN41">
        <f t="shared" si="2"/>
        <v>0</v>
      </c>
      <c r="AO41">
        <f t="shared" si="3"/>
        <v>0</v>
      </c>
      <c r="AP41">
        <f t="shared" si="4"/>
        <v>0</v>
      </c>
    </row>
    <row r="42" spans="1:42" ht="18">
      <c r="A42" s="5">
        <v>41</v>
      </c>
      <c r="B42" s="186" t="s">
        <v>271</v>
      </c>
      <c r="C42" s="450" t="s">
        <v>295</v>
      </c>
      <c r="D42" s="7"/>
      <c r="E42" s="7"/>
      <c r="F42" s="7"/>
      <c r="G42" s="433" t="s">
        <v>108</v>
      </c>
      <c r="H42" s="9" t="s">
        <v>69</v>
      </c>
      <c r="I42" s="9" t="s">
        <v>111</v>
      </c>
      <c r="J42" s="25" t="s">
        <v>72</v>
      </c>
      <c r="K42" s="9" t="s">
        <v>69</v>
      </c>
      <c r="L42" s="9" t="s">
        <v>69</v>
      </c>
      <c r="M42" s="9" t="s">
        <v>69</v>
      </c>
      <c r="N42" s="427" t="s">
        <v>108</v>
      </c>
      <c r="O42" s="120" t="s">
        <v>69</v>
      </c>
      <c r="P42" s="120" t="s">
        <v>69</v>
      </c>
      <c r="Q42" s="120" t="s">
        <v>69</v>
      </c>
      <c r="R42" s="120" t="s">
        <v>69</v>
      </c>
      <c r="S42" s="120" t="s">
        <v>69</v>
      </c>
      <c r="T42" s="120" t="s">
        <v>69</v>
      </c>
      <c r="U42" s="427" t="s">
        <v>108</v>
      </c>
      <c r="V42" s="120" t="s">
        <v>69</v>
      </c>
      <c r="W42" s="120" t="s">
        <v>69</v>
      </c>
      <c r="X42" s="120" t="s">
        <v>69</v>
      </c>
      <c r="Y42" s="121" t="s">
        <v>72</v>
      </c>
      <c r="Z42" s="120" t="s">
        <v>69</v>
      </c>
      <c r="AA42" s="120" t="s">
        <v>69</v>
      </c>
      <c r="AB42" s="427" t="s">
        <v>108</v>
      </c>
      <c r="AC42" s="120" t="s">
        <v>69</v>
      </c>
      <c r="AD42" s="120" t="s">
        <v>69</v>
      </c>
      <c r="AE42" s="121" t="s">
        <v>72</v>
      </c>
      <c r="AF42" s="120" t="s">
        <v>69</v>
      </c>
      <c r="AG42" s="120" t="s">
        <v>69</v>
      </c>
      <c r="AH42" s="120" t="s">
        <v>69</v>
      </c>
      <c r="AI42" s="427" t="s">
        <v>108</v>
      </c>
      <c r="AJ42" s="120" t="s">
        <v>69</v>
      </c>
      <c r="AK42" s="120" t="s">
        <v>69</v>
      </c>
      <c r="AL42">
        <f t="shared" si="0"/>
        <v>3</v>
      </c>
      <c r="AM42">
        <f t="shared" si="1"/>
        <v>1</v>
      </c>
      <c r="AN42">
        <f t="shared" si="2"/>
        <v>0</v>
      </c>
      <c r="AO42">
        <f t="shared" si="3"/>
        <v>0</v>
      </c>
      <c r="AP42">
        <f t="shared" si="4"/>
        <v>0</v>
      </c>
    </row>
    <row r="43" spans="1:42" ht="18">
      <c r="A43" s="5">
        <v>42</v>
      </c>
      <c r="B43" s="186" t="s">
        <v>35</v>
      </c>
      <c r="C43" s="450" t="s">
        <v>303</v>
      </c>
      <c r="D43" s="7"/>
      <c r="E43" s="7"/>
      <c r="F43" s="7"/>
      <c r="G43" s="433" t="s">
        <v>108</v>
      </c>
      <c r="H43" s="9" t="s">
        <v>69</v>
      </c>
      <c r="I43" s="63" t="s">
        <v>72</v>
      </c>
      <c r="J43" s="9" t="s">
        <v>69</v>
      </c>
      <c r="K43" s="9" t="s">
        <v>69</v>
      </c>
      <c r="L43" s="9" t="s">
        <v>69</v>
      </c>
      <c r="M43" s="9" t="s">
        <v>69</v>
      </c>
      <c r="N43" s="427" t="s">
        <v>108</v>
      </c>
      <c r="O43" s="120" t="s">
        <v>69</v>
      </c>
      <c r="P43" s="120" t="s">
        <v>69</v>
      </c>
      <c r="Q43" s="120" t="s">
        <v>69</v>
      </c>
      <c r="R43" s="120" t="s">
        <v>69</v>
      </c>
      <c r="S43" s="120" t="s">
        <v>69</v>
      </c>
      <c r="T43" s="120" t="s">
        <v>69</v>
      </c>
      <c r="U43" s="427" t="s">
        <v>108</v>
      </c>
      <c r="V43" s="120" t="s">
        <v>69</v>
      </c>
      <c r="W43" s="131" t="s">
        <v>72</v>
      </c>
      <c r="X43" s="131" t="s">
        <v>72</v>
      </c>
      <c r="Y43" s="131" t="s">
        <v>72</v>
      </c>
      <c r="Z43" s="131" t="s">
        <v>72</v>
      </c>
      <c r="AA43" s="131" t="s">
        <v>72</v>
      </c>
      <c r="AB43" s="427" t="s">
        <v>108</v>
      </c>
      <c r="AC43" s="120" t="s">
        <v>69</v>
      </c>
      <c r="AD43" s="120" t="s">
        <v>69</v>
      </c>
      <c r="AE43" s="120" t="s">
        <v>69</v>
      </c>
      <c r="AF43" s="120" t="s">
        <v>69</v>
      </c>
      <c r="AG43" s="120" t="s">
        <v>69</v>
      </c>
      <c r="AH43" s="120" t="s">
        <v>69</v>
      </c>
      <c r="AI43" s="427" t="s">
        <v>108</v>
      </c>
      <c r="AJ43" s="120" t="s">
        <v>69</v>
      </c>
      <c r="AK43" s="120" t="s">
        <v>69</v>
      </c>
      <c r="AL43">
        <f t="shared" si="0"/>
        <v>6</v>
      </c>
      <c r="AM43">
        <f t="shared" si="1"/>
        <v>0</v>
      </c>
      <c r="AN43">
        <f t="shared" si="2"/>
        <v>0</v>
      </c>
      <c r="AO43">
        <f t="shared" si="3"/>
        <v>0</v>
      </c>
      <c r="AP43">
        <f t="shared" si="4"/>
        <v>0</v>
      </c>
    </row>
    <row r="44" spans="1:42" ht="18">
      <c r="A44" s="5">
        <v>43</v>
      </c>
      <c r="B44" s="186" t="s">
        <v>118</v>
      </c>
      <c r="C44" s="450" t="s">
        <v>296</v>
      </c>
      <c r="D44" s="7"/>
      <c r="E44" s="7"/>
      <c r="F44" s="7"/>
      <c r="G44" s="433" t="s">
        <v>108</v>
      </c>
      <c r="H44" s="9" t="s">
        <v>69</v>
      </c>
      <c r="I44" s="9" t="s">
        <v>69</v>
      </c>
      <c r="J44" s="9" t="s">
        <v>69</v>
      </c>
      <c r="K44" s="9" t="s">
        <v>69</v>
      </c>
      <c r="L44" s="9" t="s">
        <v>69</v>
      </c>
      <c r="M44" s="9" t="s">
        <v>69</v>
      </c>
      <c r="N44" s="427" t="s">
        <v>108</v>
      </c>
      <c r="O44" s="120" t="s">
        <v>69</v>
      </c>
      <c r="P44" s="120" t="s">
        <v>69</v>
      </c>
      <c r="Q44" s="120" t="s">
        <v>69</v>
      </c>
      <c r="R44" s="120" t="s">
        <v>69</v>
      </c>
      <c r="S44" s="120" t="s">
        <v>69</v>
      </c>
      <c r="T44" s="120" t="s">
        <v>69</v>
      </c>
      <c r="U44" s="427" t="s">
        <v>108</v>
      </c>
      <c r="V44" s="120" t="s">
        <v>69</v>
      </c>
      <c r="W44" s="120" t="s">
        <v>69</v>
      </c>
      <c r="X44" s="120" t="s">
        <v>69</v>
      </c>
      <c r="Y44" s="120" t="s">
        <v>69</v>
      </c>
      <c r="Z44" s="131" t="s">
        <v>72</v>
      </c>
      <c r="AA44" s="276" t="s">
        <v>111</v>
      </c>
      <c r="AB44" s="427" t="s">
        <v>108</v>
      </c>
      <c r="AC44" s="120" t="s">
        <v>69</v>
      </c>
      <c r="AD44" s="120" t="s">
        <v>69</v>
      </c>
      <c r="AE44" s="120" t="s">
        <v>69</v>
      </c>
      <c r="AF44" s="120" t="s">
        <v>69</v>
      </c>
      <c r="AG44" s="120" t="s">
        <v>69</v>
      </c>
      <c r="AH44" s="120" t="s">
        <v>69</v>
      </c>
      <c r="AI44" s="427" t="s">
        <v>108</v>
      </c>
      <c r="AJ44" s="120" t="s">
        <v>69</v>
      </c>
      <c r="AK44" s="120" t="s">
        <v>69</v>
      </c>
      <c r="AL44">
        <f t="shared" si="0"/>
        <v>1</v>
      </c>
      <c r="AM44">
        <f t="shared" si="1"/>
        <v>1</v>
      </c>
      <c r="AN44">
        <f t="shared" si="2"/>
        <v>0</v>
      </c>
      <c r="AO44">
        <f t="shared" si="3"/>
        <v>0</v>
      </c>
      <c r="AP44">
        <f t="shared" si="4"/>
        <v>0</v>
      </c>
    </row>
    <row r="45" spans="1:42" ht="18">
      <c r="A45" s="5">
        <v>44</v>
      </c>
      <c r="B45" s="186" t="s">
        <v>223</v>
      </c>
      <c r="C45" s="450" t="s">
        <v>289</v>
      </c>
      <c r="D45" s="7"/>
      <c r="E45" s="7"/>
      <c r="F45" s="7"/>
      <c r="G45" s="433" t="s">
        <v>108</v>
      </c>
      <c r="H45" s="9" t="s">
        <v>69</v>
      </c>
      <c r="I45" s="63" t="s">
        <v>72</v>
      </c>
      <c r="J45" s="9" t="s">
        <v>111</v>
      </c>
      <c r="K45" s="9" t="s">
        <v>69</v>
      </c>
      <c r="L45" s="9" t="s">
        <v>69</v>
      </c>
      <c r="M45" s="9" t="s">
        <v>69</v>
      </c>
      <c r="N45" s="427" t="s">
        <v>108</v>
      </c>
      <c r="O45" s="120" t="s">
        <v>69</v>
      </c>
      <c r="P45" s="120" t="s">
        <v>69</v>
      </c>
      <c r="Q45" s="120" t="s">
        <v>69</v>
      </c>
      <c r="R45" s="120" t="s">
        <v>69</v>
      </c>
      <c r="S45" s="131" t="s">
        <v>72</v>
      </c>
      <c r="T45" s="120" t="s">
        <v>69</v>
      </c>
      <c r="U45" s="427" t="s">
        <v>108</v>
      </c>
      <c r="V45" s="120" t="s">
        <v>69</v>
      </c>
      <c r="W45" s="120" t="s">
        <v>69</v>
      </c>
      <c r="X45" s="120" t="s">
        <v>69</v>
      </c>
      <c r="Y45" s="120" t="s">
        <v>69</v>
      </c>
      <c r="Z45" s="120" t="s">
        <v>69</v>
      </c>
      <c r="AA45" s="276" t="s">
        <v>111</v>
      </c>
      <c r="AB45" s="427" t="s">
        <v>108</v>
      </c>
      <c r="AC45" s="120" t="s">
        <v>69</v>
      </c>
      <c r="AD45" s="120" t="s">
        <v>69</v>
      </c>
      <c r="AE45" s="120" t="s">
        <v>69</v>
      </c>
      <c r="AF45" s="120" t="s">
        <v>69</v>
      </c>
      <c r="AG45" s="121" t="s">
        <v>72</v>
      </c>
      <c r="AH45" s="120" t="s">
        <v>69</v>
      </c>
      <c r="AI45" s="427" t="s">
        <v>108</v>
      </c>
      <c r="AJ45" s="120" t="s">
        <v>69</v>
      </c>
      <c r="AK45" s="120" t="s">
        <v>69</v>
      </c>
      <c r="AL45">
        <f t="shared" si="0"/>
        <v>3</v>
      </c>
      <c r="AM45">
        <f t="shared" si="1"/>
        <v>2</v>
      </c>
      <c r="AN45">
        <f t="shared" si="2"/>
        <v>0</v>
      </c>
      <c r="AO45">
        <f t="shared" si="3"/>
        <v>0</v>
      </c>
      <c r="AP45">
        <f t="shared" si="4"/>
        <v>0</v>
      </c>
    </row>
    <row r="46" spans="1:42" ht="18">
      <c r="A46" s="5">
        <v>45</v>
      </c>
      <c r="B46" s="186" t="s">
        <v>36</v>
      </c>
      <c r="C46" s="454" t="s">
        <v>301</v>
      </c>
      <c r="D46" s="7"/>
      <c r="E46" s="7"/>
      <c r="F46" s="7"/>
      <c r="G46" s="433" t="s">
        <v>108</v>
      </c>
      <c r="H46" s="9" t="s">
        <v>69</v>
      </c>
      <c r="I46" s="9" t="s">
        <v>69</v>
      </c>
      <c r="J46" s="9" t="s">
        <v>69</v>
      </c>
      <c r="K46" s="9" t="s">
        <v>72</v>
      </c>
      <c r="L46" s="63" t="s">
        <v>72</v>
      </c>
      <c r="M46" s="63" t="s">
        <v>72</v>
      </c>
      <c r="N46" s="427" t="s">
        <v>108</v>
      </c>
      <c r="O46" s="120" t="s">
        <v>69</v>
      </c>
      <c r="P46" s="120" t="s">
        <v>69</v>
      </c>
      <c r="Q46" s="120" t="s">
        <v>69</v>
      </c>
      <c r="R46" s="120" t="s">
        <v>69</v>
      </c>
      <c r="S46" s="120" t="s">
        <v>69</v>
      </c>
      <c r="T46" s="120" t="s">
        <v>69</v>
      </c>
      <c r="U46" s="427" t="s">
        <v>108</v>
      </c>
      <c r="V46" s="120" t="s">
        <v>69</v>
      </c>
      <c r="W46" s="120" t="s">
        <v>69</v>
      </c>
      <c r="X46" s="120" t="s">
        <v>69</v>
      </c>
      <c r="Y46" s="322" t="s">
        <v>111</v>
      </c>
      <c r="Z46" s="120" t="s">
        <v>69</v>
      </c>
      <c r="AA46" s="120" t="s">
        <v>69</v>
      </c>
      <c r="AB46" s="427" t="s">
        <v>108</v>
      </c>
      <c r="AC46" s="120" t="s">
        <v>69</v>
      </c>
      <c r="AD46" s="120" t="s">
        <v>69</v>
      </c>
      <c r="AE46" s="120" t="s">
        <v>69</v>
      </c>
      <c r="AF46" s="120" t="s">
        <v>69</v>
      </c>
      <c r="AG46" s="120" t="s">
        <v>69</v>
      </c>
      <c r="AH46" s="121" t="s">
        <v>72</v>
      </c>
      <c r="AI46" s="427" t="s">
        <v>108</v>
      </c>
      <c r="AJ46" s="120" t="s">
        <v>69</v>
      </c>
      <c r="AK46" s="120" t="s">
        <v>69</v>
      </c>
      <c r="AL46">
        <f t="shared" si="0"/>
        <v>4</v>
      </c>
      <c r="AM46">
        <f t="shared" si="1"/>
        <v>1</v>
      </c>
      <c r="AN46">
        <f t="shared" si="2"/>
        <v>0</v>
      </c>
      <c r="AO46">
        <f t="shared" si="3"/>
        <v>0</v>
      </c>
      <c r="AP46">
        <f t="shared" si="4"/>
        <v>0</v>
      </c>
    </row>
    <row r="47" spans="1:42" ht="18">
      <c r="A47" s="5">
        <v>46</v>
      </c>
      <c r="B47" s="186" t="s">
        <v>239</v>
      </c>
      <c r="C47" s="457" t="s">
        <v>293</v>
      </c>
      <c r="D47" s="7"/>
      <c r="E47" s="7"/>
      <c r="F47" s="7"/>
      <c r="G47" s="433" t="s">
        <v>108</v>
      </c>
      <c r="H47" s="9" t="s">
        <v>69</v>
      </c>
      <c r="I47" s="9" t="s">
        <v>111</v>
      </c>
      <c r="J47" s="9" t="s">
        <v>69</v>
      </c>
      <c r="K47" s="9" t="s">
        <v>69</v>
      </c>
      <c r="L47" s="9" t="s">
        <v>69</v>
      </c>
      <c r="M47" s="9" t="s">
        <v>69</v>
      </c>
      <c r="N47" s="427" t="s">
        <v>108</v>
      </c>
      <c r="O47" s="131" t="s">
        <v>72</v>
      </c>
      <c r="P47" s="120" t="s">
        <v>69</v>
      </c>
      <c r="Q47" s="120" t="s">
        <v>69</v>
      </c>
      <c r="R47" s="120" t="s">
        <v>69</v>
      </c>
      <c r="S47" s="120" t="s">
        <v>69</v>
      </c>
      <c r="T47" s="120" t="s">
        <v>69</v>
      </c>
      <c r="U47" s="427" t="s">
        <v>108</v>
      </c>
      <c r="V47" s="120" t="s">
        <v>69</v>
      </c>
      <c r="W47" s="120" t="s">
        <v>69</v>
      </c>
      <c r="X47" s="121" t="s">
        <v>72</v>
      </c>
      <c r="Y47" s="120" t="s">
        <v>69</v>
      </c>
      <c r="Z47" s="120" t="s">
        <v>69</v>
      </c>
      <c r="AA47" s="276" t="s">
        <v>111</v>
      </c>
      <c r="AB47" s="427" t="s">
        <v>108</v>
      </c>
      <c r="AC47" s="120" t="s">
        <v>69</v>
      </c>
      <c r="AD47" s="120" t="s">
        <v>69</v>
      </c>
      <c r="AE47" s="120" t="s">
        <v>69</v>
      </c>
      <c r="AF47" s="120" t="s">
        <v>69</v>
      </c>
      <c r="AG47" s="120" t="s">
        <v>69</v>
      </c>
      <c r="AH47" s="120" t="s">
        <v>69</v>
      </c>
      <c r="AI47" s="427" t="s">
        <v>108</v>
      </c>
      <c r="AJ47" s="120" t="s">
        <v>69</v>
      </c>
      <c r="AK47" s="121" t="s">
        <v>72</v>
      </c>
      <c r="AL47">
        <f t="shared" si="0"/>
        <v>3</v>
      </c>
      <c r="AM47">
        <f t="shared" si="1"/>
        <v>2</v>
      </c>
      <c r="AN47">
        <f t="shared" si="2"/>
        <v>0</v>
      </c>
      <c r="AO47">
        <f t="shared" si="3"/>
        <v>0</v>
      </c>
      <c r="AP47">
        <f t="shared" si="4"/>
        <v>0</v>
      </c>
    </row>
    <row r="48" spans="1:42" ht="21" customHeight="1">
      <c r="A48" s="5">
        <v>47</v>
      </c>
      <c r="B48" s="186" t="s">
        <v>143</v>
      </c>
      <c r="C48" s="450" t="s">
        <v>300</v>
      </c>
      <c r="D48" s="7" t="s">
        <v>304</v>
      </c>
      <c r="E48" s="7"/>
      <c r="F48" s="7"/>
      <c r="G48" s="433" t="s">
        <v>108</v>
      </c>
      <c r="H48" s="9" t="s">
        <v>69</v>
      </c>
      <c r="I48" s="9" t="s">
        <v>69</v>
      </c>
      <c r="J48" s="9" t="s">
        <v>69</v>
      </c>
      <c r="K48" s="9" t="s">
        <v>69</v>
      </c>
      <c r="L48" s="9" t="s">
        <v>69</v>
      </c>
      <c r="M48" s="9" t="s">
        <v>69</v>
      </c>
      <c r="N48" s="427" t="s">
        <v>108</v>
      </c>
      <c r="O48" s="120" t="s">
        <v>69</v>
      </c>
      <c r="P48" s="120" t="s">
        <v>69</v>
      </c>
      <c r="Q48" s="120" t="s">
        <v>69</v>
      </c>
      <c r="R48" s="120" t="s">
        <v>69</v>
      </c>
      <c r="S48" s="120" t="s">
        <v>69</v>
      </c>
      <c r="T48" s="120" t="s">
        <v>69</v>
      </c>
      <c r="U48" s="427" t="s">
        <v>108</v>
      </c>
      <c r="V48" s="120" t="s">
        <v>69</v>
      </c>
      <c r="W48" s="120" t="s">
        <v>69</v>
      </c>
      <c r="X48" s="120" t="s">
        <v>69</v>
      </c>
      <c r="Y48" s="322" t="s">
        <v>111</v>
      </c>
      <c r="Z48" s="131" t="s">
        <v>72</v>
      </c>
      <c r="AA48" s="131" t="s">
        <v>72</v>
      </c>
      <c r="AB48" s="427" t="s">
        <v>108</v>
      </c>
      <c r="AC48" s="120" t="s">
        <v>69</v>
      </c>
      <c r="AD48" s="120" t="s">
        <v>69</v>
      </c>
      <c r="AE48" s="120" t="s">
        <v>69</v>
      </c>
      <c r="AF48" s="120" t="s">
        <v>69</v>
      </c>
      <c r="AG48" s="120" t="s">
        <v>69</v>
      </c>
      <c r="AH48" s="120" t="s">
        <v>69</v>
      </c>
      <c r="AI48" s="427" t="s">
        <v>108</v>
      </c>
      <c r="AJ48" s="120" t="s">
        <v>69</v>
      </c>
      <c r="AK48" s="120" t="s">
        <v>69</v>
      </c>
      <c r="AL48">
        <f t="shared" si="0"/>
        <v>2</v>
      </c>
      <c r="AM48">
        <f t="shared" si="1"/>
        <v>1</v>
      </c>
      <c r="AN48">
        <f t="shared" si="2"/>
        <v>0</v>
      </c>
      <c r="AO48">
        <f t="shared" si="3"/>
        <v>0</v>
      </c>
      <c r="AP48">
        <f t="shared" si="4"/>
        <v>0</v>
      </c>
    </row>
    <row r="49" spans="1:42" ht="18">
      <c r="A49" s="5">
        <v>48</v>
      </c>
      <c r="B49" s="186" t="s">
        <v>255</v>
      </c>
      <c r="C49" s="454" t="s">
        <v>292</v>
      </c>
      <c r="D49" s="7"/>
      <c r="E49" s="7"/>
      <c r="F49" s="7"/>
      <c r="G49" s="433" t="s">
        <v>108</v>
      </c>
      <c r="H49" s="9" t="s">
        <v>69</v>
      </c>
      <c r="I49" s="9" t="s">
        <v>69</v>
      </c>
      <c r="J49" s="9" t="s">
        <v>111</v>
      </c>
      <c r="K49" s="9" t="s">
        <v>72</v>
      </c>
      <c r="L49" s="9" t="s">
        <v>69</v>
      </c>
      <c r="M49" s="9" t="s">
        <v>69</v>
      </c>
      <c r="N49" s="427" t="s">
        <v>108</v>
      </c>
      <c r="O49" s="120" t="s">
        <v>69</v>
      </c>
      <c r="P49" s="120" t="s">
        <v>69</v>
      </c>
      <c r="Q49" s="120" t="s">
        <v>69</v>
      </c>
      <c r="R49" s="120" t="s">
        <v>69</v>
      </c>
      <c r="S49" s="120" t="s">
        <v>69</v>
      </c>
      <c r="T49" s="120" t="s">
        <v>69</v>
      </c>
      <c r="U49" s="427" t="s">
        <v>108</v>
      </c>
      <c r="V49" s="120" t="s">
        <v>69</v>
      </c>
      <c r="W49" s="120" t="s">
        <v>69</v>
      </c>
      <c r="X49" s="120" t="s">
        <v>69</v>
      </c>
      <c r="Y49" s="120" t="s">
        <v>69</v>
      </c>
      <c r="Z49" s="120" t="s">
        <v>69</v>
      </c>
      <c r="AA49" s="120" t="s">
        <v>69</v>
      </c>
      <c r="AB49" s="427" t="s">
        <v>108</v>
      </c>
      <c r="AC49" s="121" t="s">
        <v>72</v>
      </c>
      <c r="AD49" s="120" t="s">
        <v>69</v>
      </c>
      <c r="AE49" s="120" t="s">
        <v>69</v>
      </c>
      <c r="AF49" s="120" t="s">
        <v>69</v>
      </c>
      <c r="AG49" s="120" t="s">
        <v>69</v>
      </c>
      <c r="AH49" s="120" t="s">
        <v>69</v>
      </c>
      <c r="AI49" s="427" t="s">
        <v>108</v>
      </c>
      <c r="AJ49" s="120" t="s">
        <v>69</v>
      </c>
      <c r="AK49" s="120" t="s">
        <v>69</v>
      </c>
      <c r="AL49">
        <f t="shared" si="0"/>
        <v>2</v>
      </c>
      <c r="AM49">
        <f t="shared" si="1"/>
        <v>1</v>
      </c>
      <c r="AN49">
        <f t="shared" si="2"/>
        <v>0</v>
      </c>
      <c r="AO49">
        <f t="shared" si="3"/>
        <v>0</v>
      </c>
      <c r="AP49">
        <f t="shared" si="4"/>
        <v>0</v>
      </c>
    </row>
    <row r="50" spans="1:42" ht="18">
      <c r="A50" s="5">
        <v>49</v>
      </c>
      <c r="B50" s="254" t="s">
        <v>38</v>
      </c>
      <c r="C50" s="450" t="s">
        <v>133</v>
      </c>
      <c r="D50" s="7"/>
      <c r="E50" s="7"/>
      <c r="F50" s="7"/>
      <c r="G50" s="433" t="s">
        <v>108</v>
      </c>
      <c r="H50" s="9" t="s">
        <v>69</v>
      </c>
      <c r="I50" s="9" t="s">
        <v>69</v>
      </c>
      <c r="J50" s="9" t="s">
        <v>111</v>
      </c>
      <c r="K50" s="9" t="s">
        <v>69</v>
      </c>
      <c r="L50" s="9" t="s">
        <v>69</v>
      </c>
      <c r="M50" s="9" t="s">
        <v>69</v>
      </c>
      <c r="N50" s="427" t="s">
        <v>108</v>
      </c>
      <c r="O50" s="120" t="s">
        <v>69</v>
      </c>
      <c r="P50" s="131" t="s">
        <v>72</v>
      </c>
      <c r="Q50" s="120" t="s">
        <v>69</v>
      </c>
      <c r="R50" s="120" t="s">
        <v>69</v>
      </c>
      <c r="S50" s="120" t="s">
        <v>69</v>
      </c>
      <c r="T50" s="120" t="s">
        <v>69</v>
      </c>
      <c r="U50" s="427" t="s">
        <v>108</v>
      </c>
      <c r="V50" s="120" t="s">
        <v>69</v>
      </c>
      <c r="W50" s="120" t="s">
        <v>69</v>
      </c>
      <c r="X50" s="120" t="s">
        <v>69</v>
      </c>
      <c r="Y50" s="120" t="s">
        <v>69</v>
      </c>
      <c r="Z50" s="120" t="s">
        <v>69</v>
      </c>
      <c r="AA50" s="276" t="s">
        <v>111</v>
      </c>
      <c r="AB50" s="427" t="s">
        <v>108</v>
      </c>
      <c r="AC50" s="120" t="s">
        <v>69</v>
      </c>
      <c r="AD50" s="120" t="s">
        <v>69</v>
      </c>
      <c r="AE50" s="120" t="s">
        <v>69</v>
      </c>
      <c r="AF50" s="120" t="s">
        <v>69</v>
      </c>
      <c r="AG50" s="120" t="s">
        <v>69</v>
      </c>
      <c r="AH50" s="120" t="s">
        <v>69</v>
      </c>
      <c r="AI50" s="427" t="s">
        <v>108</v>
      </c>
      <c r="AJ50" s="120" t="s">
        <v>69</v>
      </c>
      <c r="AK50" s="120" t="s">
        <v>69</v>
      </c>
      <c r="AL50">
        <f t="shared" si="0"/>
        <v>1</v>
      </c>
      <c r="AM50">
        <f t="shared" si="1"/>
        <v>2</v>
      </c>
      <c r="AN50">
        <f t="shared" si="2"/>
        <v>0</v>
      </c>
      <c r="AO50">
        <f t="shared" si="3"/>
        <v>0</v>
      </c>
      <c r="AP50">
        <f t="shared" si="4"/>
        <v>0</v>
      </c>
    </row>
    <row r="51" spans="1:42" ht="18">
      <c r="A51" s="5">
        <v>50</v>
      </c>
      <c r="B51" s="254" t="s">
        <v>39</v>
      </c>
      <c r="C51" s="450" t="s">
        <v>285</v>
      </c>
      <c r="D51" s="7"/>
      <c r="E51" s="7"/>
      <c r="F51" s="7"/>
      <c r="G51" s="433" t="s">
        <v>108</v>
      </c>
      <c r="H51" s="9" t="s">
        <v>69</v>
      </c>
      <c r="I51" s="9" t="s">
        <v>69</v>
      </c>
      <c r="J51" s="9" t="s">
        <v>111</v>
      </c>
      <c r="K51" s="9" t="s">
        <v>69</v>
      </c>
      <c r="L51" s="9" t="s">
        <v>69</v>
      </c>
      <c r="M51" s="9" t="s">
        <v>69</v>
      </c>
      <c r="N51" s="427" t="s">
        <v>108</v>
      </c>
      <c r="O51" s="120" t="s">
        <v>69</v>
      </c>
      <c r="P51" s="120" t="s">
        <v>69</v>
      </c>
      <c r="Q51" s="120" t="s">
        <v>69</v>
      </c>
      <c r="R51" s="120" t="s">
        <v>69</v>
      </c>
      <c r="S51" s="131" t="s">
        <v>72</v>
      </c>
      <c r="T51" s="120" t="s">
        <v>69</v>
      </c>
      <c r="U51" s="427" t="s">
        <v>108</v>
      </c>
      <c r="V51" s="120" t="s">
        <v>69</v>
      </c>
      <c r="W51" s="120" t="s">
        <v>69</v>
      </c>
      <c r="X51" s="120" t="s">
        <v>69</v>
      </c>
      <c r="Y51" s="120" t="s">
        <v>69</v>
      </c>
      <c r="Z51" s="120" t="s">
        <v>69</v>
      </c>
      <c r="AA51" s="276" t="s">
        <v>111</v>
      </c>
      <c r="AB51" s="427" t="s">
        <v>108</v>
      </c>
      <c r="AC51" s="120" t="s">
        <v>69</v>
      </c>
      <c r="AD51" s="120" t="s">
        <v>69</v>
      </c>
      <c r="AE51" s="120" t="s">
        <v>69</v>
      </c>
      <c r="AF51" s="120" t="s">
        <v>69</v>
      </c>
      <c r="AG51" s="120" t="s">
        <v>69</v>
      </c>
      <c r="AH51" s="120" t="s">
        <v>69</v>
      </c>
      <c r="AI51" s="427" t="s">
        <v>108</v>
      </c>
      <c r="AJ51" s="120" t="s">
        <v>69</v>
      </c>
      <c r="AK51" s="120" t="s">
        <v>69</v>
      </c>
      <c r="AL51">
        <f t="shared" si="0"/>
        <v>1</v>
      </c>
      <c r="AM51">
        <f t="shared" si="1"/>
        <v>2</v>
      </c>
      <c r="AN51">
        <f t="shared" si="2"/>
        <v>0</v>
      </c>
      <c r="AO51">
        <f t="shared" si="3"/>
        <v>0</v>
      </c>
      <c r="AP51">
        <f t="shared" si="4"/>
        <v>0</v>
      </c>
    </row>
    <row r="52" spans="1:42" ht="18">
      <c r="A52" s="5">
        <v>51</v>
      </c>
      <c r="B52" s="254" t="s">
        <v>40</v>
      </c>
      <c r="C52" s="451" t="s">
        <v>285</v>
      </c>
      <c r="D52" s="7"/>
      <c r="E52" s="7"/>
      <c r="F52" s="7"/>
      <c r="G52" s="433" t="s">
        <v>108</v>
      </c>
      <c r="H52" s="9" t="s">
        <v>69</v>
      </c>
      <c r="I52" s="9" t="s">
        <v>69</v>
      </c>
      <c r="J52" s="9" t="s">
        <v>111</v>
      </c>
      <c r="K52" s="9" t="s">
        <v>69</v>
      </c>
      <c r="L52" s="9" t="s">
        <v>69</v>
      </c>
      <c r="M52" s="63" t="s">
        <v>72</v>
      </c>
      <c r="N52" s="427" t="s">
        <v>108</v>
      </c>
      <c r="O52" s="120" t="s">
        <v>69</v>
      </c>
      <c r="P52" s="120" t="s">
        <v>69</v>
      </c>
      <c r="Q52" s="120" t="s">
        <v>69</v>
      </c>
      <c r="R52" s="120" t="s">
        <v>69</v>
      </c>
      <c r="S52" s="120" t="s">
        <v>69</v>
      </c>
      <c r="T52" s="120" t="s">
        <v>69</v>
      </c>
      <c r="U52" s="427" t="s">
        <v>108</v>
      </c>
      <c r="V52" s="120" t="s">
        <v>69</v>
      </c>
      <c r="W52" s="120" t="s">
        <v>69</v>
      </c>
      <c r="X52" s="120" t="s">
        <v>69</v>
      </c>
      <c r="Y52" s="131" t="s">
        <v>72</v>
      </c>
      <c r="Z52" s="131" t="s">
        <v>72</v>
      </c>
      <c r="AA52" s="276" t="s">
        <v>111</v>
      </c>
      <c r="AB52" s="427" t="s">
        <v>108</v>
      </c>
      <c r="AC52" s="120" t="s">
        <v>69</v>
      </c>
      <c r="AD52" s="120" t="s">
        <v>69</v>
      </c>
      <c r="AE52" s="120" t="s">
        <v>69</v>
      </c>
      <c r="AF52" s="120" t="s">
        <v>69</v>
      </c>
      <c r="AG52" s="120" t="s">
        <v>69</v>
      </c>
      <c r="AH52" s="120" t="s">
        <v>69</v>
      </c>
      <c r="AI52" s="427" t="s">
        <v>108</v>
      </c>
      <c r="AJ52" s="120" t="s">
        <v>69</v>
      </c>
      <c r="AK52" s="120" t="s">
        <v>69</v>
      </c>
      <c r="AL52">
        <f t="shared" si="0"/>
        <v>3</v>
      </c>
      <c r="AM52">
        <f t="shared" si="1"/>
        <v>2</v>
      </c>
      <c r="AN52">
        <f t="shared" si="2"/>
        <v>0</v>
      </c>
      <c r="AO52">
        <f t="shared" si="3"/>
        <v>0</v>
      </c>
      <c r="AP52">
        <f t="shared" si="4"/>
        <v>0</v>
      </c>
    </row>
    <row r="53" spans="1:42" ht="18">
      <c r="A53" s="5">
        <v>52</v>
      </c>
      <c r="B53" s="448" t="s">
        <v>305</v>
      </c>
      <c r="C53" s="454" t="s">
        <v>286</v>
      </c>
      <c r="D53" s="7"/>
      <c r="E53" s="7"/>
      <c r="F53" s="7"/>
      <c r="G53" s="433" t="s">
        <v>108</v>
      </c>
      <c r="H53" s="63" t="s">
        <v>72</v>
      </c>
      <c r="I53" s="63" t="s">
        <v>72</v>
      </c>
      <c r="J53" s="9" t="s">
        <v>111</v>
      </c>
      <c r="K53" s="9" t="s">
        <v>72</v>
      </c>
      <c r="L53" s="9" t="s">
        <v>69</v>
      </c>
      <c r="M53" s="9" t="s">
        <v>69</v>
      </c>
      <c r="N53" s="427" t="s">
        <v>108</v>
      </c>
      <c r="O53" s="120" t="s">
        <v>69</v>
      </c>
      <c r="P53" s="120" t="s">
        <v>69</v>
      </c>
      <c r="Q53" s="120" t="s">
        <v>69</v>
      </c>
      <c r="R53" s="120" t="s">
        <v>69</v>
      </c>
      <c r="S53" s="131" t="s">
        <v>72</v>
      </c>
      <c r="T53" s="131" t="s">
        <v>76</v>
      </c>
      <c r="U53" s="427" t="s">
        <v>108</v>
      </c>
      <c r="V53" s="131" t="s">
        <v>76</v>
      </c>
      <c r="W53" s="131" t="s">
        <v>76</v>
      </c>
      <c r="X53" s="131" t="s">
        <v>76</v>
      </c>
      <c r="Y53" s="131" t="s">
        <v>76</v>
      </c>
      <c r="Z53" s="131" t="s">
        <v>76</v>
      </c>
      <c r="AA53" s="131" t="s">
        <v>76</v>
      </c>
      <c r="AB53" s="427" t="s">
        <v>108</v>
      </c>
      <c r="AC53" s="131" t="s">
        <v>76</v>
      </c>
      <c r="AD53" s="131" t="s">
        <v>76</v>
      </c>
      <c r="AE53" s="131" t="s">
        <v>76</v>
      </c>
      <c r="AF53" s="131" t="s">
        <v>76</v>
      </c>
      <c r="AG53" s="131" t="s">
        <v>76</v>
      </c>
      <c r="AH53" s="131" t="s">
        <v>76</v>
      </c>
      <c r="AI53" s="427" t="s">
        <v>108</v>
      </c>
      <c r="AJ53" s="131" t="s">
        <v>76</v>
      </c>
      <c r="AK53" s="131" t="s">
        <v>76</v>
      </c>
      <c r="AL53">
        <f t="shared" si="0"/>
        <v>4</v>
      </c>
      <c r="AM53">
        <f t="shared" si="1"/>
        <v>1</v>
      </c>
      <c r="AN53">
        <f t="shared" si="2"/>
        <v>0</v>
      </c>
      <c r="AO53">
        <f t="shared" si="3"/>
        <v>0</v>
      </c>
      <c r="AP53">
        <f t="shared" si="4"/>
        <v>0</v>
      </c>
    </row>
    <row r="54" spans="1:42" ht="18">
      <c r="A54" s="5">
        <v>53</v>
      </c>
      <c r="B54" s="359" t="s">
        <v>227</v>
      </c>
      <c r="C54" s="451" t="s">
        <v>293</v>
      </c>
      <c r="D54" s="7"/>
      <c r="E54" s="7"/>
      <c r="F54" s="7"/>
      <c r="G54" s="433" t="s">
        <v>108</v>
      </c>
      <c r="H54" s="9" t="s">
        <v>69</v>
      </c>
      <c r="I54" s="9" t="s">
        <v>111</v>
      </c>
      <c r="J54" s="9" t="s">
        <v>69</v>
      </c>
      <c r="K54" s="9" t="s">
        <v>69</v>
      </c>
      <c r="L54" s="9" t="s">
        <v>69</v>
      </c>
      <c r="M54" s="9" t="s">
        <v>69</v>
      </c>
      <c r="N54" s="427" t="s">
        <v>108</v>
      </c>
      <c r="O54" s="120" t="s">
        <v>69</v>
      </c>
      <c r="P54" s="120" t="s">
        <v>69</v>
      </c>
      <c r="Q54" s="120" t="s">
        <v>69</v>
      </c>
      <c r="R54" s="120" t="s">
        <v>69</v>
      </c>
      <c r="S54" s="120" t="s">
        <v>69</v>
      </c>
      <c r="T54" s="131" t="s">
        <v>72</v>
      </c>
      <c r="U54" s="427" t="s">
        <v>108</v>
      </c>
      <c r="V54" s="120" t="s">
        <v>69</v>
      </c>
      <c r="W54" s="120" t="s">
        <v>69</v>
      </c>
      <c r="X54" s="120" t="s">
        <v>69</v>
      </c>
      <c r="Y54" s="120" t="s">
        <v>69</v>
      </c>
      <c r="Z54" s="120" t="s">
        <v>69</v>
      </c>
      <c r="AA54" s="276" t="s">
        <v>111</v>
      </c>
      <c r="AB54" s="427" t="s">
        <v>108</v>
      </c>
      <c r="AC54" s="120" t="s">
        <v>69</v>
      </c>
      <c r="AD54" s="120" t="s">
        <v>69</v>
      </c>
      <c r="AE54" s="120" t="s">
        <v>69</v>
      </c>
      <c r="AF54" s="120" t="s">
        <v>69</v>
      </c>
      <c r="AG54" s="120" t="s">
        <v>69</v>
      </c>
      <c r="AH54" s="121" t="s">
        <v>72</v>
      </c>
      <c r="AI54" s="427" t="s">
        <v>108</v>
      </c>
      <c r="AJ54" s="120" t="s">
        <v>69</v>
      </c>
      <c r="AK54" s="120" t="s">
        <v>69</v>
      </c>
      <c r="AL54">
        <f t="shared" si="0"/>
        <v>2</v>
      </c>
      <c r="AM54">
        <f t="shared" si="1"/>
        <v>2</v>
      </c>
      <c r="AN54">
        <f t="shared" si="2"/>
        <v>0</v>
      </c>
      <c r="AO54">
        <f t="shared" si="3"/>
        <v>0</v>
      </c>
      <c r="AP54">
        <f t="shared" si="4"/>
        <v>0</v>
      </c>
    </row>
    <row r="55" spans="1:42" ht="18">
      <c r="A55" s="5">
        <v>54</v>
      </c>
      <c r="B55" s="186" t="s">
        <v>41</v>
      </c>
      <c r="C55" s="451" t="s">
        <v>300</v>
      </c>
      <c r="D55" s="7"/>
      <c r="E55" s="7"/>
      <c r="F55" s="7"/>
      <c r="G55" s="433" t="s">
        <v>108</v>
      </c>
      <c r="H55" s="9" t="s">
        <v>69</v>
      </c>
      <c r="I55" s="9" t="s">
        <v>69</v>
      </c>
      <c r="J55" s="25" t="s">
        <v>72</v>
      </c>
      <c r="K55" s="9" t="s">
        <v>69</v>
      </c>
      <c r="L55" s="9" t="s">
        <v>69</v>
      </c>
      <c r="M55" s="9" t="s">
        <v>69</v>
      </c>
      <c r="N55" s="427" t="s">
        <v>108</v>
      </c>
      <c r="O55" s="120" t="s">
        <v>69</v>
      </c>
      <c r="P55" s="120" t="s">
        <v>69</v>
      </c>
      <c r="Q55" s="120" t="s">
        <v>69</v>
      </c>
      <c r="R55" s="120" t="s">
        <v>69</v>
      </c>
      <c r="S55" s="120" t="s">
        <v>69</v>
      </c>
      <c r="T55" s="120" t="s">
        <v>69</v>
      </c>
      <c r="U55" s="427" t="s">
        <v>108</v>
      </c>
      <c r="V55" s="120" t="s">
        <v>69</v>
      </c>
      <c r="W55" s="120" t="s">
        <v>69</v>
      </c>
      <c r="X55" s="120" t="s">
        <v>69</v>
      </c>
      <c r="Y55" s="322" t="s">
        <v>111</v>
      </c>
      <c r="Z55" s="120" t="s">
        <v>69</v>
      </c>
      <c r="AA55" s="120" t="s">
        <v>69</v>
      </c>
      <c r="AB55" s="427" t="s">
        <v>108</v>
      </c>
      <c r="AC55" s="120" t="s">
        <v>69</v>
      </c>
      <c r="AD55" s="120" t="s">
        <v>69</v>
      </c>
      <c r="AE55" s="120" t="s">
        <v>69</v>
      </c>
      <c r="AF55" s="121" t="s">
        <v>72</v>
      </c>
      <c r="AG55" s="120" t="s">
        <v>69</v>
      </c>
      <c r="AH55" s="121" t="s">
        <v>72</v>
      </c>
      <c r="AI55" s="427" t="s">
        <v>108</v>
      </c>
      <c r="AJ55" s="120" t="s">
        <v>69</v>
      </c>
      <c r="AK55" s="120" t="s">
        <v>69</v>
      </c>
      <c r="AL55">
        <f t="shared" si="0"/>
        <v>3</v>
      </c>
      <c r="AM55">
        <f t="shared" si="1"/>
        <v>1</v>
      </c>
      <c r="AN55">
        <f t="shared" si="2"/>
        <v>0</v>
      </c>
      <c r="AO55">
        <f t="shared" si="3"/>
        <v>0</v>
      </c>
      <c r="AP55">
        <f t="shared" si="4"/>
        <v>0</v>
      </c>
    </row>
    <row r="56" spans="1:42" ht="18">
      <c r="A56" s="5">
        <v>55</v>
      </c>
      <c r="B56" s="186" t="s">
        <v>241</v>
      </c>
      <c r="C56" s="451" t="s">
        <v>284</v>
      </c>
      <c r="D56" s="7"/>
      <c r="E56" s="7"/>
      <c r="F56" s="7"/>
      <c r="G56" s="433" t="s">
        <v>108</v>
      </c>
      <c r="H56" s="9" t="s">
        <v>69</v>
      </c>
      <c r="I56" s="9" t="s">
        <v>69</v>
      </c>
      <c r="J56" s="9" t="s">
        <v>111</v>
      </c>
      <c r="K56" s="9" t="s">
        <v>69</v>
      </c>
      <c r="L56" s="63" t="s">
        <v>72</v>
      </c>
      <c r="M56" s="9" t="s">
        <v>69</v>
      </c>
      <c r="N56" s="427" t="s">
        <v>108</v>
      </c>
      <c r="O56" s="120" t="s">
        <v>69</v>
      </c>
      <c r="P56" s="120" t="s">
        <v>69</v>
      </c>
      <c r="Q56" s="120" t="s">
        <v>69</v>
      </c>
      <c r="R56" s="120" t="s">
        <v>69</v>
      </c>
      <c r="S56" s="120" t="s">
        <v>69</v>
      </c>
      <c r="T56" s="131" t="s">
        <v>72</v>
      </c>
      <c r="U56" s="427" t="s">
        <v>108</v>
      </c>
      <c r="V56" s="120" t="s">
        <v>69</v>
      </c>
      <c r="W56" s="120" t="s">
        <v>69</v>
      </c>
      <c r="X56" s="120" t="s">
        <v>69</v>
      </c>
      <c r="Y56" s="322" t="s">
        <v>111</v>
      </c>
      <c r="Z56" s="120" t="s">
        <v>69</v>
      </c>
      <c r="AA56" s="120" t="s">
        <v>69</v>
      </c>
      <c r="AB56" s="427" t="s">
        <v>108</v>
      </c>
      <c r="AC56" s="120" t="s">
        <v>69</v>
      </c>
      <c r="AD56" s="120" t="s">
        <v>69</v>
      </c>
      <c r="AE56" s="120" t="s">
        <v>69</v>
      </c>
      <c r="AF56" s="120" t="s">
        <v>69</v>
      </c>
      <c r="AG56" s="120" t="s">
        <v>69</v>
      </c>
      <c r="AH56" s="120" t="s">
        <v>69</v>
      </c>
      <c r="AI56" s="427" t="s">
        <v>108</v>
      </c>
      <c r="AJ56" s="120" t="s">
        <v>69</v>
      </c>
      <c r="AK56" s="120" t="s">
        <v>69</v>
      </c>
      <c r="AL56">
        <f t="shared" si="0"/>
        <v>2</v>
      </c>
      <c r="AM56">
        <f t="shared" si="1"/>
        <v>2</v>
      </c>
      <c r="AN56">
        <f t="shared" si="2"/>
        <v>0</v>
      </c>
      <c r="AO56">
        <f t="shared" si="3"/>
        <v>0</v>
      </c>
      <c r="AP56">
        <f t="shared" si="4"/>
        <v>0</v>
      </c>
    </row>
    <row r="57" spans="1:42" ht="18">
      <c r="A57" s="5">
        <v>56</v>
      </c>
      <c r="B57" s="186" t="s">
        <v>228</v>
      </c>
      <c r="C57" s="451" t="s">
        <v>292</v>
      </c>
      <c r="D57" s="7"/>
      <c r="E57" s="7"/>
      <c r="F57" s="7"/>
      <c r="G57" s="433" t="s">
        <v>108</v>
      </c>
      <c r="H57" s="9" t="s">
        <v>69</v>
      </c>
      <c r="I57" s="63" t="s">
        <v>72</v>
      </c>
      <c r="J57" s="9" t="s">
        <v>111</v>
      </c>
      <c r="K57" s="9" t="s">
        <v>69</v>
      </c>
      <c r="L57" s="9" t="s">
        <v>69</v>
      </c>
      <c r="M57" s="9" t="s">
        <v>69</v>
      </c>
      <c r="N57" s="427" t="s">
        <v>108</v>
      </c>
      <c r="O57" s="120" t="s">
        <v>69</v>
      </c>
      <c r="P57" s="120" t="s">
        <v>69</v>
      </c>
      <c r="Q57" s="120" t="s">
        <v>69</v>
      </c>
      <c r="R57" s="120" t="s">
        <v>69</v>
      </c>
      <c r="S57" s="120" t="s">
        <v>69</v>
      </c>
      <c r="T57" s="120" t="s">
        <v>69</v>
      </c>
      <c r="U57" s="427" t="s">
        <v>108</v>
      </c>
      <c r="V57" s="120" t="s">
        <v>69</v>
      </c>
      <c r="W57" s="404" t="s">
        <v>267</v>
      </c>
      <c r="X57" s="120" t="s">
        <v>69</v>
      </c>
      <c r="Y57" s="120" t="s">
        <v>69</v>
      </c>
      <c r="Z57" s="120" t="s">
        <v>69</v>
      </c>
      <c r="AA57" s="120" t="s">
        <v>69</v>
      </c>
      <c r="AB57" s="427" t="s">
        <v>108</v>
      </c>
      <c r="AC57" s="120" t="s">
        <v>69</v>
      </c>
      <c r="AD57" s="120" t="s">
        <v>69</v>
      </c>
      <c r="AE57" s="121" t="s">
        <v>72</v>
      </c>
      <c r="AF57" s="120" t="s">
        <v>69</v>
      </c>
      <c r="AG57" s="120" t="s">
        <v>69</v>
      </c>
      <c r="AH57" s="120" t="s">
        <v>69</v>
      </c>
      <c r="AI57" s="427" t="s">
        <v>108</v>
      </c>
      <c r="AJ57" s="120" t="s">
        <v>69</v>
      </c>
      <c r="AK57" s="120" t="s">
        <v>69</v>
      </c>
      <c r="AL57">
        <f t="shared" si="0"/>
        <v>2</v>
      </c>
      <c r="AM57">
        <f t="shared" si="1"/>
        <v>1</v>
      </c>
      <c r="AN57">
        <f t="shared" si="2"/>
        <v>0</v>
      </c>
      <c r="AO57">
        <f t="shared" si="3"/>
        <v>0</v>
      </c>
      <c r="AP57">
        <f t="shared" si="4"/>
        <v>1</v>
      </c>
    </row>
    <row r="58" spans="1:42" ht="18">
      <c r="A58" s="5">
        <v>57</v>
      </c>
      <c r="B58" s="254" t="s">
        <v>42</v>
      </c>
      <c r="C58" s="451" t="s">
        <v>291</v>
      </c>
      <c r="D58" s="7"/>
      <c r="E58" s="7"/>
      <c r="F58" s="7"/>
      <c r="G58" s="433" t="s">
        <v>108</v>
      </c>
      <c r="H58" s="9" t="s">
        <v>69</v>
      </c>
      <c r="I58" s="9" t="s">
        <v>69</v>
      </c>
      <c r="J58" s="9" t="s">
        <v>69</v>
      </c>
      <c r="K58" s="9" t="s">
        <v>69</v>
      </c>
      <c r="L58" s="9" t="s">
        <v>69</v>
      </c>
      <c r="M58" s="9" t="s">
        <v>69</v>
      </c>
      <c r="N58" s="427" t="s">
        <v>108</v>
      </c>
      <c r="O58" s="131" t="s">
        <v>72</v>
      </c>
      <c r="P58" s="131" t="s">
        <v>72</v>
      </c>
      <c r="Q58" s="120" t="s">
        <v>69</v>
      </c>
      <c r="R58" s="120" t="s">
        <v>69</v>
      </c>
      <c r="S58" s="120" t="s">
        <v>69</v>
      </c>
      <c r="T58" s="120" t="s">
        <v>69</v>
      </c>
      <c r="U58" s="427" t="s">
        <v>108</v>
      </c>
      <c r="V58" s="120" t="s">
        <v>69</v>
      </c>
      <c r="W58" s="120" t="s">
        <v>69</v>
      </c>
      <c r="X58" s="120" t="s">
        <v>69</v>
      </c>
      <c r="Y58" s="120" t="s">
        <v>69</v>
      </c>
      <c r="Z58" s="120" t="s">
        <v>69</v>
      </c>
      <c r="AA58" s="120" t="s">
        <v>69</v>
      </c>
      <c r="AB58" s="427" t="s">
        <v>108</v>
      </c>
      <c r="AC58" s="120" t="s">
        <v>69</v>
      </c>
      <c r="AD58" s="120" t="s">
        <v>69</v>
      </c>
      <c r="AE58" s="120" t="s">
        <v>69</v>
      </c>
      <c r="AF58" s="120" t="s">
        <v>69</v>
      </c>
      <c r="AG58" s="120" t="s">
        <v>69</v>
      </c>
      <c r="AH58" s="120" t="s">
        <v>69</v>
      </c>
      <c r="AI58" s="427" t="s">
        <v>108</v>
      </c>
      <c r="AJ58" s="120" t="s">
        <v>69</v>
      </c>
      <c r="AK58" s="120" t="s">
        <v>69</v>
      </c>
      <c r="AL58">
        <f t="shared" si="0"/>
        <v>2</v>
      </c>
      <c r="AM58">
        <f t="shared" si="1"/>
        <v>0</v>
      </c>
      <c r="AN58">
        <f t="shared" si="2"/>
        <v>0</v>
      </c>
      <c r="AO58">
        <f t="shared" si="3"/>
        <v>0</v>
      </c>
      <c r="AP58">
        <f t="shared" si="4"/>
        <v>0</v>
      </c>
    </row>
    <row r="59" spans="1:42" ht="18">
      <c r="A59" s="5">
        <v>58</v>
      </c>
      <c r="B59" s="254" t="s">
        <v>257</v>
      </c>
      <c r="C59" s="451" t="s">
        <v>284</v>
      </c>
      <c r="D59" s="7"/>
      <c r="E59" s="7"/>
      <c r="F59" s="7"/>
      <c r="G59" s="433" t="s">
        <v>108</v>
      </c>
      <c r="H59" s="9" t="s">
        <v>69</v>
      </c>
      <c r="I59" s="9" t="s">
        <v>69</v>
      </c>
      <c r="J59" s="9" t="s">
        <v>111</v>
      </c>
      <c r="K59" s="9" t="s">
        <v>69</v>
      </c>
      <c r="L59" s="9" t="s">
        <v>69</v>
      </c>
      <c r="M59" s="9" t="s">
        <v>69</v>
      </c>
      <c r="N59" s="427" t="s">
        <v>108</v>
      </c>
      <c r="O59" s="120" t="s">
        <v>69</v>
      </c>
      <c r="P59" s="120" t="s">
        <v>69</v>
      </c>
      <c r="Q59" s="120" t="s">
        <v>69</v>
      </c>
      <c r="R59" s="120" t="s">
        <v>69</v>
      </c>
      <c r="S59" s="120" t="s">
        <v>69</v>
      </c>
      <c r="T59" s="120" t="s">
        <v>69</v>
      </c>
      <c r="U59" s="427" t="s">
        <v>108</v>
      </c>
      <c r="V59" s="120" t="s">
        <v>69</v>
      </c>
      <c r="W59" s="120" t="s">
        <v>69</v>
      </c>
      <c r="X59" s="120" t="s">
        <v>69</v>
      </c>
      <c r="Y59" s="120" t="s">
        <v>69</v>
      </c>
      <c r="Z59" s="120" t="s">
        <v>69</v>
      </c>
      <c r="AA59" s="120" t="s">
        <v>69</v>
      </c>
      <c r="AB59" s="427" t="s">
        <v>108</v>
      </c>
      <c r="AC59" s="120" t="s">
        <v>69</v>
      </c>
      <c r="AD59" s="120" t="s">
        <v>69</v>
      </c>
      <c r="AE59" s="120" t="s">
        <v>69</v>
      </c>
      <c r="AF59" s="120" t="s">
        <v>69</v>
      </c>
      <c r="AG59" s="120" t="s">
        <v>69</v>
      </c>
      <c r="AH59" s="120" t="s">
        <v>69</v>
      </c>
      <c r="AI59" s="427" t="s">
        <v>108</v>
      </c>
      <c r="AJ59" s="120" t="s">
        <v>69</v>
      </c>
      <c r="AK59" s="120" t="s">
        <v>69</v>
      </c>
      <c r="AL59">
        <f t="shared" si="0"/>
        <v>0</v>
      </c>
      <c r="AM59">
        <f t="shared" si="1"/>
        <v>1</v>
      </c>
      <c r="AN59">
        <f t="shared" si="2"/>
        <v>0</v>
      </c>
      <c r="AO59">
        <f t="shared" si="3"/>
        <v>0</v>
      </c>
      <c r="AP59">
        <f t="shared" si="4"/>
        <v>0</v>
      </c>
    </row>
    <row r="60" spans="1:42" ht="18">
      <c r="A60" s="5">
        <v>59</v>
      </c>
      <c r="B60" s="254" t="s">
        <v>230</v>
      </c>
      <c r="C60" s="458" t="s">
        <v>293</v>
      </c>
      <c r="D60" s="7"/>
      <c r="E60" s="7"/>
      <c r="F60" s="7"/>
      <c r="G60" s="433" t="s">
        <v>108</v>
      </c>
      <c r="H60" s="9" t="s">
        <v>69</v>
      </c>
      <c r="I60" s="9" t="s">
        <v>111</v>
      </c>
      <c r="J60" s="9" t="s">
        <v>69</v>
      </c>
      <c r="K60" s="9" t="s">
        <v>69</v>
      </c>
      <c r="L60" s="9" t="s">
        <v>69</v>
      </c>
      <c r="M60" s="9" t="s">
        <v>69</v>
      </c>
      <c r="N60" s="427" t="s">
        <v>108</v>
      </c>
      <c r="O60" s="120" t="s">
        <v>69</v>
      </c>
      <c r="P60" s="120" t="s">
        <v>69</v>
      </c>
      <c r="Q60" s="120" t="s">
        <v>69</v>
      </c>
      <c r="R60" s="120" t="s">
        <v>69</v>
      </c>
      <c r="S60" s="120" t="s">
        <v>69</v>
      </c>
      <c r="T60" s="120" t="s">
        <v>69</v>
      </c>
      <c r="U60" s="427" t="s">
        <v>108</v>
      </c>
      <c r="V60" s="120" t="s">
        <v>69</v>
      </c>
      <c r="W60" s="120" t="s">
        <v>69</v>
      </c>
      <c r="X60" s="120" t="s">
        <v>69</v>
      </c>
      <c r="Y60" s="120" t="s">
        <v>69</v>
      </c>
      <c r="Z60" s="120" t="s">
        <v>69</v>
      </c>
      <c r="AA60" s="276" t="s">
        <v>111</v>
      </c>
      <c r="AB60" s="427" t="s">
        <v>108</v>
      </c>
      <c r="AC60" s="121" t="s">
        <v>72</v>
      </c>
      <c r="AD60" s="120" t="s">
        <v>69</v>
      </c>
      <c r="AE60" s="120" t="s">
        <v>69</v>
      </c>
      <c r="AF60" s="120" t="s">
        <v>69</v>
      </c>
      <c r="AG60" s="120" t="s">
        <v>69</v>
      </c>
      <c r="AH60" s="120" t="s">
        <v>69</v>
      </c>
      <c r="AI60" s="427" t="s">
        <v>108</v>
      </c>
      <c r="AJ60" s="120" t="s">
        <v>69</v>
      </c>
      <c r="AK60" s="120" t="s">
        <v>69</v>
      </c>
      <c r="AL60">
        <f t="shared" si="0"/>
        <v>1</v>
      </c>
      <c r="AM60">
        <f t="shared" si="1"/>
        <v>2</v>
      </c>
      <c r="AN60">
        <f t="shared" si="2"/>
        <v>0</v>
      </c>
      <c r="AO60">
        <f t="shared" si="3"/>
        <v>0</v>
      </c>
      <c r="AP60">
        <f t="shared" si="4"/>
        <v>0</v>
      </c>
    </row>
    <row r="61" spans="1:42" ht="18">
      <c r="A61" s="5">
        <v>60</v>
      </c>
      <c r="B61" s="186" t="s">
        <v>161</v>
      </c>
      <c r="C61" s="451" t="s">
        <v>291</v>
      </c>
      <c r="D61" s="7"/>
      <c r="E61" s="7"/>
      <c r="F61" s="7"/>
      <c r="G61" s="433" t="s">
        <v>108</v>
      </c>
      <c r="H61" s="9" t="s">
        <v>69</v>
      </c>
      <c r="I61" s="9" t="s">
        <v>69</v>
      </c>
      <c r="J61" s="9" t="s">
        <v>111</v>
      </c>
      <c r="K61" s="9" t="s">
        <v>69</v>
      </c>
      <c r="L61" s="9" t="s">
        <v>69</v>
      </c>
      <c r="M61" s="9" t="s">
        <v>69</v>
      </c>
      <c r="N61" s="427" t="s">
        <v>108</v>
      </c>
      <c r="O61" s="120" t="s">
        <v>69</v>
      </c>
      <c r="P61" s="120" t="s">
        <v>69</v>
      </c>
      <c r="Q61" s="120" t="s">
        <v>69</v>
      </c>
      <c r="R61" s="120" t="s">
        <v>69</v>
      </c>
      <c r="S61" s="120" t="s">
        <v>69</v>
      </c>
      <c r="T61" s="120" t="s">
        <v>69</v>
      </c>
      <c r="U61" s="427" t="s">
        <v>108</v>
      </c>
      <c r="V61" s="120" t="s">
        <v>69</v>
      </c>
      <c r="W61" s="120" t="s">
        <v>69</v>
      </c>
      <c r="X61" s="120" t="s">
        <v>69</v>
      </c>
      <c r="Y61" s="131" t="s">
        <v>72</v>
      </c>
      <c r="Z61" s="131" t="s">
        <v>72</v>
      </c>
      <c r="AA61" s="131" t="s">
        <v>72</v>
      </c>
      <c r="AB61" s="427" t="s">
        <v>108</v>
      </c>
      <c r="AC61" s="120" t="s">
        <v>69</v>
      </c>
      <c r="AD61" s="120" t="s">
        <v>69</v>
      </c>
      <c r="AE61" s="120" t="s">
        <v>69</v>
      </c>
      <c r="AF61" s="120" t="s">
        <v>69</v>
      </c>
      <c r="AG61" s="120" t="s">
        <v>69</v>
      </c>
      <c r="AH61" s="134" t="s">
        <v>69</v>
      </c>
      <c r="AI61" s="427" t="s">
        <v>108</v>
      </c>
      <c r="AJ61" s="120" t="s">
        <v>69</v>
      </c>
      <c r="AK61" s="120" t="s">
        <v>69</v>
      </c>
      <c r="AL61">
        <f t="shared" si="0"/>
        <v>3</v>
      </c>
      <c r="AM61">
        <f t="shared" si="1"/>
        <v>1</v>
      </c>
      <c r="AN61">
        <f t="shared" si="2"/>
        <v>0</v>
      </c>
      <c r="AO61">
        <f t="shared" si="3"/>
        <v>0</v>
      </c>
      <c r="AP61">
        <f t="shared" si="4"/>
        <v>0</v>
      </c>
    </row>
    <row r="62" spans="1:42" ht="18">
      <c r="A62" s="5">
        <v>61</v>
      </c>
      <c r="B62" s="254" t="s">
        <v>47</v>
      </c>
      <c r="C62" s="451" t="s">
        <v>300</v>
      </c>
      <c r="D62" s="7"/>
      <c r="E62" s="7"/>
      <c r="F62" s="7"/>
      <c r="G62" s="433" t="s">
        <v>108</v>
      </c>
      <c r="H62" s="9" t="s">
        <v>69</v>
      </c>
      <c r="I62" s="9" t="s">
        <v>69</v>
      </c>
      <c r="J62" s="9" t="s">
        <v>69</v>
      </c>
      <c r="K62" s="9" t="s">
        <v>69</v>
      </c>
      <c r="L62" s="9" t="s">
        <v>69</v>
      </c>
      <c r="M62" s="9" t="s">
        <v>69</v>
      </c>
      <c r="N62" s="427" t="s">
        <v>108</v>
      </c>
      <c r="O62" s="120" t="s">
        <v>69</v>
      </c>
      <c r="P62" s="120" t="s">
        <v>69</v>
      </c>
      <c r="Q62" s="120" t="s">
        <v>69</v>
      </c>
      <c r="R62" s="120" t="s">
        <v>69</v>
      </c>
      <c r="S62" s="120" t="s">
        <v>69</v>
      </c>
      <c r="T62" s="120" t="s">
        <v>69</v>
      </c>
      <c r="U62" s="427" t="s">
        <v>108</v>
      </c>
      <c r="V62" s="120" t="s">
        <v>69</v>
      </c>
      <c r="W62" s="120" t="s">
        <v>69</v>
      </c>
      <c r="X62" s="120" t="s">
        <v>69</v>
      </c>
      <c r="Y62" s="120" t="s">
        <v>69</v>
      </c>
      <c r="Z62" s="120" t="s">
        <v>69</v>
      </c>
      <c r="AA62" s="120" t="s">
        <v>69</v>
      </c>
      <c r="AB62" s="427" t="s">
        <v>108</v>
      </c>
      <c r="AC62" s="120" t="s">
        <v>69</v>
      </c>
      <c r="AD62" s="120" t="s">
        <v>69</v>
      </c>
      <c r="AE62" s="120" t="s">
        <v>69</v>
      </c>
      <c r="AF62" s="120" t="s">
        <v>69</v>
      </c>
      <c r="AG62" s="120" t="s">
        <v>69</v>
      </c>
      <c r="AH62" s="120" t="s">
        <v>69</v>
      </c>
      <c r="AI62" s="427" t="s">
        <v>108</v>
      </c>
      <c r="AJ62" s="120" t="s">
        <v>69</v>
      </c>
      <c r="AK62" s="120" t="s">
        <v>69</v>
      </c>
      <c r="AL62">
        <f t="shared" si="0"/>
        <v>0</v>
      </c>
      <c r="AM62">
        <f t="shared" si="1"/>
        <v>0</v>
      </c>
      <c r="AN62">
        <f t="shared" si="2"/>
        <v>0</v>
      </c>
      <c r="AO62">
        <f t="shared" si="3"/>
        <v>0</v>
      </c>
      <c r="AP62">
        <f t="shared" si="4"/>
        <v>0</v>
      </c>
    </row>
    <row r="63" spans="1:42" ht="18">
      <c r="A63" s="5">
        <v>62</v>
      </c>
      <c r="B63" s="254" t="s">
        <v>49</v>
      </c>
      <c r="C63" s="451" t="s">
        <v>291</v>
      </c>
      <c r="D63" s="7"/>
      <c r="E63" s="7"/>
      <c r="F63" s="7"/>
      <c r="G63" s="433" t="s">
        <v>108</v>
      </c>
      <c r="H63" s="9" t="s">
        <v>69</v>
      </c>
      <c r="I63" s="9" t="s">
        <v>69</v>
      </c>
      <c r="J63" s="9" t="s">
        <v>111</v>
      </c>
      <c r="K63" s="9" t="s">
        <v>69</v>
      </c>
      <c r="L63" s="9" t="s">
        <v>69</v>
      </c>
      <c r="M63" s="9" t="s">
        <v>69</v>
      </c>
      <c r="N63" s="427" t="s">
        <v>108</v>
      </c>
      <c r="O63" s="120" t="s">
        <v>69</v>
      </c>
      <c r="P63" s="120" t="s">
        <v>69</v>
      </c>
      <c r="Q63" s="120" t="s">
        <v>69</v>
      </c>
      <c r="R63" s="120" t="s">
        <v>69</v>
      </c>
      <c r="S63" s="120" t="s">
        <v>69</v>
      </c>
      <c r="T63" s="120" t="s">
        <v>69</v>
      </c>
      <c r="U63" s="427" t="s">
        <v>108</v>
      </c>
      <c r="V63" s="120" t="s">
        <v>69</v>
      </c>
      <c r="W63" s="120" t="s">
        <v>69</v>
      </c>
      <c r="X63" s="120" t="s">
        <v>69</v>
      </c>
      <c r="Y63" s="120" t="s">
        <v>69</v>
      </c>
      <c r="Z63" s="120" t="s">
        <v>69</v>
      </c>
      <c r="AA63" s="120" t="s">
        <v>69</v>
      </c>
      <c r="AB63" s="427" t="s">
        <v>108</v>
      </c>
      <c r="AC63" s="120" t="s">
        <v>69</v>
      </c>
      <c r="AD63" s="120" t="s">
        <v>69</v>
      </c>
      <c r="AE63" s="120" t="s">
        <v>69</v>
      </c>
      <c r="AF63" s="120" t="s">
        <v>69</v>
      </c>
      <c r="AG63" s="120" t="s">
        <v>69</v>
      </c>
      <c r="AH63" s="120" t="s">
        <v>69</v>
      </c>
      <c r="AI63" s="427" t="s">
        <v>108</v>
      </c>
      <c r="AJ63" s="120" t="s">
        <v>69</v>
      </c>
      <c r="AK63" s="120" t="s">
        <v>69</v>
      </c>
      <c r="AL63">
        <f t="shared" si="0"/>
        <v>0</v>
      </c>
      <c r="AM63">
        <f t="shared" si="1"/>
        <v>1</v>
      </c>
      <c r="AN63">
        <f t="shared" si="2"/>
        <v>0</v>
      </c>
      <c r="AO63">
        <f t="shared" si="3"/>
        <v>0</v>
      </c>
      <c r="AP63">
        <f t="shared" si="4"/>
        <v>0</v>
      </c>
    </row>
    <row r="64" spans="1:42" ht="18">
      <c r="A64" s="5">
        <v>63</v>
      </c>
      <c r="B64" s="254" t="s">
        <v>203</v>
      </c>
      <c r="C64" s="451" t="s">
        <v>286</v>
      </c>
      <c r="D64" s="7"/>
      <c r="E64" s="7"/>
      <c r="F64" s="7"/>
      <c r="G64" s="433" t="s">
        <v>108</v>
      </c>
      <c r="H64" s="9" t="s">
        <v>69</v>
      </c>
      <c r="I64" s="9" t="s">
        <v>69</v>
      </c>
      <c r="J64" s="9" t="s">
        <v>111</v>
      </c>
      <c r="K64" s="9" t="s">
        <v>69</v>
      </c>
      <c r="L64" s="9" t="s">
        <v>69</v>
      </c>
      <c r="M64" s="9" t="s">
        <v>69</v>
      </c>
      <c r="N64" s="427" t="s">
        <v>108</v>
      </c>
      <c r="O64" s="120" t="s">
        <v>69</v>
      </c>
      <c r="P64" s="120" t="s">
        <v>69</v>
      </c>
      <c r="Q64" s="120" t="s">
        <v>69</v>
      </c>
      <c r="R64" s="120" t="s">
        <v>69</v>
      </c>
      <c r="S64" s="120" t="s">
        <v>69</v>
      </c>
      <c r="T64" s="120" t="s">
        <v>69</v>
      </c>
      <c r="U64" s="427" t="s">
        <v>108</v>
      </c>
      <c r="V64" s="120" t="s">
        <v>69</v>
      </c>
      <c r="W64" s="120" t="s">
        <v>69</v>
      </c>
      <c r="X64" s="120" t="s">
        <v>69</v>
      </c>
      <c r="Y64" s="120" t="s">
        <v>69</v>
      </c>
      <c r="Z64" s="120" t="s">
        <v>69</v>
      </c>
      <c r="AA64" s="276" t="s">
        <v>111</v>
      </c>
      <c r="AB64" s="427" t="s">
        <v>108</v>
      </c>
      <c r="AC64" s="121" t="s">
        <v>72</v>
      </c>
      <c r="AD64" s="120" t="s">
        <v>69</v>
      </c>
      <c r="AE64" s="120" t="s">
        <v>69</v>
      </c>
      <c r="AF64" s="120" t="s">
        <v>69</v>
      </c>
      <c r="AG64" s="120" t="s">
        <v>69</v>
      </c>
      <c r="AH64" s="120" t="s">
        <v>69</v>
      </c>
      <c r="AI64" s="427" t="s">
        <v>108</v>
      </c>
      <c r="AJ64" s="120" t="s">
        <v>69</v>
      </c>
      <c r="AK64" s="120" t="s">
        <v>69</v>
      </c>
      <c r="AL64">
        <f t="shared" si="0"/>
        <v>1</v>
      </c>
      <c r="AM64">
        <f t="shared" si="1"/>
        <v>2</v>
      </c>
      <c r="AN64">
        <f t="shared" si="2"/>
        <v>0</v>
      </c>
      <c r="AO64">
        <f t="shared" si="3"/>
        <v>0</v>
      </c>
      <c r="AP64">
        <f t="shared" si="4"/>
        <v>0</v>
      </c>
    </row>
    <row r="65" spans="1:42" ht="18">
      <c r="A65" s="5">
        <v>64</v>
      </c>
      <c r="B65" s="254" t="s">
        <v>185</v>
      </c>
      <c r="C65" s="451" t="s">
        <v>296</v>
      </c>
      <c r="D65" s="7"/>
      <c r="E65" s="7"/>
      <c r="F65" s="7"/>
      <c r="G65" s="433" t="s">
        <v>108</v>
      </c>
      <c r="H65" s="9" t="s">
        <v>69</v>
      </c>
      <c r="I65" s="9" t="s">
        <v>69</v>
      </c>
      <c r="J65" s="9" t="s">
        <v>69</v>
      </c>
      <c r="K65" s="9" t="s">
        <v>69</v>
      </c>
      <c r="L65" s="9" t="s">
        <v>69</v>
      </c>
      <c r="M65" s="9" t="s">
        <v>69</v>
      </c>
      <c r="N65" s="427" t="s">
        <v>108</v>
      </c>
      <c r="O65" s="120" t="s">
        <v>69</v>
      </c>
      <c r="P65" s="120" t="s">
        <v>69</v>
      </c>
      <c r="Q65" s="120" t="s">
        <v>69</v>
      </c>
      <c r="R65" s="120" t="s">
        <v>69</v>
      </c>
      <c r="S65" s="120" t="s">
        <v>69</v>
      </c>
      <c r="T65" s="120" t="s">
        <v>69</v>
      </c>
      <c r="U65" s="427" t="s">
        <v>108</v>
      </c>
      <c r="V65" s="120" t="s">
        <v>69</v>
      </c>
      <c r="W65" s="120" t="s">
        <v>69</v>
      </c>
      <c r="X65" s="120" t="s">
        <v>69</v>
      </c>
      <c r="Y65" s="120" t="s">
        <v>69</v>
      </c>
      <c r="Z65" s="131" t="s">
        <v>72</v>
      </c>
      <c r="AA65" s="276" t="s">
        <v>111</v>
      </c>
      <c r="AB65" s="427" t="s">
        <v>108</v>
      </c>
      <c r="AC65" s="120" t="s">
        <v>69</v>
      </c>
      <c r="AD65" s="120" t="s">
        <v>69</v>
      </c>
      <c r="AE65" s="120" t="s">
        <v>69</v>
      </c>
      <c r="AF65" s="120" t="s">
        <v>69</v>
      </c>
      <c r="AG65" s="120" t="s">
        <v>69</v>
      </c>
      <c r="AH65" s="121" t="s">
        <v>72</v>
      </c>
      <c r="AI65" s="427" t="s">
        <v>108</v>
      </c>
      <c r="AJ65" s="120" t="s">
        <v>69</v>
      </c>
      <c r="AK65" s="120" t="s">
        <v>69</v>
      </c>
      <c r="AL65">
        <f t="shared" si="0"/>
        <v>2</v>
      </c>
      <c r="AM65">
        <f t="shared" si="1"/>
        <v>1</v>
      </c>
      <c r="AN65">
        <f t="shared" si="2"/>
        <v>0</v>
      </c>
      <c r="AO65">
        <f t="shared" si="3"/>
        <v>0</v>
      </c>
      <c r="AP65">
        <f t="shared" si="4"/>
        <v>0</v>
      </c>
    </row>
    <row r="66" spans="1:42" ht="18">
      <c r="A66" s="5">
        <v>65</v>
      </c>
      <c r="B66" s="254" t="s">
        <v>244</v>
      </c>
      <c r="C66" s="454" t="s">
        <v>284</v>
      </c>
      <c r="D66" s="7"/>
      <c r="E66" s="7"/>
      <c r="F66" s="7"/>
      <c r="G66" s="433" t="s">
        <v>108</v>
      </c>
      <c r="H66" s="9" t="s">
        <v>69</v>
      </c>
      <c r="I66" s="9" t="s">
        <v>69</v>
      </c>
      <c r="J66" s="9" t="s">
        <v>111</v>
      </c>
      <c r="K66" s="9" t="s">
        <v>69</v>
      </c>
      <c r="L66" s="9" t="s">
        <v>69</v>
      </c>
      <c r="M66" s="63" t="s">
        <v>72</v>
      </c>
      <c r="N66" s="427" t="s">
        <v>108</v>
      </c>
      <c r="O66" s="120" t="s">
        <v>69</v>
      </c>
      <c r="P66" s="120" t="s">
        <v>69</v>
      </c>
      <c r="Q66" s="120" t="s">
        <v>69</v>
      </c>
      <c r="R66" s="120" t="s">
        <v>69</v>
      </c>
      <c r="S66" s="120" t="s">
        <v>69</v>
      </c>
      <c r="T66" s="120" t="s">
        <v>69</v>
      </c>
      <c r="U66" s="427" t="s">
        <v>108</v>
      </c>
      <c r="V66" s="120" t="s">
        <v>69</v>
      </c>
      <c r="W66" s="120" t="s">
        <v>69</v>
      </c>
      <c r="X66" s="120" t="s">
        <v>69</v>
      </c>
      <c r="Y66" s="276" t="s">
        <v>111</v>
      </c>
      <c r="Z66" s="120" t="s">
        <v>69</v>
      </c>
      <c r="AA66" s="121" t="s">
        <v>72</v>
      </c>
      <c r="AB66" s="427" t="s">
        <v>108</v>
      </c>
      <c r="AC66" s="120" t="s">
        <v>69</v>
      </c>
      <c r="AD66" s="120" t="s">
        <v>69</v>
      </c>
      <c r="AE66" s="120" t="s">
        <v>69</v>
      </c>
      <c r="AF66" s="121" t="s">
        <v>72</v>
      </c>
      <c r="AG66" s="120" t="s">
        <v>69</v>
      </c>
      <c r="AH66" s="120" t="s">
        <v>69</v>
      </c>
      <c r="AI66" s="427" t="s">
        <v>108</v>
      </c>
      <c r="AJ66" s="120" t="s">
        <v>69</v>
      </c>
      <c r="AK66" s="120" t="s">
        <v>69</v>
      </c>
      <c r="AL66">
        <f t="shared" si="0"/>
        <v>3</v>
      </c>
      <c r="AM66">
        <f t="shared" si="1"/>
        <v>2</v>
      </c>
      <c r="AN66">
        <f t="shared" si="2"/>
        <v>0</v>
      </c>
      <c r="AO66">
        <f t="shared" si="3"/>
        <v>0</v>
      </c>
      <c r="AP66">
        <f t="shared" si="4"/>
        <v>0</v>
      </c>
    </row>
    <row r="67" spans="1:42" ht="18">
      <c r="A67" s="5">
        <v>66</v>
      </c>
      <c r="B67" s="254" t="s">
        <v>50</v>
      </c>
      <c r="C67" s="454" t="s">
        <v>284</v>
      </c>
      <c r="D67" s="7"/>
      <c r="E67" s="7"/>
      <c r="F67" s="7"/>
      <c r="G67" s="433" t="s">
        <v>108</v>
      </c>
      <c r="H67" s="9" t="s">
        <v>69</v>
      </c>
      <c r="I67" s="9" t="s">
        <v>69</v>
      </c>
      <c r="J67" s="9" t="s">
        <v>111</v>
      </c>
      <c r="K67" s="9" t="s">
        <v>69</v>
      </c>
      <c r="L67" s="9" t="s">
        <v>70</v>
      </c>
      <c r="M67" s="9" t="s">
        <v>69</v>
      </c>
      <c r="N67" s="427" t="s">
        <v>108</v>
      </c>
      <c r="O67" s="120" t="s">
        <v>69</v>
      </c>
      <c r="P67" s="120" t="s">
        <v>69</v>
      </c>
      <c r="Q67" s="120" t="s">
        <v>69</v>
      </c>
      <c r="R67" s="131" t="s">
        <v>72</v>
      </c>
      <c r="S67" s="120" t="s">
        <v>69</v>
      </c>
      <c r="T67" s="285" t="s">
        <v>267</v>
      </c>
      <c r="U67" s="427" t="s">
        <v>108</v>
      </c>
      <c r="V67" s="120" t="s">
        <v>69</v>
      </c>
      <c r="W67" s="120" t="s">
        <v>69</v>
      </c>
      <c r="X67" s="120" t="s">
        <v>69</v>
      </c>
      <c r="Y67" s="276" t="s">
        <v>111</v>
      </c>
      <c r="Z67" s="120" t="s">
        <v>69</v>
      </c>
      <c r="AA67" s="120" t="s">
        <v>69</v>
      </c>
      <c r="AB67" s="427" t="s">
        <v>108</v>
      </c>
      <c r="AC67" s="120" t="s">
        <v>69</v>
      </c>
      <c r="AD67" s="120" t="s">
        <v>69</v>
      </c>
      <c r="AE67" s="120" t="s">
        <v>69</v>
      </c>
      <c r="AF67" s="121" t="s">
        <v>72</v>
      </c>
      <c r="AG67" s="120" t="s">
        <v>69</v>
      </c>
      <c r="AH67" s="120" t="s">
        <v>69</v>
      </c>
      <c r="AI67" s="427" t="s">
        <v>108</v>
      </c>
      <c r="AJ67" s="120" t="s">
        <v>69</v>
      </c>
      <c r="AK67" s="120" t="s">
        <v>69</v>
      </c>
      <c r="AL67">
        <f t="shared" ref="AL67:AL84" si="5">COUNTIF(H67:AK67, "AB")</f>
        <v>2</v>
      </c>
      <c r="AM67">
        <f t="shared" ref="AM67:AM84" si="6">COUNTIF(H67:AK67, "CL")</f>
        <v>2</v>
      </c>
      <c r="AN67">
        <f t="shared" ref="AN67:AN84" si="7">COUNTIF(H67:AK67, "H.D")</f>
        <v>0</v>
      </c>
      <c r="AO67">
        <f t="shared" ref="AO67:AO84" si="8">COUNTIF(H67:AK67, "CO")</f>
        <v>0</v>
      </c>
      <c r="AP67">
        <f t="shared" ref="AP67:AP84" si="9">COUNTIF(H67:AK67, "SL")</f>
        <v>1</v>
      </c>
    </row>
    <row r="68" spans="1:42" ht="18">
      <c r="A68" s="5">
        <v>67</v>
      </c>
      <c r="B68" s="359" t="s">
        <v>186</v>
      </c>
      <c r="C68" s="450" t="s">
        <v>291</v>
      </c>
      <c r="D68" s="7"/>
      <c r="E68" s="7"/>
      <c r="F68" s="7"/>
      <c r="G68" s="433" t="s">
        <v>108</v>
      </c>
      <c r="H68" s="9" t="s">
        <v>69</v>
      </c>
      <c r="I68" s="9" t="s">
        <v>69</v>
      </c>
      <c r="J68" s="9" t="s">
        <v>111</v>
      </c>
      <c r="K68" s="9" t="s">
        <v>69</v>
      </c>
      <c r="L68" s="9" t="s">
        <v>69</v>
      </c>
      <c r="M68" s="9" t="s">
        <v>69</v>
      </c>
      <c r="N68" s="427" t="s">
        <v>108</v>
      </c>
      <c r="O68" s="120" t="s">
        <v>69</v>
      </c>
      <c r="P68" s="120" t="s">
        <v>69</v>
      </c>
      <c r="Q68" s="120" t="s">
        <v>69</v>
      </c>
      <c r="R68" s="120" t="s">
        <v>69</v>
      </c>
      <c r="S68" s="120" t="s">
        <v>69</v>
      </c>
      <c r="T68" s="120" t="s">
        <v>69</v>
      </c>
      <c r="U68" s="427" t="s">
        <v>108</v>
      </c>
      <c r="V68" s="120" t="s">
        <v>69</v>
      </c>
      <c r="W68" s="120" t="s">
        <v>69</v>
      </c>
      <c r="X68" s="120" t="s">
        <v>69</v>
      </c>
      <c r="Y68" s="120" t="s">
        <v>69</v>
      </c>
      <c r="Z68" s="131" t="s">
        <v>72</v>
      </c>
      <c r="AA68" s="131" t="s">
        <v>72</v>
      </c>
      <c r="AB68" s="427" t="s">
        <v>108</v>
      </c>
      <c r="AC68" s="120" t="s">
        <v>69</v>
      </c>
      <c r="AD68" s="120" t="s">
        <v>69</v>
      </c>
      <c r="AE68" s="120" t="s">
        <v>69</v>
      </c>
      <c r="AF68" s="120" t="s">
        <v>69</v>
      </c>
      <c r="AG68" s="120" t="s">
        <v>69</v>
      </c>
      <c r="AH68" s="120" t="s">
        <v>69</v>
      </c>
      <c r="AI68" s="427" t="s">
        <v>108</v>
      </c>
      <c r="AJ68" s="120" t="s">
        <v>69</v>
      </c>
      <c r="AK68" s="120" t="s">
        <v>69</v>
      </c>
      <c r="AL68">
        <f t="shared" si="5"/>
        <v>2</v>
      </c>
      <c r="AM68">
        <f t="shared" si="6"/>
        <v>1</v>
      </c>
      <c r="AN68">
        <f t="shared" si="7"/>
        <v>0</v>
      </c>
      <c r="AO68">
        <f t="shared" si="8"/>
        <v>0</v>
      </c>
      <c r="AP68">
        <f t="shared" si="9"/>
        <v>0</v>
      </c>
    </row>
    <row r="69" spans="1:42" ht="18">
      <c r="A69" s="5">
        <v>68</v>
      </c>
      <c r="B69" s="359" t="s">
        <v>232</v>
      </c>
      <c r="C69" s="450" t="s">
        <v>301</v>
      </c>
      <c r="D69" s="7"/>
      <c r="E69" s="7"/>
      <c r="F69" s="7"/>
      <c r="G69" s="433" t="s">
        <v>108</v>
      </c>
      <c r="H69" s="9" t="s">
        <v>69</v>
      </c>
      <c r="I69" s="9" t="s">
        <v>69</v>
      </c>
      <c r="J69" s="9" t="s">
        <v>69</v>
      </c>
      <c r="K69" s="9" t="s">
        <v>69</v>
      </c>
      <c r="L69" s="9" t="s">
        <v>69</v>
      </c>
      <c r="M69" s="9" t="s">
        <v>69</v>
      </c>
      <c r="N69" s="427" t="s">
        <v>108</v>
      </c>
      <c r="O69" s="120" t="s">
        <v>69</v>
      </c>
      <c r="P69" s="120" t="s">
        <v>69</v>
      </c>
      <c r="Q69" s="120" t="s">
        <v>69</v>
      </c>
      <c r="R69" s="120" t="s">
        <v>69</v>
      </c>
      <c r="S69" s="120" t="s">
        <v>69</v>
      </c>
      <c r="T69" s="131" t="s">
        <v>72</v>
      </c>
      <c r="U69" s="427" t="s">
        <v>108</v>
      </c>
      <c r="V69" s="120" t="s">
        <v>69</v>
      </c>
      <c r="W69" s="120" t="s">
        <v>69</v>
      </c>
      <c r="X69" s="120" t="s">
        <v>69</v>
      </c>
      <c r="Y69" s="322" t="s">
        <v>111</v>
      </c>
      <c r="Z69" s="120" t="s">
        <v>69</v>
      </c>
      <c r="AA69" s="131" t="s">
        <v>72</v>
      </c>
      <c r="AB69" s="427" t="s">
        <v>108</v>
      </c>
      <c r="AC69" s="120" t="s">
        <v>69</v>
      </c>
      <c r="AD69" s="120" t="s">
        <v>69</v>
      </c>
      <c r="AE69" s="120" t="s">
        <v>69</v>
      </c>
      <c r="AF69" s="120" t="s">
        <v>69</v>
      </c>
      <c r="AG69" s="120" t="s">
        <v>69</v>
      </c>
      <c r="AH69" s="120" t="s">
        <v>69</v>
      </c>
      <c r="AI69" s="427" t="s">
        <v>108</v>
      </c>
      <c r="AJ69" s="120" t="s">
        <v>69</v>
      </c>
      <c r="AK69" s="120" t="s">
        <v>69</v>
      </c>
      <c r="AL69">
        <f t="shared" si="5"/>
        <v>2</v>
      </c>
      <c r="AM69">
        <f t="shared" si="6"/>
        <v>1</v>
      </c>
      <c r="AN69">
        <f t="shared" si="7"/>
        <v>0</v>
      </c>
      <c r="AO69">
        <f t="shared" si="8"/>
        <v>0</v>
      </c>
      <c r="AP69">
        <f t="shared" si="9"/>
        <v>0</v>
      </c>
    </row>
    <row r="70" spans="1:42" ht="18">
      <c r="A70" s="5">
        <v>69</v>
      </c>
      <c r="B70" s="254" t="s">
        <v>52</v>
      </c>
      <c r="C70" s="450" t="s">
        <v>133</v>
      </c>
      <c r="D70" s="7"/>
      <c r="E70" s="7"/>
      <c r="F70" s="7"/>
      <c r="G70" s="433" t="s">
        <v>108</v>
      </c>
      <c r="H70" s="9" t="s">
        <v>69</v>
      </c>
      <c r="I70" s="9" t="s">
        <v>69</v>
      </c>
      <c r="J70" s="9" t="s">
        <v>111</v>
      </c>
      <c r="K70" s="9" t="s">
        <v>69</v>
      </c>
      <c r="L70" s="9" t="s">
        <v>69</v>
      </c>
      <c r="M70" s="9" t="s">
        <v>69</v>
      </c>
      <c r="N70" s="427" t="s">
        <v>108</v>
      </c>
      <c r="O70" s="120" t="s">
        <v>69</v>
      </c>
      <c r="P70" s="120" t="s">
        <v>69</v>
      </c>
      <c r="Q70" s="120" t="s">
        <v>69</v>
      </c>
      <c r="R70" s="120" t="s">
        <v>69</v>
      </c>
      <c r="S70" s="120" t="s">
        <v>69</v>
      </c>
      <c r="T70" s="120" t="s">
        <v>69</v>
      </c>
      <c r="U70" s="427" t="s">
        <v>108</v>
      </c>
      <c r="V70" s="120" t="s">
        <v>69</v>
      </c>
      <c r="W70" s="120" t="s">
        <v>69</v>
      </c>
      <c r="X70" s="120" t="s">
        <v>69</v>
      </c>
      <c r="Y70" s="120" t="s">
        <v>69</v>
      </c>
      <c r="Z70" s="120" t="s">
        <v>69</v>
      </c>
      <c r="AA70" s="276" t="s">
        <v>111</v>
      </c>
      <c r="AB70" s="427" t="s">
        <v>108</v>
      </c>
      <c r="AC70" s="131" t="s">
        <v>72</v>
      </c>
      <c r="AD70" s="131" t="s">
        <v>72</v>
      </c>
      <c r="AE70" s="131" t="s">
        <v>72</v>
      </c>
      <c r="AF70" s="131" t="s">
        <v>72</v>
      </c>
      <c r="AG70" s="131" t="s">
        <v>72</v>
      </c>
      <c r="AH70" s="131" t="s">
        <v>72</v>
      </c>
      <c r="AI70" s="427" t="s">
        <v>108</v>
      </c>
      <c r="AJ70" s="120" t="s">
        <v>69</v>
      </c>
      <c r="AK70" s="120" t="s">
        <v>69</v>
      </c>
      <c r="AL70">
        <f t="shared" si="5"/>
        <v>6</v>
      </c>
      <c r="AM70">
        <f t="shared" si="6"/>
        <v>2</v>
      </c>
      <c r="AN70">
        <f t="shared" si="7"/>
        <v>0</v>
      </c>
      <c r="AO70">
        <f t="shared" si="8"/>
        <v>0</v>
      </c>
      <c r="AP70">
        <f t="shared" si="9"/>
        <v>0</v>
      </c>
    </row>
    <row r="71" spans="1:42" ht="18">
      <c r="A71" s="5">
        <v>70</v>
      </c>
      <c r="B71" s="254" t="s">
        <v>53</v>
      </c>
      <c r="C71" s="450" t="s">
        <v>291</v>
      </c>
      <c r="D71" s="7"/>
      <c r="E71" s="7"/>
      <c r="F71" s="7"/>
      <c r="G71" s="433" t="s">
        <v>108</v>
      </c>
      <c r="H71" s="63" t="s">
        <v>72</v>
      </c>
      <c r="I71" s="116" t="s">
        <v>73</v>
      </c>
      <c r="J71" s="116" t="s">
        <v>111</v>
      </c>
      <c r="K71" s="343" t="s">
        <v>72</v>
      </c>
      <c r="L71" s="343" t="s">
        <v>72</v>
      </c>
      <c r="M71" s="343" t="s">
        <v>72</v>
      </c>
      <c r="N71" s="427" t="s">
        <v>108</v>
      </c>
      <c r="O71" s="131" t="s">
        <v>72</v>
      </c>
      <c r="P71" s="131" t="s">
        <v>72</v>
      </c>
      <c r="Q71" s="131" t="s">
        <v>72</v>
      </c>
      <c r="R71" s="131" t="s">
        <v>72</v>
      </c>
      <c r="S71" s="131" t="s">
        <v>72</v>
      </c>
      <c r="T71" s="131" t="s">
        <v>72</v>
      </c>
      <c r="U71" s="427" t="s">
        <v>108</v>
      </c>
      <c r="V71" s="120" t="s">
        <v>69</v>
      </c>
      <c r="W71" s="131" t="s">
        <v>72</v>
      </c>
      <c r="X71" s="131" t="s">
        <v>72</v>
      </c>
      <c r="Y71" s="131" t="s">
        <v>72</v>
      </c>
      <c r="Z71" s="131" t="s">
        <v>72</v>
      </c>
      <c r="AA71" s="131" t="s">
        <v>72</v>
      </c>
      <c r="AB71" s="427" t="s">
        <v>108</v>
      </c>
      <c r="AC71" s="120" t="s">
        <v>69</v>
      </c>
      <c r="AD71" s="120" t="s">
        <v>69</v>
      </c>
      <c r="AE71" s="120" t="s">
        <v>69</v>
      </c>
      <c r="AF71" s="120" t="s">
        <v>70</v>
      </c>
      <c r="AG71" s="120" t="s">
        <v>69</v>
      </c>
      <c r="AH71" s="120" t="s">
        <v>69</v>
      </c>
      <c r="AI71" s="427" t="s">
        <v>108</v>
      </c>
      <c r="AJ71" s="121" t="s">
        <v>72</v>
      </c>
      <c r="AK71" s="121" t="s">
        <v>72</v>
      </c>
      <c r="AL71">
        <f t="shared" si="5"/>
        <v>17</v>
      </c>
      <c r="AM71">
        <f t="shared" si="6"/>
        <v>1</v>
      </c>
      <c r="AN71">
        <f t="shared" si="7"/>
        <v>1</v>
      </c>
      <c r="AO71">
        <f t="shared" si="8"/>
        <v>0</v>
      </c>
      <c r="AP71">
        <f t="shared" si="9"/>
        <v>0</v>
      </c>
    </row>
    <row r="72" spans="1:42" ht="18">
      <c r="A72" s="5">
        <v>71</v>
      </c>
      <c r="B72" s="254" t="s">
        <v>274</v>
      </c>
      <c r="C72" s="450" t="s">
        <v>296</v>
      </c>
      <c r="D72" s="7"/>
      <c r="E72" s="7"/>
      <c r="F72" s="7"/>
      <c r="G72" s="433" t="s">
        <v>108</v>
      </c>
      <c r="H72" s="438" t="s">
        <v>69</v>
      </c>
      <c r="I72" s="9" t="s">
        <v>69</v>
      </c>
      <c r="J72" s="9" t="s">
        <v>69</v>
      </c>
      <c r="K72" s="9" t="s">
        <v>69</v>
      </c>
      <c r="L72" s="9" t="s">
        <v>69</v>
      </c>
      <c r="M72" s="9" t="s">
        <v>69</v>
      </c>
      <c r="N72" s="439" t="s">
        <v>108</v>
      </c>
      <c r="O72" s="120" t="s">
        <v>69</v>
      </c>
      <c r="P72" s="120" t="s">
        <v>69</v>
      </c>
      <c r="Q72" s="120" t="s">
        <v>69</v>
      </c>
      <c r="R72" s="120" t="s">
        <v>69</v>
      </c>
      <c r="S72" s="120" t="s">
        <v>69</v>
      </c>
      <c r="T72" s="120" t="s">
        <v>69</v>
      </c>
      <c r="U72" s="427" t="s">
        <v>108</v>
      </c>
      <c r="V72" s="120" t="s">
        <v>69</v>
      </c>
      <c r="W72" s="120" t="s">
        <v>69</v>
      </c>
      <c r="X72" s="120" t="s">
        <v>69</v>
      </c>
      <c r="Y72" s="120" t="s">
        <v>69</v>
      </c>
      <c r="Z72" s="121" t="s">
        <v>72</v>
      </c>
      <c r="AA72" s="276" t="s">
        <v>111</v>
      </c>
      <c r="AB72" s="427" t="s">
        <v>108</v>
      </c>
      <c r="AC72" s="120" t="s">
        <v>69</v>
      </c>
      <c r="AD72" s="120" t="s">
        <v>69</v>
      </c>
      <c r="AE72" s="120" t="s">
        <v>69</v>
      </c>
      <c r="AF72" s="120" t="s">
        <v>69</v>
      </c>
      <c r="AG72" s="120" t="s">
        <v>69</v>
      </c>
      <c r="AH72" s="120" t="s">
        <v>69</v>
      </c>
      <c r="AI72" s="427" t="s">
        <v>108</v>
      </c>
      <c r="AJ72" s="120" t="s">
        <v>69</v>
      </c>
      <c r="AK72" s="120" t="s">
        <v>70</v>
      </c>
      <c r="AL72">
        <f t="shared" si="5"/>
        <v>1</v>
      </c>
      <c r="AM72">
        <f t="shared" si="6"/>
        <v>1</v>
      </c>
      <c r="AN72">
        <f t="shared" si="7"/>
        <v>0</v>
      </c>
      <c r="AO72">
        <f t="shared" si="8"/>
        <v>0</v>
      </c>
      <c r="AP72">
        <f t="shared" si="9"/>
        <v>0</v>
      </c>
    </row>
    <row r="73" spans="1:42" ht="18">
      <c r="A73" s="5">
        <v>72</v>
      </c>
      <c r="B73" s="254" t="s">
        <v>260</v>
      </c>
      <c r="C73" s="452" t="s">
        <v>284</v>
      </c>
      <c r="D73" s="7"/>
      <c r="E73" s="7"/>
      <c r="F73" s="7"/>
      <c r="G73" s="433" t="s">
        <v>108</v>
      </c>
      <c r="H73" s="9" t="s">
        <v>69</v>
      </c>
      <c r="I73" s="9" t="s">
        <v>69</v>
      </c>
      <c r="J73" s="9" t="s">
        <v>69</v>
      </c>
      <c r="K73" s="9" t="s">
        <v>69</v>
      </c>
      <c r="L73" s="9" t="s">
        <v>69</v>
      </c>
      <c r="M73" s="9" t="s">
        <v>69</v>
      </c>
      <c r="N73" s="427" t="s">
        <v>108</v>
      </c>
      <c r="O73" s="120" t="s">
        <v>69</v>
      </c>
      <c r="P73" s="120" t="s">
        <v>69</v>
      </c>
      <c r="Q73" s="120" t="s">
        <v>69</v>
      </c>
      <c r="R73" s="120" t="s">
        <v>69</v>
      </c>
      <c r="S73" s="120" t="s">
        <v>69</v>
      </c>
      <c r="T73" s="120" t="s">
        <v>69</v>
      </c>
      <c r="U73" s="427" t="s">
        <v>108</v>
      </c>
      <c r="V73" s="120" t="s">
        <v>69</v>
      </c>
      <c r="W73" s="120" t="s">
        <v>69</v>
      </c>
      <c r="X73" s="120" t="s">
        <v>69</v>
      </c>
      <c r="Y73" s="120" t="s">
        <v>69</v>
      </c>
      <c r="Z73" s="120" t="s">
        <v>69</v>
      </c>
      <c r="AA73" s="121" t="s">
        <v>302</v>
      </c>
      <c r="AB73" s="427" t="s">
        <v>108</v>
      </c>
      <c r="AC73" s="120" t="s">
        <v>69</v>
      </c>
      <c r="AD73" s="120" t="s">
        <v>69</v>
      </c>
      <c r="AE73" s="120" t="s">
        <v>69</v>
      </c>
      <c r="AF73" s="120" t="s">
        <v>69</v>
      </c>
      <c r="AG73" s="131" t="s">
        <v>72</v>
      </c>
      <c r="AH73" s="131" t="s">
        <v>72</v>
      </c>
      <c r="AI73" s="427" t="s">
        <v>108</v>
      </c>
      <c r="AJ73" s="131" t="s">
        <v>72</v>
      </c>
      <c r="AK73" s="131" t="s">
        <v>72</v>
      </c>
      <c r="AL73">
        <f t="shared" si="5"/>
        <v>4</v>
      </c>
      <c r="AM73">
        <f t="shared" si="6"/>
        <v>0</v>
      </c>
      <c r="AN73">
        <f t="shared" si="7"/>
        <v>0</v>
      </c>
      <c r="AO73">
        <f t="shared" si="8"/>
        <v>0</v>
      </c>
      <c r="AP73">
        <f t="shared" si="9"/>
        <v>0</v>
      </c>
    </row>
    <row r="74" spans="1:42" ht="18">
      <c r="A74" s="5">
        <v>73</v>
      </c>
      <c r="B74" s="254" t="s">
        <v>275</v>
      </c>
      <c r="C74" s="450" t="s">
        <v>133</v>
      </c>
      <c r="D74" s="7"/>
      <c r="E74" s="7"/>
      <c r="F74" s="7"/>
      <c r="G74" s="433" t="s">
        <v>108</v>
      </c>
      <c r="H74" s="9" t="s">
        <v>69</v>
      </c>
      <c r="I74" s="9" t="s">
        <v>69</v>
      </c>
      <c r="J74" s="9" t="s">
        <v>111</v>
      </c>
      <c r="K74" s="9" t="s">
        <v>69</v>
      </c>
      <c r="L74" s="9" t="s">
        <v>69</v>
      </c>
      <c r="M74" s="9" t="s">
        <v>69</v>
      </c>
      <c r="N74" s="427" t="s">
        <v>108</v>
      </c>
      <c r="O74" s="120" t="s">
        <v>69</v>
      </c>
      <c r="P74" s="120" t="s">
        <v>69</v>
      </c>
      <c r="Q74" s="120" t="s">
        <v>69</v>
      </c>
      <c r="R74" s="120" t="s">
        <v>69</v>
      </c>
      <c r="S74" s="120" t="s">
        <v>69</v>
      </c>
      <c r="T74" s="120" t="s">
        <v>69</v>
      </c>
      <c r="U74" s="427" t="s">
        <v>108</v>
      </c>
      <c r="V74" s="120" t="s">
        <v>69</v>
      </c>
      <c r="W74" s="120" t="s">
        <v>69</v>
      </c>
      <c r="X74" s="120" t="s">
        <v>69</v>
      </c>
      <c r="Y74" s="120" t="s">
        <v>69</v>
      </c>
      <c r="Z74" s="120" t="s">
        <v>69</v>
      </c>
      <c r="AA74" s="120" t="s">
        <v>69</v>
      </c>
      <c r="AB74" s="427" t="s">
        <v>108</v>
      </c>
      <c r="AC74" s="120" t="s">
        <v>69</v>
      </c>
      <c r="AD74" s="120" t="s">
        <v>69</v>
      </c>
      <c r="AE74" s="120" t="s">
        <v>69</v>
      </c>
      <c r="AF74" s="120" t="s">
        <v>69</v>
      </c>
      <c r="AG74" s="120" t="s">
        <v>69</v>
      </c>
      <c r="AH74" s="120" t="s">
        <v>69</v>
      </c>
      <c r="AI74" s="427" t="s">
        <v>108</v>
      </c>
      <c r="AJ74" s="120" t="s">
        <v>69</v>
      </c>
      <c r="AK74" s="131" t="s">
        <v>72</v>
      </c>
      <c r="AL74">
        <f t="shared" si="5"/>
        <v>1</v>
      </c>
      <c r="AM74">
        <f t="shared" si="6"/>
        <v>1</v>
      </c>
      <c r="AN74">
        <f t="shared" si="7"/>
        <v>0</v>
      </c>
      <c r="AO74">
        <f t="shared" si="8"/>
        <v>0</v>
      </c>
      <c r="AP74">
        <f t="shared" si="9"/>
        <v>0</v>
      </c>
    </row>
    <row r="75" spans="1:42" ht="18">
      <c r="A75" s="5">
        <v>74</v>
      </c>
      <c r="B75" s="254" t="s">
        <v>55</v>
      </c>
      <c r="C75" s="452" t="s">
        <v>296</v>
      </c>
      <c r="D75" s="7"/>
      <c r="E75" s="7"/>
      <c r="F75" s="7"/>
      <c r="G75" s="433" t="s">
        <v>108</v>
      </c>
      <c r="H75" s="9" t="s">
        <v>69</v>
      </c>
      <c r="I75" s="9" t="s">
        <v>69</v>
      </c>
      <c r="J75" s="9" t="s">
        <v>69</v>
      </c>
      <c r="K75" s="9" t="s">
        <v>69</v>
      </c>
      <c r="L75" s="9" t="s">
        <v>69</v>
      </c>
      <c r="M75" s="9" t="s">
        <v>69</v>
      </c>
      <c r="N75" s="427" t="s">
        <v>108</v>
      </c>
      <c r="O75" s="120" t="s">
        <v>69</v>
      </c>
      <c r="P75" s="120" t="s">
        <v>69</v>
      </c>
      <c r="Q75" s="120" t="s">
        <v>69</v>
      </c>
      <c r="R75" s="120" t="s">
        <v>69</v>
      </c>
      <c r="S75" s="120" t="s">
        <v>69</v>
      </c>
      <c r="T75" s="120" t="s">
        <v>69</v>
      </c>
      <c r="U75" s="427" t="s">
        <v>108</v>
      </c>
      <c r="V75" s="120" t="s">
        <v>69</v>
      </c>
      <c r="W75" s="120" t="s">
        <v>69</v>
      </c>
      <c r="X75" s="120" t="s">
        <v>69</v>
      </c>
      <c r="Y75" s="120" t="s">
        <v>69</v>
      </c>
      <c r="Z75" s="120" t="s">
        <v>69</v>
      </c>
      <c r="AA75" s="276" t="s">
        <v>111</v>
      </c>
      <c r="AB75" s="427" t="s">
        <v>108</v>
      </c>
      <c r="AC75" s="120" t="s">
        <v>69</v>
      </c>
      <c r="AD75" s="120" t="s">
        <v>69</v>
      </c>
      <c r="AE75" s="120" t="s">
        <v>69</v>
      </c>
      <c r="AF75" s="120" t="s">
        <v>69</v>
      </c>
      <c r="AG75" s="120" t="s">
        <v>69</v>
      </c>
      <c r="AH75" s="120" t="s">
        <v>69</v>
      </c>
      <c r="AI75" s="427" t="s">
        <v>108</v>
      </c>
      <c r="AJ75" s="120" t="s">
        <v>69</v>
      </c>
      <c r="AK75" s="120" t="s">
        <v>69</v>
      </c>
      <c r="AL75">
        <f t="shared" si="5"/>
        <v>0</v>
      </c>
      <c r="AM75">
        <f t="shared" si="6"/>
        <v>1</v>
      </c>
      <c r="AN75">
        <f t="shared" si="7"/>
        <v>0</v>
      </c>
      <c r="AO75">
        <f t="shared" si="8"/>
        <v>0</v>
      </c>
      <c r="AP75">
        <f t="shared" si="9"/>
        <v>0</v>
      </c>
    </row>
    <row r="76" spans="1:42" ht="18">
      <c r="A76" s="5">
        <v>75</v>
      </c>
      <c r="B76" s="186" t="s">
        <v>233</v>
      </c>
      <c r="C76" s="450" t="s">
        <v>303</v>
      </c>
      <c r="D76" s="7"/>
      <c r="E76" s="7"/>
      <c r="F76" s="7"/>
      <c r="G76" s="433" t="s">
        <v>108</v>
      </c>
      <c r="H76" s="9" t="s">
        <v>69</v>
      </c>
      <c r="I76" s="9" t="s">
        <v>69</v>
      </c>
      <c r="J76" s="9" t="s">
        <v>69</v>
      </c>
      <c r="K76" s="9" t="s">
        <v>69</v>
      </c>
      <c r="L76" s="9" t="s">
        <v>69</v>
      </c>
      <c r="M76" s="9" t="s">
        <v>69</v>
      </c>
      <c r="N76" s="427" t="s">
        <v>108</v>
      </c>
      <c r="O76" s="120" t="s">
        <v>69</v>
      </c>
      <c r="P76" s="120" t="s">
        <v>69</v>
      </c>
      <c r="Q76" s="120" t="s">
        <v>69</v>
      </c>
      <c r="R76" s="120" t="s">
        <v>69</v>
      </c>
      <c r="S76" s="120" t="s">
        <v>69</v>
      </c>
      <c r="T76" s="120" t="s">
        <v>69</v>
      </c>
      <c r="U76" s="427" t="s">
        <v>108</v>
      </c>
      <c r="V76" s="120" t="s">
        <v>69</v>
      </c>
      <c r="W76" s="120" t="s">
        <v>69</v>
      </c>
      <c r="X76" s="120" t="s">
        <v>69</v>
      </c>
      <c r="Y76" s="120" t="s">
        <v>69</v>
      </c>
      <c r="Z76" s="120" t="s">
        <v>69</v>
      </c>
      <c r="AA76" s="276" t="s">
        <v>111</v>
      </c>
      <c r="AB76" s="427" t="s">
        <v>108</v>
      </c>
      <c r="AC76" s="120" t="s">
        <v>69</v>
      </c>
      <c r="AD76" s="120" t="s">
        <v>69</v>
      </c>
      <c r="AE76" s="120" t="s">
        <v>69</v>
      </c>
      <c r="AF76" s="120" t="s">
        <v>69</v>
      </c>
      <c r="AG76" s="120" t="s">
        <v>69</v>
      </c>
      <c r="AH76" s="120" t="s">
        <v>69</v>
      </c>
      <c r="AI76" s="427" t="s">
        <v>108</v>
      </c>
      <c r="AJ76" s="120" t="s">
        <v>69</v>
      </c>
      <c r="AK76" s="120" t="s">
        <v>69</v>
      </c>
      <c r="AL76">
        <f t="shared" si="5"/>
        <v>0</v>
      </c>
      <c r="AM76">
        <f t="shared" si="6"/>
        <v>1</v>
      </c>
      <c r="AN76">
        <f t="shared" si="7"/>
        <v>0</v>
      </c>
      <c r="AO76">
        <f t="shared" si="8"/>
        <v>0</v>
      </c>
      <c r="AP76">
        <f t="shared" si="9"/>
        <v>0</v>
      </c>
    </row>
    <row r="77" spans="1:42" ht="18">
      <c r="A77" s="5">
        <v>76</v>
      </c>
      <c r="B77" s="254" t="s">
        <v>57</v>
      </c>
      <c r="C77" s="452" t="s">
        <v>289</v>
      </c>
      <c r="D77" s="7"/>
      <c r="E77" s="7"/>
      <c r="F77" s="7"/>
      <c r="G77" s="433" t="s">
        <v>108</v>
      </c>
      <c r="H77" s="9" t="s">
        <v>69</v>
      </c>
      <c r="I77" s="9" t="s">
        <v>69</v>
      </c>
      <c r="J77" s="9" t="s">
        <v>111</v>
      </c>
      <c r="K77" s="9" t="s">
        <v>69</v>
      </c>
      <c r="L77" s="9" t="s">
        <v>69</v>
      </c>
      <c r="M77" s="63" t="s">
        <v>72</v>
      </c>
      <c r="N77" s="427" t="s">
        <v>108</v>
      </c>
      <c r="O77" s="120" t="s">
        <v>69</v>
      </c>
      <c r="P77" s="120" t="s">
        <v>69</v>
      </c>
      <c r="Q77" s="120" t="s">
        <v>69</v>
      </c>
      <c r="R77" s="120" t="s">
        <v>69</v>
      </c>
      <c r="S77" s="120" t="s">
        <v>69</v>
      </c>
      <c r="T77" s="120" t="s">
        <v>69</v>
      </c>
      <c r="U77" s="427" t="s">
        <v>108</v>
      </c>
      <c r="V77" s="120" t="s">
        <v>69</v>
      </c>
      <c r="W77" s="120" t="s">
        <v>69</v>
      </c>
      <c r="X77" s="120" t="s">
        <v>69</v>
      </c>
      <c r="Y77" s="131" t="s">
        <v>72</v>
      </c>
      <c r="Z77" s="131" t="s">
        <v>72</v>
      </c>
      <c r="AA77" s="276" t="s">
        <v>111</v>
      </c>
      <c r="AB77" s="427" t="s">
        <v>108</v>
      </c>
      <c r="AC77" s="121" t="s">
        <v>72</v>
      </c>
      <c r="AD77" s="120" t="s">
        <v>69</v>
      </c>
      <c r="AE77" s="120" t="s">
        <v>69</v>
      </c>
      <c r="AF77" s="120" t="s">
        <v>69</v>
      </c>
      <c r="AG77" s="120" t="s">
        <v>69</v>
      </c>
      <c r="AH77" s="120" t="s">
        <v>69</v>
      </c>
      <c r="AI77" s="427" t="s">
        <v>108</v>
      </c>
      <c r="AJ77" s="120" t="s">
        <v>69</v>
      </c>
      <c r="AK77" s="120" t="s">
        <v>69</v>
      </c>
      <c r="AL77">
        <f t="shared" si="5"/>
        <v>4</v>
      </c>
      <c r="AM77">
        <f t="shared" si="6"/>
        <v>2</v>
      </c>
      <c r="AN77">
        <f t="shared" si="7"/>
        <v>0</v>
      </c>
      <c r="AO77">
        <f t="shared" si="8"/>
        <v>0</v>
      </c>
      <c r="AP77">
        <f t="shared" si="9"/>
        <v>0</v>
      </c>
    </row>
    <row r="78" spans="1:42" ht="18">
      <c r="A78" s="5">
        <v>77</v>
      </c>
      <c r="B78" s="254" t="s">
        <v>263</v>
      </c>
      <c r="C78" s="452" t="s">
        <v>286</v>
      </c>
      <c r="D78" s="7"/>
      <c r="E78" s="7"/>
      <c r="F78" s="7"/>
      <c r="G78" s="433" t="s">
        <v>108</v>
      </c>
      <c r="H78" s="9" t="s">
        <v>69</v>
      </c>
      <c r="I78" s="63" t="s">
        <v>72</v>
      </c>
      <c r="J78" s="9" t="s">
        <v>111</v>
      </c>
      <c r="K78" s="9" t="s">
        <v>69</v>
      </c>
      <c r="L78" s="9" t="s">
        <v>69</v>
      </c>
      <c r="M78" s="9" t="s">
        <v>69</v>
      </c>
      <c r="N78" s="427" t="s">
        <v>108</v>
      </c>
      <c r="O78" s="131" t="s">
        <v>72</v>
      </c>
      <c r="P78" s="120" t="s">
        <v>69</v>
      </c>
      <c r="Q78" s="120" t="s">
        <v>69</v>
      </c>
      <c r="R78" s="120" t="s">
        <v>69</v>
      </c>
      <c r="S78" s="120" t="s">
        <v>69</v>
      </c>
      <c r="T78" s="120" t="s">
        <v>69</v>
      </c>
      <c r="U78" s="427" t="s">
        <v>108</v>
      </c>
      <c r="V78" s="120" t="s">
        <v>69</v>
      </c>
      <c r="W78" s="120" t="s">
        <v>69</v>
      </c>
      <c r="X78" s="121" t="s">
        <v>72</v>
      </c>
      <c r="Y78" s="120" t="s">
        <v>69</v>
      </c>
      <c r="Z78" s="120" t="s">
        <v>69</v>
      </c>
      <c r="AA78" s="276" t="s">
        <v>111</v>
      </c>
      <c r="AB78" s="427" t="s">
        <v>108</v>
      </c>
      <c r="AC78" s="132" t="s">
        <v>94</v>
      </c>
      <c r="AD78" s="120" t="s">
        <v>69</v>
      </c>
      <c r="AE78" s="120" t="s">
        <v>69</v>
      </c>
      <c r="AF78" s="120" t="s">
        <v>69</v>
      </c>
      <c r="AG78" s="120" t="s">
        <v>69</v>
      </c>
      <c r="AH78" s="131" t="s">
        <v>72</v>
      </c>
      <c r="AI78" s="427" t="s">
        <v>108</v>
      </c>
      <c r="AJ78" s="131" t="s">
        <v>72</v>
      </c>
      <c r="AK78" s="120" t="s">
        <v>69</v>
      </c>
      <c r="AL78">
        <f t="shared" si="5"/>
        <v>5</v>
      </c>
      <c r="AM78">
        <f t="shared" si="6"/>
        <v>2</v>
      </c>
      <c r="AN78">
        <f t="shared" si="7"/>
        <v>0</v>
      </c>
      <c r="AO78">
        <f t="shared" si="8"/>
        <v>0</v>
      </c>
      <c r="AP78">
        <f t="shared" si="9"/>
        <v>0</v>
      </c>
    </row>
    <row r="79" spans="1:42" ht="18">
      <c r="A79" s="5">
        <v>78</v>
      </c>
      <c r="B79" s="254" t="s">
        <v>248</v>
      </c>
      <c r="C79" s="459" t="s">
        <v>133</v>
      </c>
      <c r="D79" s="7"/>
      <c r="E79" s="7"/>
      <c r="F79" s="7"/>
      <c r="G79" s="433" t="s">
        <v>108</v>
      </c>
      <c r="H79" s="9" t="s">
        <v>69</v>
      </c>
      <c r="I79" s="9" t="s">
        <v>69</v>
      </c>
      <c r="J79" s="9" t="s">
        <v>111</v>
      </c>
      <c r="K79" s="9" t="s">
        <v>69</v>
      </c>
      <c r="L79" s="9" t="s">
        <v>69</v>
      </c>
      <c r="M79" s="63" t="s">
        <v>72</v>
      </c>
      <c r="N79" s="427" t="s">
        <v>108</v>
      </c>
      <c r="O79" s="120" t="s">
        <v>69</v>
      </c>
      <c r="P79" s="120" t="s">
        <v>69</v>
      </c>
      <c r="Q79" s="120" t="s">
        <v>69</v>
      </c>
      <c r="R79" s="120" t="s">
        <v>69</v>
      </c>
      <c r="S79" s="120" t="s">
        <v>69</v>
      </c>
      <c r="T79" s="131" t="s">
        <v>72</v>
      </c>
      <c r="U79" s="427" t="s">
        <v>108</v>
      </c>
      <c r="V79" s="120" t="s">
        <v>69</v>
      </c>
      <c r="W79" s="120" t="s">
        <v>69</v>
      </c>
      <c r="X79" s="120" t="s">
        <v>69</v>
      </c>
      <c r="Y79" s="120" t="s">
        <v>69</v>
      </c>
      <c r="Z79" s="120" t="s">
        <v>69</v>
      </c>
      <c r="AA79" s="276" t="s">
        <v>111</v>
      </c>
      <c r="AB79" s="427" t="s">
        <v>108</v>
      </c>
      <c r="AC79" s="120" t="s">
        <v>69</v>
      </c>
      <c r="AD79" s="120" t="s">
        <v>69</v>
      </c>
      <c r="AE79" s="120" t="s">
        <v>69</v>
      </c>
      <c r="AF79" s="120" t="s">
        <v>69</v>
      </c>
      <c r="AG79" s="120" t="s">
        <v>69</v>
      </c>
      <c r="AH79" s="120" t="s">
        <v>69</v>
      </c>
      <c r="AI79" s="427" t="s">
        <v>108</v>
      </c>
      <c r="AJ79" s="120" t="s">
        <v>69</v>
      </c>
      <c r="AK79" s="120" t="s">
        <v>69</v>
      </c>
      <c r="AL79">
        <f t="shared" si="5"/>
        <v>2</v>
      </c>
      <c r="AM79">
        <f t="shared" si="6"/>
        <v>2</v>
      </c>
      <c r="AN79">
        <f t="shared" si="7"/>
        <v>0</v>
      </c>
      <c r="AO79">
        <f t="shared" si="8"/>
        <v>0</v>
      </c>
      <c r="AP79">
        <f t="shared" si="9"/>
        <v>0</v>
      </c>
    </row>
    <row r="80" spans="1:42" ht="18">
      <c r="A80" s="5">
        <v>79</v>
      </c>
      <c r="B80" s="186" t="s">
        <v>60</v>
      </c>
      <c r="C80" s="460" t="s">
        <v>301</v>
      </c>
      <c r="D80" s="7"/>
      <c r="E80" s="7"/>
      <c r="F80" s="7"/>
      <c r="G80" s="433" t="s">
        <v>108</v>
      </c>
      <c r="H80" s="9" t="s">
        <v>69</v>
      </c>
      <c r="I80" s="9" t="s">
        <v>69</v>
      </c>
      <c r="J80" s="9" t="s">
        <v>69</v>
      </c>
      <c r="K80" s="9" t="s">
        <v>69</v>
      </c>
      <c r="L80" s="9" t="s">
        <v>69</v>
      </c>
      <c r="M80" s="9" t="s">
        <v>69</v>
      </c>
      <c r="N80" s="427" t="s">
        <v>108</v>
      </c>
      <c r="O80" s="120" t="s">
        <v>69</v>
      </c>
      <c r="P80" s="120" t="s">
        <v>69</v>
      </c>
      <c r="Q80" s="131" t="s">
        <v>72</v>
      </c>
      <c r="R80" s="120" t="s">
        <v>69</v>
      </c>
      <c r="S80" s="131" t="s">
        <v>72</v>
      </c>
      <c r="T80" s="131" t="s">
        <v>72</v>
      </c>
      <c r="U80" s="427" t="s">
        <v>108</v>
      </c>
      <c r="V80" s="120" t="s">
        <v>69</v>
      </c>
      <c r="W80" s="120" t="s">
        <v>69</v>
      </c>
      <c r="X80" s="120" t="s">
        <v>69</v>
      </c>
      <c r="Y80" s="322" t="s">
        <v>111</v>
      </c>
      <c r="Z80" s="120" t="s">
        <v>69</v>
      </c>
      <c r="AA80" s="276" t="s">
        <v>111</v>
      </c>
      <c r="AB80" s="427" t="s">
        <v>108</v>
      </c>
      <c r="AC80" s="120" t="s">
        <v>69</v>
      </c>
      <c r="AD80" s="120" t="s">
        <v>69</v>
      </c>
      <c r="AE80" s="120" t="s">
        <v>69</v>
      </c>
      <c r="AF80" s="120" t="s">
        <v>69</v>
      </c>
      <c r="AG80" s="120" t="s">
        <v>69</v>
      </c>
      <c r="AH80" s="121" t="s">
        <v>72</v>
      </c>
      <c r="AI80" s="427" t="s">
        <v>108</v>
      </c>
      <c r="AJ80" s="120" t="s">
        <v>69</v>
      </c>
      <c r="AK80" s="120" t="s">
        <v>69</v>
      </c>
      <c r="AL80">
        <f t="shared" si="5"/>
        <v>4</v>
      </c>
      <c r="AM80">
        <f t="shared" si="6"/>
        <v>2</v>
      </c>
      <c r="AN80">
        <f t="shared" si="7"/>
        <v>0</v>
      </c>
      <c r="AO80">
        <f t="shared" si="8"/>
        <v>0</v>
      </c>
      <c r="AP80">
        <f t="shared" si="9"/>
        <v>0</v>
      </c>
    </row>
    <row r="81" spans="1:42" ht="18">
      <c r="A81" s="5">
        <v>80</v>
      </c>
      <c r="B81" s="186" t="s">
        <v>106</v>
      </c>
      <c r="C81" s="450" t="s">
        <v>306</v>
      </c>
      <c r="D81" s="7"/>
      <c r="E81" s="7"/>
      <c r="F81" s="7"/>
      <c r="G81" s="433" t="s">
        <v>108</v>
      </c>
      <c r="H81" s="9" t="s">
        <v>69</v>
      </c>
      <c r="I81" s="9" t="s">
        <v>111</v>
      </c>
      <c r="J81" s="9" t="s">
        <v>69</v>
      </c>
      <c r="K81" s="9" t="s">
        <v>69</v>
      </c>
      <c r="L81" s="9" t="s">
        <v>69</v>
      </c>
      <c r="M81" s="9" t="s">
        <v>69</v>
      </c>
      <c r="N81" s="427" t="s">
        <v>108</v>
      </c>
      <c r="O81" s="120" t="s">
        <v>69</v>
      </c>
      <c r="P81" s="120" t="s">
        <v>69</v>
      </c>
      <c r="Q81" s="120" t="s">
        <v>69</v>
      </c>
      <c r="R81" s="120" t="s">
        <v>69</v>
      </c>
      <c r="S81" s="120" t="s">
        <v>69</v>
      </c>
      <c r="T81" s="120" t="s">
        <v>69</v>
      </c>
      <c r="U81" s="427" t="s">
        <v>108</v>
      </c>
      <c r="V81" s="120" t="s">
        <v>69</v>
      </c>
      <c r="W81" s="120" t="s">
        <v>69</v>
      </c>
      <c r="X81" s="120" t="s">
        <v>69</v>
      </c>
      <c r="Y81" s="120" t="s">
        <v>69</v>
      </c>
      <c r="Z81" s="120" t="s">
        <v>69</v>
      </c>
      <c r="AA81" s="276" t="s">
        <v>111</v>
      </c>
      <c r="AB81" s="427" t="s">
        <v>108</v>
      </c>
      <c r="AC81" s="120" t="s">
        <v>69</v>
      </c>
      <c r="AD81" s="120" t="s">
        <v>69</v>
      </c>
      <c r="AE81" s="120" t="s">
        <v>69</v>
      </c>
      <c r="AF81" s="120" t="s">
        <v>69</v>
      </c>
      <c r="AG81" s="120" t="s">
        <v>69</v>
      </c>
      <c r="AH81" s="120" t="s">
        <v>69</v>
      </c>
      <c r="AI81" s="427" t="s">
        <v>108</v>
      </c>
      <c r="AJ81" s="120" t="s">
        <v>69</v>
      </c>
      <c r="AK81" s="120" t="s">
        <v>69</v>
      </c>
      <c r="AL81">
        <f t="shared" si="5"/>
        <v>0</v>
      </c>
      <c r="AM81">
        <f t="shared" si="6"/>
        <v>2</v>
      </c>
      <c r="AN81">
        <f t="shared" si="7"/>
        <v>0</v>
      </c>
      <c r="AO81">
        <f t="shared" si="8"/>
        <v>0</v>
      </c>
      <c r="AP81">
        <f t="shared" si="9"/>
        <v>0</v>
      </c>
    </row>
    <row r="82" spans="1:42" ht="18">
      <c r="A82" s="5">
        <v>81</v>
      </c>
      <c r="B82" s="254" t="s">
        <v>61</v>
      </c>
      <c r="C82" s="461" t="s">
        <v>296</v>
      </c>
      <c r="D82" s="7"/>
      <c r="E82" s="7"/>
      <c r="F82" s="7"/>
      <c r="G82" s="433" t="s">
        <v>108</v>
      </c>
      <c r="H82" s="9" t="s">
        <v>69</v>
      </c>
      <c r="I82" s="9" t="s">
        <v>69</v>
      </c>
      <c r="J82" s="9" t="s">
        <v>69</v>
      </c>
      <c r="K82" s="9" t="s">
        <v>69</v>
      </c>
      <c r="L82" s="9" t="s">
        <v>69</v>
      </c>
      <c r="M82" s="9" t="s">
        <v>69</v>
      </c>
      <c r="N82" s="427" t="s">
        <v>108</v>
      </c>
      <c r="O82" s="131" t="s">
        <v>72</v>
      </c>
      <c r="P82" s="120" t="s">
        <v>69</v>
      </c>
      <c r="Q82" s="120" t="s">
        <v>69</v>
      </c>
      <c r="R82" s="120" t="s">
        <v>69</v>
      </c>
      <c r="S82" s="120" t="s">
        <v>69</v>
      </c>
      <c r="T82" s="285" t="s">
        <v>267</v>
      </c>
      <c r="U82" s="427" t="s">
        <v>108</v>
      </c>
      <c r="V82" s="120" t="s">
        <v>69</v>
      </c>
      <c r="W82" s="120" t="s">
        <v>69</v>
      </c>
      <c r="X82" s="120" t="s">
        <v>69</v>
      </c>
      <c r="Y82" s="120" t="s">
        <v>69</v>
      </c>
      <c r="Z82" s="120" t="s">
        <v>69</v>
      </c>
      <c r="AA82" s="276" t="s">
        <v>111</v>
      </c>
      <c r="AB82" s="427" t="s">
        <v>108</v>
      </c>
      <c r="AC82" s="120" t="s">
        <v>69</v>
      </c>
      <c r="AD82" s="120" t="s">
        <v>69</v>
      </c>
      <c r="AE82" s="120" t="s">
        <v>69</v>
      </c>
      <c r="AF82" s="120" t="s">
        <v>69</v>
      </c>
      <c r="AG82" s="120" t="s">
        <v>69</v>
      </c>
      <c r="AH82" s="120" t="s">
        <v>69</v>
      </c>
      <c r="AI82" s="427" t="s">
        <v>108</v>
      </c>
      <c r="AJ82" s="120" t="s">
        <v>69</v>
      </c>
      <c r="AK82" s="120" t="s">
        <v>69</v>
      </c>
      <c r="AL82">
        <f t="shared" si="5"/>
        <v>1</v>
      </c>
      <c r="AM82">
        <f t="shared" si="6"/>
        <v>1</v>
      </c>
      <c r="AN82">
        <f t="shared" si="7"/>
        <v>0</v>
      </c>
      <c r="AO82">
        <f t="shared" si="8"/>
        <v>0</v>
      </c>
      <c r="AP82">
        <f t="shared" si="9"/>
        <v>1</v>
      </c>
    </row>
    <row r="83" spans="1:42" ht="18">
      <c r="A83" s="5">
        <v>82</v>
      </c>
      <c r="B83" s="254" t="s">
        <v>62</v>
      </c>
      <c r="C83" s="452" t="s">
        <v>284</v>
      </c>
      <c r="D83" s="7"/>
      <c r="E83" s="7"/>
      <c r="F83" s="441"/>
      <c r="G83" s="442" t="s">
        <v>108</v>
      </c>
      <c r="H83" s="343" t="s">
        <v>72</v>
      </c>
      <c r="I83" s="116" t="s">
        <v>111</v>
      </c>
      <c r="J83" s="116" t="s">
        <v>69</v>
      </c>
      <c r="K83" s="116" t="s">
        <v>69</v>
      </c>
      <c r="L83" s="116" t="s">
        <v>69</v>
      </c>
      <c r="M83" s="116" t="s">
        <v>69</v>
      </c>
      <c r="N83" s="443" t="s">
        <v>108</v>
      </c>
      <c r="O83" s="157" t="s">
        <v>69</v>
      </c>
      <c r="P83" s="157" t="s">
        <v>69</v>
      </c>
      <c r="Q83" s="157" t="s">
        <v>69</v>
      </c>
      <c r="R83" s="157" t="s">
        <v>69</v>
      </c>
      <c r="S83" s="157" t="s">
        <v>69</v>
      </c>
      <c r="T83" s="157" t="s">
        <v>69</v>
      </c>
      <c r="U83" s="443" t="s">
        <v>108</v>
      </c>
      <c r="V83" s="120" t="s">
        <v>69</v>
      </c>
      <c r="W83" s="120" t="s">
        <v>69</v>
      </c>
      <c r="X83" s="120" t="s">
        <v>69</v>
      </c>
      <c r="Y83" s="120" t="s">
        <v>69</v>
      </c>
      <c r="Z83" s="204" t="s">
        <v>72</v>
      </c>
      <c r="AA83" s="157" t="s">
        <v>69</v>
      </c>
      <c r="AB83" s="443" t="s">
        <v>108</v>
      </c>
      <c r="AC83" s="157" t="s">
        <v>69</v>
      </c>
      <c r="AD83" s="157" t="s">
        <v>69</v>
      </c>
      <c r="AE83" s="157" t="s">
        <v>69</v>
      </c>
      <c r="AF83" s="157" t="s">
        <v>69</v>
      </c>
      <c r="AG83" s="157" t="s">
        <v>69</v>
      </c>
      <c r="AH83" s="157" t="s">
        <v>69</v>
      </c>
      <c r="AI83" s="427" t="s">
        <v>108</v>
      </c>
      <c r="AJ83" s="204" t="s">
        <v>72</v>
      </c>
      <c r="AK83" s="157" t="s">
        <v>69</v>
      </c>
      <c r="AL83">
        <f t="shared" si="5"/>
        <v>3</v>
      </c>
      <c r="AM83">
        <f t="shared" si="6"/>
        <v>1</v>
      </c>
      <c r="AN83">
        <f t="shared" si="7"/>
        <v>0</v>
      </c>
      <c r="AO83">
        <f t="shared" si="8"/>
        <v>0</v>
      </c>
      <c r="AP83">
        <f t="shared" si="9"/>
        <v>0</v>
      </c>
    </row>
    <row r="84" spans="1:42" ht="18">
      <c r="A84" s="5">
        <v>82</v>
      </c>
      <c r="B84" s="440" t="s">
        <v>307</v>
      </c>
      <c r="C84" s="449"/>
      <c r="F84" s="7"/>
      <c r="G84" s="427" t="s">
        <v>108</v>
      </c>
      <c r="H84" s="343" t="s">
        <v>72</v>
      </c>
      <c r="I84" s="343" t="s">
        <v>72</v>
      </c>
      <c r="J84" s="343" t="s">
        <v>72</v>
      </c>
      <c r="K84" s="343" t="s">
        <v>72</v>
      </c>
      <c r="L84" s="343" t="s">
        <v>72</v>
      </c>
      <c r="M84" s="343" t="s">
        <v>72</v>
      </c>
      <c r="N84" s="433" t="s">
        <v>108</v>
      </c>
      <c r="O84" s="120" t="s">
        <v>69</v>
      </c>
      <c r="P84" s="120" t="s">
        <v>69</v>
      </c>
      <c r="Q84" s="120" t="s">
        <v>69</v>
      </c>
      <c r="R84" s="120" t="s">
        <v>69</v>
      </c>
      <c r="S84" s="120" t="s">
        <v>69</v>
      </c>
      <c r="T84" s="120" t="s">
        <v>69</v>
      </c>
      <c r="U84" s="427" t="s">
        <v>108</v>
      </c>
      <c r="V84" s="120" t="s">
        <v>69</v>
      </c>
      <c r="W84" s="120" t="s">
        <v>69</v>
      </c>
      <c r="X84" s="120" t="s">
        <v>69</v>
      </c>
      <c r="Y84" s="120" t="s">
        <v>69</v>
      </c>
      <c r="Z84" s="120" t="s">
        <v>69</v>
      </c>
      <c r="AA84" s="120" t="s">
        <v>69</v>
      </c>
      <c r="AB84" s="427" t="s">
        <v>108</v>
      </c>
      <c r="AC84" s="120" t="s">
        <v>69</v>
      </c>
      <c r="AD84" s="120" t="s">
        <v>69</v>
      </c>
      <c r="AE84" s="120" t="s">
        <v>69</v>
      </c>
      <c r="AF84" s="120" t="s">
        <v>69</v>
      </c>
      <c r="AG84" s="120" t="s">
        <v>69</v>
      </c>
      <c r="AH84" s="120" t="s">
        <v>69</v>
      </c>
      <c r="AI84" s="427" t="s">
        <v>108</v>
      </c>
      <c r="AJ84" s="120" t="s">
        <v>69</v>
      </c>
      <c r="AK84" s="120" t="s">
        <v>69</v>
      </c>
      <c r="AL84">
        <f t="shared" si="5"/>
        <v>6</v>
      </c>
      <c r="AM84">
        <f t="shared" si="6"/>
        <v>0</v>
      </c>
      <c r="AN84">
        <f t="shared" si="7"/>
        <v>0</v>
      </c>
      <c r="AO84">
        <f t="shared" si="8"/>
        <v>0</v>
      </c>
      <c r="AP84">
        <f t="shared" si="9"/>
        <v>0</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93811-CA53-4832-98BA-BB10CC67EE2A}">
  <dimension ref="A1:AP83"/>
  <sheetViews>
    <sheetView workbookViewId="0">
      <pane xSplit="3" ySplit="1" topLeftCell="D2" activePane="bottomRight" state="frozen"/>
      <selection pane="topRight"/>
      <selection pane="bottomLeft"/>
      <selection pane="bottomRight" activeCell="D2" sqref="D2"/>
    </sheetView>
  </sheetViews>
  <sheetFormatPr defaultRowHeight="14.25"/>
  <cols>
    <col min="2" max="2" width="23.1328125" customWidth="1"/>
    <col min="3" max="3" width="41.59765625" customWidth="1"/>
    <col min="4" max="4" width="26.59765625" customWidth="1"/>
  </cols>
  <sheetData>
    <row r="1" spans="1:42" ht="18">
      <c r="A1" s="29" t="s">
        <v>64</v>
      </c>
      <c r="B1" s="29" t="s">
        <v>308</v>
      </c>
      <c r="C1" s="29" t="s">
        <v>309</v>
      </c>
      <c r="D1" s="29" t="s">
        <v>278</v>
      </c>
      <c r="E1" s="336" t="s">
        <v>68</v>
      </c>
      <c r="F1" s="336" t="s">
        <v>66</v>
      </c>
      <c r="G1" s="336" t="s">
        <v>67</v>
      </c>
      <c r="H1" s="165">
        <v>1</v>
      </c>
      <c r="I1" s="165">
        <v>2</v>
      </c>
      <c r="J1" s="165">
        <v>3</v>
      </c>
      <c r="K1" s="165">
        <v>4</v>
      </c>
      <c r="L1" s="165">
        <v>5</v>
      </c>
      <c r="M1" s="165">
        <v>6</v>
      </c>
      <c r="N1" s="165">
        <v>7</v>
      </c>
      <c r="O1" s="122">
        <v>8</v>
      </c>
      <c r="P1" s="165">
        <v>9</v>
      </c>
      <c r="Q1" s="165">
        <v>10</v>
      </c>
      <c r="R1" s="165">
        <v>11</v>
      </c>
      <c r="S1" s="165">
        <v>12</v>
      </c>
      <c r="T1" s="165">
        <v>13</v>
      </c>
      <c r="U1" s="165">
        <v>14</v>
      </c>
      <c r="V1" s="165">
        <v>15</v>
      </c>
      <c r="W1" s="165">
        <v>16</v>
      </c>
      <c r="X1" s="165">
        <v>17</v>
      </c>
      <c r="Y1" s="165">
        <v>18</v>
      </c>
      <c r="Z1" s="165">
        <v>19</v>
      </c>
      <c r="AA1" s="165">
        <v>20</v>
      </c>
      <c r="AB1" s="165">
        <v>21</v>
      </c>
      <c r="AC1" s="165">
        <v>22</v>
      </c>
      <c r="AD1" s="165">
        <v>23</v>
      </c>
      <c r="AE1" s="165">
        <v>24</v>
      </c>
      <c r="AF1" s="165">
        <v>25</v>
      </c>
      <c r="AG1" s="165">
        <v>26</v>
      </c>
      <c r="AH1" s="165">
        <v>27</v>
      </c>
      <c r="AI1" s="165">
        <v>28</v>
      </c>
      <c r="AJ1" s="166">
        <v>29</v>
      </c>
      <c r="AK1" s="360">
        <v>30</v>
      </c>
      <c r="AL1" t="s">
        <v>279</v>
      </c>
      <c r="AM1" t="s">
        <v>280</v>
      </c>
      <c r="AN1" t="s">
        <v>281</v>
      </c>
      <c r="AO1" t="s">
        <v>282</v>
      </c>
      <c r="AP1" t="s">
        <v>283</v>
      </c>
    </row>
    <row r="2" spans="1:42" ht="18">
      <c r="A2" s="5">
        <v>54</v>
      </c>
      <c r="B2" s="475" t="s">
        <v>310</v>
      </c>
      <c r="C2" s="254" t="s">
        <v>42</v>
      </c>
      <c r="D2" s="450" t="s">
        <v>291</v>
      </c>
      <c r="E2" s="7"/>
      <c r="F2" s="7"/>
      <c r="G2" s="7"/>
      <c r="H2" s="153" t="s">
        <v>72</v>
      </c>
      <c r="I2" s="168" t="s">
        <v>69</v>
      </c>
      <c r="J2" s="171" t="s">
        <v>69</v>
      </c>
      <c r="K2" s="134" t="s">
        <v>69</v>
      </c>
      <c r="L2" s="464" t="s">
        <v>108</v>
      </c>
      <c r="M2" s="120" t="s">
        <v>69</v>
      </c>
      <c r="N2" s="25" t="s">
        <v>72</v>
      </c>
      <c r="O2" s="672" t="s">
        <v>69</v>
      </c>
      <c r="P2" s="672" t="s">
        <v>69</v>
      </c>
      <c r="Q2" s="675" t="s">
        <v>69</v>
      </c>
      <c r="R2" s="676" t="s">
        <v>69</v>
      </c>
      <c r="S2" s="329" t="s">
        <v>108</v>
      </c>
      <c r="T2" s="120" t="s">
        <v>69</v>
      </c>
      <c r="U2" s="120" t="s">
        <v>69</v>
      </c>
      <c r="V2" s="134" t="s">
        <v>69</v>
      </c>
      <c r="W2" s="134" t="s">
        <v>69</v>
      </c>
      <c r="X2" s="120" t="s">
        <v>69</v>
      </c>
      <c r="Y2" s="120" t="s">
        <v>69</v>
      </c>
      <c r="Z2" s="329" t="s">
        <v>108</v>
      </c>
      <c r="AA2" s="120" t="s">
        <v>69</v>
      </c>
      <c r="AB2" s="120" t="s">
        <v>69</v>
      </c>
      <c r="AC2" s="134" t="s">
        <v>69</v>
      </c>
      <c r="AD2" s="121" t="s">
        <v>72</v>
      </c>
      <c r="AE2" s="120" t="s">
        <v>69</v>
      </c>
      <c r="AF2" s="120" t="s">
        <v>69</v>
      </c>
      <c r="AG2" s="329" t="s">
        <v>108</v>
      </c>
      <c r="AH2" s="120" t="s">
        <v>69</v>
      </c>
      <c r="AI2" s="120" t="s">
        <v>69</v>
      </c>
      <c r="AJ2" s="120" t="s">
        <v>69</v>
      </c>
      <c r="AK2" s="120" t="s">
        <v>69</v>
      </c>
      <c r="AL2">
        <f t="shared" ref="AL2:AL33" si="0">COUNTIF(H2:AK2, "AB")</f>
        <v>3</v>
      </c>
      <c r="AM2">
        <f t="shared" ref="AM2:AM33" si="1">COUNTIF(H2:AK2, "CL")</f>
        <v>0</v>
      </c>
      <c r="AN2">
        <f t="shared" ref="AN2:AN33" si="2">COUNTIF(H2:AK2, "H.D")</f>
        <v>0</v>
      </c>
      <c r="AO2">
        <f t="shared" ref="AO2:AO33" si="3">COUNTIF(H2:AK2, "CO")</f>
        <v>0</v>
      </c>
      <c r="AP2">
        <f t="shared" ref="AP2:AP33" si="4">COUNTIF(H2:AK2, "SL")</f>
        <v>0</v>
      </c>
    </row>
    <row r="3" spans="1:42" ht="18">
      <c r="A3" s="5">
        <v>67</v>
      </c>
      <c r="B3" s="476" t="s">
        <v>311</v>
      </c>
      <c r="C3" s="254" t="s">
        <v>53</v>
      </c>
      <c r="D3" s="451" t="s">
        <v>291</v>
      </c>
      <c r="E3" s="7"/>
      <c r="F3" s="7"/>
      <c r="G3" s="7"/>
      <c r="H3" s="239" t="s">
        <v>69</v>
      </c>
      <c r="I3" s="134" t="s">
        <v>69</v>
      </c>
      <c r="J3" s="144" t="s">
        <v>72</v>
      </c>
      <c r="K3" s="435" t="s">
        <v>69</v>
      </c>
      <c r="L3" s="464" t="s">
        <v>108</v>
      </c>
      <c r="M3" s="495" t="s">
        <v>94</v>
      </c>
      <c r="N3" s="104" t="s">
        <v>69</v>
      </c>
      <c r="O3" s="104" t="s">
        <v>69</v>
      </c>
      <c r="P3" s="131" t="s">
        <v>72</v>
      </c>
      <c r="Q3" s="140" t="s">
        <v>69</v>
      </c>
      <c r="R3" s="120" t="s">
        <v>69</v>
      </c>
      <c r="S3" s="469" t="s">
        <v>108</v>
      </c>
      <c r="T3" s="120" t="s">
        <v>69</v>
      </c>
      <c r="U3" s="120" t="s">
        <v>69</v>
      </c>
      <c r="V3" s="672" t="s">
        <v>69</v>
      </c>
      <c r="W3" s="672" t="s">
        <v>69</v>
      </c>
      <c r="X3" s="120" t="s">
        <v>69</v>
      </c>
      <c r="Y3" s="120" t="s">
        <v>69</v>
      </c>
      <c r="Z3" s="329" t="s">
        <v>108</v>
      </c>
      <c r="AA3" s="131" t="s">
        <v>72</v>
      </c>
      <c r="AB3" s="131" t="s">
        <v>72</v>
      </c>
      <c r="AC3" s="134" t="s">
        <v>69</v>
      </c>
      <c r="AD3" s="121" t="s">
        <v>72</v>
      </c>
      <c r="AE3" s="120" t="s">
        <v>69</v>
      </c>
      <c r="AF3" s="120" t="s">
        <v>69</v>
      </c>
      <c r="AG3" s="329" t="s">
        <v>108</v>
      </c>
      <c r="AH3" s="134" t="s">
        <v>69</v>
      </c>
      <c r="AI3" s="120" t="s">
        <v>69</v>
      </c>
      <c r="AJ3" s="120" t="s">
        <v>69</v>
      </c>
      <c r="AK3" s="120" t="s">
        <v>69</v>
      </c>
      <c r="AL3">
        <f t="shared" si="0"/>
        <v>5</v>
      </c>
      <c r="AM3">
        <f t="shared" si="1"/>
        <v>0</v>
      </c>
      <c r="AN3">
        <f t="shared" si="2"/>
        <v>0</v>
      </c>
      <c r="AO3">
        <f t="shared" si="3"/>
        <v>0</v>
      </c>
      <c r="AP3">
        <f t="shared" si="4"/>
        <v>0</v>
      </c>
    </row>
    <row r="4" spans="1:42" ht="18">
      <c r="A4" s="5">
        <v>16</v>
      </c>
      <c r="B4" s="476" t="s">
        <v>312</v>
      </c>
      <c r="C4" s="254" t="s">
        <v>17</v>
      </c>
      <c r="D4" s="451" t="s">
        <v>291</v>
      </c>
      <c r="E4" s="7"/>
      <c r="F4" s="7"/>
      <c r="G4" s="7"/>
      <c r="H4" s="239" t="s">
        <v>69</v>
      </c>
      <c r="I4" s="134" t="s">
        <v>69</v>
      </c>
      <c r="J4" s="134" t="s">
        <v>69</v>
      </c>
      <c r="K4" s="134" t="s">
        <v>69</v>
      </c>
      <c r="L4" s="464" t="s">
        <v>108</v>
      </c>
      <c r="M4" s="120" t="s">
        <v>69</v>
      </c>
      <c r="N4" s="120" t="s">
        <v>69</v>
      </c>
      <c r="O4" s="120" t="s">
        <v>69</v>
      </c>
      <c r="P4" s="120" t="s">
        <v>69</v>
      </c>
      <c r="Q4" s="120" t="s">
        <v>69</v>
      </c>
      <c r="R4" s="149" t="s">
        <v>69</v>
      </c>
      <c r="S4" s="329" t="s">
        <v>108</v>
      </c>
      <c r="T4" s="120" t="s">
        <v>69</v>
      </c>
      <c r="U4" s="120" t="s">
        <v>69</v>
      </c>
      <c r="V4" s="134" t="s">
        <v>69</v>
      </c>
      <c r="W4" s="131" t="s">
        <v>72</v>
      </c>
      <c r="X4" s="120" t="s">
        <v>69</v>
      </c>
      <c r="Y4" s="120" t="s">
        <v>69</v>
      </c>
      <c r="Z4" s="329" t="s">
        <v>108</v>
      </c>
      <c r="AA4" s="121" t="s">
        <v>72</v>
      </c>
      <c r="AB4" s="121" t="s">
        <v>72</v>
      </c>
      <c r="AC4" s="121" t="s">
        <v>72</v>
      </c>
      <c r="AD4" s="121" t="s">
        <v>72</v>
      </c>
      <c r="AE4" s="120" t="s">
        <v>69</v>
      </c>
      <c r="AF4" s="120" t="s">
        <v>69</v>
      </c>
      <c r="AG4" s="329" t="s">
        <v>108</v>
      </c>
      <c r="AH4" s="120" t="s">
        <v>69</v>
      </c>
      <c r="AI4" s="120" t="s">
        <v>69</v>
      </c>
      <c r="AJ4" s="672" t="s">
        <v>69</v>
      </c>
      <c r="AK4" s="134" t="s">
        <v>69</v>
      </c>
      <c r="AL4">
        <f t="shared" si="0"/>
        <v>5</v>
      </c>
      <c r="AM4">
        <f t="shared" si="1"/>
        <v>0</v>
      </c>
      <c r="AN4">
        <f t="shared" si="2"/>
        <v>0</v>
      </c>
      <c r="AO4">
        <f t="shared" si="3"/>
        <v>0</v>
      </c>
      <c r="AP4">
        <f t="shared" si="4"/>
        <v>0</v>
      </c>
    </row>
    <row r="5" spans="1:42" ht="18">
      <c r="A5" s="5">
        <v>3</v>
      </c>
      <c r="B5" s="476" t="s">
        <v>313</v>
      </c>
      <c r="C5" s="254" t="s">
        <v>7</v>
      </c>
      <c r="D5" s="452" t="s">
        <v>286</v>
      </c>
      <c r="E5" s="7"/>
      <c r="F5" s="7"/>
      <c r="G5" s="7"/>
      <c r="H5" s="239" t="s">
        <v>69</v>
      </c>
      <c r="I5" s="272" t="s">
        <v>69</v>
      </c>
      <c r="J5" s="200" t="s">
        <v>69</v>
      </c>
      <c r="K5" s="200" t="s">
        <v>69</v>
      </c>
      <c r="L5" s="464" t="s">
        <v>108</v>
      </c>
      <c r="M5" s="120" t="s">
        <v>69</v>
      </c>
      <c r="N5" s="120" t="s">
        <v>69</v>
      </c>
      <c r="O5" s="120" t="s">
        <v>69</v>
      </c>
      <c r="P5" s="120" t="s">
        <v>69</v>
      </c>
      <c r="Q5" s="120" t="s">
        <v>69</v>
      </c>
      <c r="R5" s="120" t="s">
        <v>69</v>
      </c>
      <c r="S5" s="469" t="s">
        <v>108</v>
      </c>
      <c r="T5" s="120" t="s">
        <v>69</v>
      </c>
      <c r="U5" s="120" t="s">
        <v>69</v>
      </c>
      <c r="V5" s="134" t="s">
        <v>69</v>
      </c>
      <c r="W5" s="120" t="s">
        <v>69</v>
      </c>
      <c r="X5" s="120" t="s">
        <v>69</v>
      </c>
      <c r="Y5" s="120" t="s">
        <v>69</v>
      </c>
      <c r="Z5" s="329" t="s">
        <v>108</v>
      </c>
      <c r="AA5" s="120" t="s">
        <v>69</v>
      </c>
      <c r="AB5" s="134" t="s">
        <v>69</v>
      </c>
      <c r="AC5" s="134" t="s">
        <v>69</v>
      </c>
      <c r="AD5" s="134" t="s">
        <v>69</v>
      </c>
      <c r="AE5" s="120" t="s">
        <v>69</v>
      </c>
      <c r="AF5" s="120" t="s">
        <v>69</v>
      </c>
      <c r="AG5" s="329" t="s">
        <v>108</v>
      </c>
      <c r="AH5" s="120" t="s">
        <v>69</v>
      </c>
      <c r="AI5" s="120" t="s">
        <v>69</v>
      </c>
      <c r="AJ5" s="672" t="s">
        <v>69</v>
      </c>
      <c r="AK5" s="120" t="s">
        <v>69</v>
      </c>
      <c r="AL5">
        <f t="shared" si="0"/>
        <v>0</v>
      </c>
      <c r="AM5">
        <f t="shared" si="1"/>
        <v>0</v>
      </c>
      <c r="AN5">
        <f t="shared" si="2"/>
        <v>0</v>
      </c>
      <c r="AO5">
        <f t="shared" si="3"/>
        <v>0</v>
      </c>
      <c r="AP5">
        <f t="shared" si="4"/>
        <v>0</v>
      </c>
    </row>
    <row r="6" spans="1:42" ht="18">
      <c r="A6" s="5">
        <v>30</v>
      </c>
      <c r="B6" s="476" t="s">
        <v>314</v>
      </c>
      <c r="C6" s="254" t="s">
        <v>26</v>
      </c>
      <c r="D6" s="453" t="s">
        <v>300</v>
      </c>
      <c r="E6" s="7"/>
      <c r="F6" s="7"/>
      <c r="G6" s="7"/>
      <c r="H6" s="239" t="s">
        <v>69</v>
      </c>
      <c r="I6" s="134" t="s">
        <v>69</v>
      </c>
      <c r="J6" s="188" t="s">
        <v>72</v>
      </c>
      <c r="K6" s="9" t="s">
        <v>69</v>
      </c>
      <c r="L6" s="464" t="s">
        <v>108</v>
      </c>
      <c r="M6" s="120" t="s">
        <v>69</v>
      </c>
      <c r="N6" s="120" t="s">
        <v>69</v>
      </c>
      <c r="O6" s="120" t="s">
        <v>69</v>
      </c>
      <c r="P6" s="120" t="s">
        <v>69</v>
      </c>
      <c r="Q6" s="120" t="s">
        <v>69</v>
      </c>
      <c r="R6" s="120" t="s">
        <v>69</v>
      </c>
      <c r="S6" s="329" t="s">
        <v>108</v>
      </c>
      <c r="T6" s="120" t="s">
        <v>69</v>
      </c>
      <c r="U6" s="134" t="s">
        <v>69</v>
      </c>
      <c r="V6" s="134" t="s">
        <v>69</v>
      </c>
      <c r="W6" s="134" t="s">
        <v>69</v>
      </c>
      <c r="X6" s="120" t="s">
        <v>69</v>
      </c>
      <c r="Y6" s="120" t="s">
        <v>69</v>
      </c>
      <c r="Z6" s="329" t="s">
        <v>108</v>
      </c>
      <c r="AA6" s="120" t="s">
        <v>69</v>
      </c>
      <c r="AB6" s="120" t="s">
        <v>69</v>
      </c>
      <c r="AC6" s="134" t="s">
        <v>69</v>
      </c>
      <c r="AD6" s="131" t="s">
        <v>72</v>
      </c>
      <c r="AE6" s="131" t="s">
        <v>72</v>
      </c>
      <c r="AF6" s="120" t="s">
        <v>69</v>
      </c>
      <c r="AG6" s="329" t="s">
        <v>108</v>
      </c>
      <c r="AH6" s="120" t="s">
        <v>69</v>
      </c>
      <c r="AI6" s="120" t="s">
        <v>69</v>
      </c>
      <c r="AJ6" s="134" t="s">
        <v>69</v>
      </c>
      <c r="AK6" s="134" t="s">
        <v>69</v>
      </c>
      <c r="AL6">
        <f t="shared" si="0"/>
        <v>3</v>
      </c>
      <c r="AM6">
        <f t="shared" si="1"/>
        <v>0</v>
      </c>
      <c r="AN6">
        <f t="shared" si="2"/>
        <v>0</v>
      </c>
      <c r="AO6">
        <f t="shared" si="3"/>
        <v>0</v>
      </c>
      <c r="AP6">
        <f t="shared" si="4"/>
        <v>0</v>
      </c>
    </row>
    <row r="7" spans="1:42" ht="18">
      <c r="A7" s="5">
        <v>35</v>
      </c>
      <c r="B7" s="476" t="s">
        <v>315</v>
      </c>
      <c r="C7" s="254" t="s">
        <v>30</v>
      </c>
      <c r="D7" s="450" t="s">
        <v>301</v>
      </c>
      <c r="E7" s="7"/>
      <c r="F7" s="7"/>
      <c r="G7" s="7"/>
      <c r="H7" s="239" t="s">
        <v>69</v>
      </c>
      <c r="I7" s="134" t="s">
        <v>69</v>
      </c>
      <c r="J7" s="207" t="s">
        <v>69</v>
      </c>
      <c r="K7" s="134" t="s">
        <v>69</v>
      </c>
      <c r="L7" s="464" t="s">
        <v>108</v>
      </c>
      <c r="M7" s="120" t="s">
        <v>69</v>
      </c>
      <c r="N7" s="120" t="s">
        <v>69</v>
      </c>
      <c r="O7" s="120" t="s">
        <v>69</v>
      </c>
      <c r="P7" s="120" t="s">
        <v>69</v>
      </c>
      <c r="Q7" s="120" t="s">
        <v>69</v>
      </c>
      <c r="R7" s="120" t="s">
        <v>69</v>
      </c>
      <c r="S7" s="469" t="s">
        <v>108</v>
      </c>
      <c r="T7" s="120" t="s">
        <v>69</v>
      </c>
      <c r="U7" s="120" t="s">
        <v>69</v>
      </c>
      <c r="V7" s="134" t="s">
        <v>69</v>
      </c>
      <c r="W7" s="134" t="s">
        <v>69</v>
      </c>
      <c r="X7" s="120" t="s">
        <v>69</v>
      </c>
      <c r="Y7" s="120" t="s">
        <v>69</v>
      </c>
      <c r="Z7" s="329" t="s">
        <v>108</v>
      </c>
      <c r="AA7" s="120" t="s">
        <v>69</v>
      </c>
      <c r="AB7" s="120" t="s">
        <v>69</v>
      </c>
      <c r="AC7" s="121" t="s">
        <v>72</v>
      </c>
      <c r="AD7" s="120" t="s">
        <v>69</v>
      </c>
      <c r="AE7" s="120" t="s">
        <v>69</v>
      </c>
      <c r="AF7" s="120" t="s">
        <v>69</v>
      </c>
      <c r="AG7" s="329" t="s">
        <v>108</v>
      </c>
      <c r="AH7" s="120" t="s">
        <v>69</v>
      </c>
      <c r="AI7" s="120" t="s">
        <v>69</v>
      </c>
      <c r="AJ7" s="134" t="s">
        <v>69</v>
      </c>
      <c r="AK7" s="120" t="s">
        <v>69</v>
      </c>
      <c r="AL7">
        <f t="shared" si="0"/>
        <v>1</v>
      </c>
      <c r="AM7">
        <f t="shared" si="1"/>
        <v>0</v>
      </c>
      <c r="AN7">
        <f t="shared" si="2"/>
        <v>0</v>
      </c>
      <c r="AO7">
        <f t="shared" si="3"/>
        <v>0</v>
      </c>
      <c r="AP7">
        <f t="shared" si="4"/>
        <v>0</v>
      </c>
    </row>
    <row r="8" spans="1:42" ht="18">
      <c r="A8" s="5">
        <v>79</v>
      </c>
      <c r="B8" s="476" t="s">
        <v>316</v>
      </c>
      <c r="C8" s="254" t="s">
        <v>61</v>
      </c>
      <c r="D8" s="454" t="s">
        <v>296</v>
      </c>
      <c r="E8" s="7"/>
      <c r="F8" s="7"/>
      <c r="G8" s="7"/>
      <c r="H8" s="239" t="s">
        <v>69</v>
      </c>
      <c r="I8" s="239" t="s">
        <v>69</v>
      </c>
      <c r="J8" s="492" t="s">
        <v>175</v>
      </c>
      <c r="K8" s="438" t="s">
        <v>69</v>
      </c>
      <c r="L8" s="464" t="s">
        <v>108</v>
      </c>
      <c r="M8" s="670" t="s">
        <v>69</v>
      </c>
      <c r="N8" s="670" t="s">
        <v>69</v>
      </c>
      <c r="O8" s="121" t="s">
        <v>72</v>
      </c>
      <c r="P8" s="467" t="s">
        <v>148</v>
      </c>
      <c r="Q8" s="120" t="s">
        <v>69</v>
      </c>
      <c r="R8" s="9" t="s">
        <v>69</v>
      </c>
      <c r="S8" s="329" t="s">
        <v>108</v>
      </c>
      <c r="T8" s="120" t="s">
        <v>69</v>
      </c>
      <c r="U8" s="134" t="s">
        <v>69</v>
      </c>
      <c r="V8" s="134" t="s">
        <v>69</v>
      </c>
      <c r="W8" s="134" t="s">
        <v>69</v>
      </c>
      <c r="X8" s="120" t="s">
        <v>69</v>
      </c>
      <c r="Y8" s="120" t="s">
        <v>69</v>
      </c>
      <c r="Z8" s="329" t="s">
        <v>108</v>
      </c>
      <c r="AA8" s="120" t="s">
        <v>69</v>
      </c>
      <c r="AB8" s="147" t="s">
        <v>92</v>
      </c>
      <c r="AC8" s="134" t="s">
        <v>69</v>
      </c>
      <c r="AD8" s="120" t="s">
        <v>69</v>
      </c>
      <c r="AE8" s="120" t="s">
        <v>69</v>
      </c>
      <c r="AF8" s="130" t="s">
        <v>92</v>
      </c>
      <c r="AG8" s="329" t="s">
        <v>108</v>
      </c>
      <c r="AH8" s="120" t="s">
        <v>69</v>
      </c>
      <c r="AI8" s="120" t="s">
        <v>69</v>
      </c>
      <c r="AJ8" s="120" t="s">
        <v>69</v>
      </c>
      <c r="AK8" s="132" t="s">
        <v>94</v>
      </c>
      <c r="AL8">
        <f t="shared" si="0"/>
        <v>1</v>
      </c>
      <c r="AM8">
        <f t="shared" si="1"/>
        <v>0</v>
      </c>
      <c r="AN8">
        <f t="shared" si="2"/>
        <v>0</v>
      </c>
      <c r="AO8">
        <f t="shared" si="3"/>
        <v>0</v>
      </c>
      <c r="AP8">
        <f t="shared" si="4"/>
        <v>0</v>
      </c>
    </row>
    <row r="9" spans="1:42" ht="18">
      <c r="A9" s="5">
        <v>59</v>
      </c>
      <c r="B9" s="476" t="s">
        <v>317</v>
      </c>
      <c r="C9" s="254" t="s">
        <v>49</v>
      </c>
      <c r="D9" s="454" t="s">
        <v>291</v>
      </c>
      <c r="E9" s="7"/>
      <c r="F9" s="7"/>
      <c r="G9" s="7"/>
      <c r="H9" s="159" t="s">
        <v>92</v>
      </c>
      <c r="I9" s="206" t="s">
        <v>69</v>
      </c>
      <c r="J9" s="171" t="s">
        <v>69</v>
      </c>
      <c r="K9" s="168" t="s">
        <v>69</v>
      </c>
      <c r="L9" s="464" t="s">
        <v>108</v>
      </c>
      <c r="M9" s="120" t="s">
        <v>69</v>
      </c>
      <c r="N9" s="120" t="s">
        <v>69</v>
      </c>
      <c r="O9" s="120" t="s">
        <v>69</v>
      </c>
      <c r="P9" s="120" t="s">
        <v>69</v>
      </c>
      <c r="Q9" s="120" t="s">
        <v>69</v>
      </c>
      <c r="R9" s="120" t="s">
        <v>69</v>
      </c>
      <c r="S9" s="469" t="s">
        <v>108</v>
      </c>
      <c r="T9" s="120" t="s">
        <v>69</v>
      </c>
      <c r="U9" s="120" t="s">
        <v>69</v>
      </c>
      <c r="V9" s="134" t="s">
        <v>69</v>
      </c>
      <c r="W9" s="134" t="s">
        <v>69</v>
      </c>
      <c r="X9" s="120" t="s">
        <v>69</v>
      </c>
      <c r="Y9" s="120" t="s">
        <v>69</v>
      </c>
      <c r="Z9" s="329" t="s">
        <v>108</v>
      </c>
      <c r="AA9" s="120" t="s">
        <v>69</v>
      </c>
      <c r="AB9" s="120" t="s">
        <v>69</v>
      </c>
      <c r="AC9" s="134" t="s">
        <v>69</v>
      </c>
      <c r="AD9" s="131" t="s">
        <v>72</v>
      </c>
      <c r="AE9" s="120" t="s">
        <v>69</v>
      </c>
      <c r="AF9" s="120" t="s">
        <v>69</v>
      </c>
      <c r="AG9" s="329" t="s">
        <v>108</v>
      </c>
      <c r="AH9" s="120" t="s">
        <v>69</v>
      </c>
      <c r="AI9" s="120" t="s">
        <v>69</v>
      </c>
      <c r="AJ9" s="130" t="s">
        <v>92</v>
      </c>
      <c r="AK9" s="120" t="s">
        <v>69</v>
      </c>
      <c r="AL9">
        <f t="shared" si="0"/>
        <v>1</v>
      </c>
      <c r="AM9">
        <f t="shared" si="1"/>
        <v>0</v>
      </c>
      <c r="AN9">
        <f t="shared" si="2"/>
        <v>0</v>
      </c>
      <c r="AO9">
        <f t="shared" si="3"/>
        <v>0</v>
      </c>
      <c r="AP9">
        <f t="shared" si="4"/>
        <v>0</v>
      </c>
    </row>
    <row r="10" spans="1:42" ht="18">
      <c r="A10" s="5">
        <v>80</v>
      </c>
      <c r="B10" s="476" t="s">
        <v>318</v>
      </c>
      <c r="C10" s="254" t="s">
        <v>62</v>
      </c>
      <c r="D10" s="450" t="s">
        <v>284</v>
      </c>
      <c r="E10" s="7"/>
      <c r="F10" s="7"/>
      <c r="G10" s="7"/>
      <c r="H10" s="239" t="s">
        <v>69</v>
      </c>
      <c r="I10" s="134" t="s">
        <v>69</v>
      </c>
      <c r="J10" s="171" t="s">
        <v>69</v>
      </c>
      <c r="K10" s="435" t="s">
        <v>69</v>
      </c>
      <c r="L10" s="464" t="s">
        <v>108</v>
      </c>
      <c r="M10" s="9" t="s">
        <v>69</v>
      </c>
      <c r="N10" s="63" t="s">
        <v>72</v>
      </c>
      <c r="O10" s="121" t="s">
        <v>72</v>
      </c>
      <c r="P10" s="121" t="s">
        <v>72</v>
      </c>
      <c r="Q10" s="121" t="s">
        <v>72</v>
      </c>
      <c r="R10" s="9" t="s">
        <v>69</v>
      </c>
      <c r="S10" s="329" t="s">
        <v>108</v>
      </c>
      <c r="T10" s="120" t="s">
        <v>69</v>
      </c>
      <c r="U10" s="120" t="s">
        <v>69</v>
      </c>
      <c r="V10" s="209" t="s">
        <v>92</v>
      </c>
      <c r="W10" s="134" t="s">
        <v>69</v>
      </c>
      <c r="X10" s="120" t="s">
        <v>69</v>
      </c>
      <c r="Y10" s="120" t="s">
        <v>69</v>
      </c>
      <c r="Z10" s="329" t="s">
        <v>108</v>
      </c>
      <c r="AA10" s="120" t="s">
        <v>69</v>
      </c>
      <c r="AB10" s="120" t="s">
        <v>69</v>
      </c>
      <c r="AC10" s="134" t="s">
        <v>69</v>
      </c>
      <c r="AD10" s="120" t="s">
        <v>69</v>
      </c>
      <c r="AE10" s="120" t="s">
        <v>69</v>
      </c>
      <c r="AF10" s="120" t="s">
        <v>69</v>
      </c>
      <c r="AG10" s="329" t="s">
        <v>108</v>
      </c>
      <c r="AH10" s="120" t="s">
        <v>69</v>
      </c>
      <c r="AI10" s="120" t="s">
        <v>69</v>
      </c>
      <c r="AJ10" s="120" t="s">
        <v>69</v>
      </c>
      <c r="AK10" s="132" t="s">
        <v>94</v>
      </c>
      <c r="AL10">
        <f t="shared" si="0"/>
        <v>4</v>
      </c>
      <c r="AM10">
        <f t="shared" si="1"/>
        <v>0</v>
      </c>
      <c r="AN10">
        <f t="shared" si="2"/>
        <v>0</v>
      </c>
      <c r="AO10">
        <f t="shared" si="3"/>
        <v>0</v>
      </c>
      <c r="AP10">
        <f t="shared" si="4"/>
        <v>0</v>
      </c>
    </row>
    <row r="11" spans="1:42" ht="18">
      <c r="A11" s="5">
        <v>1</v>
      </c>
      <c r="B11" s="476" t="s">
        <v>319</v>
      </c>
      <c r="C11" s="254" t="s">
        <v>6</v>
      </c>
      <c r="D11" s="450" t="s">
        <v>284</v>
      </c>
      <c r="E11" s="7"/>
      <c r="F11" s="7"/>
      <c r="G11" s="7"/>
      <c r="H11" s="239" t="s">
        <v>69</v>
      </c>
      <c r="I11" s="121" t="s">
        <v>72</v>
      </c>
      <c r="J11" s="144" t="s">
        <v>72</v>
      </c>
      <c r="K11" s="435" t="s">
        <v>69</v>
      </c>
      <c r="L11" s="464" t="s">
        <v>108</v>
      </c>
      <c r="M11" s="120" t="s">
        <v>69</v>
      </c>
      <c r="N11" s="120" t="s">
        <v>69</v>
      </c>
      <c r="O11" s="120" t="s">
        <v>69</v>
      </c>
      <c r="P11" s="120" t="s">
        <v>69</v>
      </c>
      <c r="Q11" s="9" t="s">
        <v>69</v>
      </c>
      <c r="R11" s="9" t="s">
        <v>69</v>
      </c>
      <c r="S11" s="469" t="s">
        <v>108</v>
      </c>
      <c r="T11" s="120" t="s">
        <v>69</v>
      </c>
      <c r="U11" s="120" t="s">
        <v>69</v>
      </c>
      <c r="V11" s="134" t="s">
        <v>69</v>
      </c>
      <c r="W11" s="120" t="s">
        <v>69</v>
      </c>
      <c r="X11" s="120" t="s">
        <v>69</v>
      </c>
      <c r="Y11" s="120" t="s">
        <v>69</v>
      </c>
      <c r="Z11" s="329" t="s">
        <v>108</v>
      </c>
      <c r="AA11" s="120" t="s">
        <v>69</v>
      </c>
      <c r="AB11" s="134" t="s">
        <v>69</v>
      </c>
      <c r="AC11" s="134" t="s">
        <v>69</v>
      </c>
      <c r="AD11" s="134" t="s">
        <v>69</v>
      </c>
      <c r="AE11" s="134" t="s">
        <v>69</v>
      </c>
      <c r="AF11" s="120" t="s">
        <v>69</v>
      </c>
      <c r="AG11" s="329" t="s">
        <v>108</v>
      </c>
      <c r="AH11" s="120" t="s">
        <v>69</v>
      </c>
      <c r="AI11" s="120" t="s">
        <v>69</v>
      </c>
      <c r="AJ11" s="672" t="s">
        <v>69</v>
      </c>
      <c r="AK11" s="120" t="s">
        <v>69</v>
      </c>
      <c r="AL11">
        <f t="shared" si="0"/>
        <v>2</v>
      </c>
      <c r="AM11">
        <f t="shared" si="1"/>
        <v>0</v>
      </c>
      <c r="AN11">
        <f t="shared" si="2"/>
        <v>0</v>
      </c>
      <c r="AO11">
        <f t="shared" si="3"/>
        <v>0</v>
      </c>
      <c r="AP11">
        <f t="shared" si="4"/>
        <v>0</v>
      </c>
    </row>
    <row r="12" spans="1:42" ht="18">
      <c r="A12" s="5">
        <v>7</v>
      </c>
      <c r="B12" s="476" t="s">
        <v>320</v>
      </c>
      <c r="C12" s="254" t="s">
        <v>11</v>
      </c>
      <c r="D12" s="451" t="s">
        <v>288</v>
      </c>
      <c r="E12" s="7"/>
      <c r="F12" s="7"/>
      <c r="G12" s="7"/>
      <c r="H12" s="153" t="s">
        <v>72</v>
      </c>
      <c r="I12" s="134" t="s">
        <v>69</v>
      </c>
      <c r="J12" s="121" t="s">
        <v>72</v>
      </c>
      <c r="K12" s="65" t="s">
        <v>69</v>
      </c>
      <c r="L12" s="464" t="s">
        <v>108</v>
      </c>
      <c r="M12" s="120" t="s">
        <v>69</v>
      </c>
      <c r="N12" s="120" t="s">
        <v>69</v>
      </c>
      <c r="O12" s="120" t="s">
        <v>69</v>
      </c>
      <c r="P12" s="467" t="s">
        <v>321</v>
      </c>
      <c r="Q12" s="65" t="s">
        <v>69</v>
      </c>
      <c r="R12" s="65" t="s">
        <v>69</v>
      </c>
      <c r="S12" s="329" t="s">
        <v>108</v>
      </c>
      <c r="T12" s="65" t="s">
        <v>69</v>
      </c>
      <c r="U12" s="65" t="s">
        <v>69</v>
      </c>
      <c r="V12" s="65" t="s">
        <v>69</v>
      </c>
      <c r="W12" s="121" t="s">
        <v>72</v>
      </c>
      <c r="X12" s="131" t="s">
        <v>72</v>
      </c>
      <c r="Y12" s="131" t="s">
        <v>72</v>
      </c>
      <c r="Z12" s="329" t="s">
        <v>108</v>
      </c>
      <c r="AA12" s="120" t="s">
        <v>69</v>
      </c>
      <c r="AB12" s="134" t="s">
        <v>69</v>
      </c>
      <c r="AC12" s="134" t="s">
        <v>69</v>
      </c>
      <c r="AD12" s="134" t="s">
        <v>69</v>
      </c>
      <c r="AE12" s="134" t="s">
        <v>69</v>
      </c>
      <c r="AF12" s="134" t="s">
        <v>69</v>
      </c>
      <c r="AG12" s="329" t="s">
        <v>108</v>
      </c>
      <c r="AH12" s="121" t="s">
        <v>72</v>
      </c>
      <c r="AI12" s="120" t="s">
        <v>69</v>
      </c>
      <c r="AJ12" s="672" t="s">
        <v>69</v>
      </c>
      <c r="AK12" s="672" t="s">
        <v>69</v>
      </c>
      <c r="AL12">
        <f t="shared" si="0"/>
        <v>6</v>
      </c>
      <c r="AM12">
        <f t="shared" si="1"/>
        <v>0</v>
      </c>
      <c r="AN12">
        <f t="shared" si="2"/>
        <v>0</v>
      </c>
      <c r="AO12">
        <f t="shared" si="3"/>
        <v>0</v>
      </c>
      <c r="AP12">
        <f t="shared" si="4"/>
        <v>0</v>
      </c>
    </row>
    <row r="13" spans="1:42" ht="18">
      <c r="A13" s="5">
        <v>6</v>
      </c>
      <c r="B13" s="476" t="s">
        <v>322</v>
      </c>
      <c r="C13" s="255" t="s">
        <v>323</v>
      </c>
      <c r="D13" s="450" t="s">
        <v>287</v>
      </c>
      <c r="E13" s="7"/>
      <c r="F13" s="7"/>
      <c r="G13" s="7"/>
      <c r="H13" s="153" t="s">
        <v>72</v>
      </c>
      <c r="I13" s="121" t="s">
        <v>72</v>
      </c>
      <c r="J13" s="462" t="s">
        <v>94</v>
      </c>
      <c r="K13" s="481" t="s">
        <v>76</v>
      </c>
      <c r="L13" s="464" t="s">
        <v>108</v>
      </c>
      <c r="M13" s="63" t="s">
        <v>76</v>
      </c>
      <c r="N13" s="63" t="s">
        <v>76</v>
      </c>
      <c r="O13" s="63" t="s">
        <v>76</v>
      </c>
      <c r="P13" s="63" t="s">
        <v>76</v>
      </c>
      <c r="Q13" s="63" t="s">
        <v>76</v>
      </c>
      <c r="R13" s="63" t="s">
        <v>76</v>
      </c>
      <c r="S13" s="469" t="s">
        <v>108</v>
      </c>
      <c r="T13" s="63" t="s">
        <v>76</v>
      </c>
      <c r="U13" s="63" t="s">
        <v>76</v>
      </c>
      <c r="V13" s="63" t="s">
        <v>76</v>
      </c>
      <c r="W13" s="63" t="s">
        <v>76</v>
      </c>
      <c r="X13" s="63" t="s">
        <v>76</v>
      </c>
      <c r="Y13" s="63" t="s">
        <v>76</v>
      </c>
      <c r="Z13" s="329" t="s">
        <v>108</v>
      </c>
      <c r="AA13" s="63" t="s">
        <v>76</v>
      </c>
      <c r="AB13" s="63" t="s">
        <v>76</v>
      </c>
      <c r="AC13" s="63" t="s">
        <v>76</v>
      </c>
      <c r="AD13" s="63" t="s">
        <v>76</v>
      </c>
      <c r="AE13" s="63" t="s">
        <v>76</v>
      </c>
      <c r="AF13" s="63" t="s">
        <v>76</v>
      </c>
      <c r="AG13" s="329" t="s">
        <v>108</v>
      </c>
      <c r="AH13" s="63" t="s">
        <v>76</v>
      </c>
      <c r="AI13" s="63" t="s">
        <v>76</v>
      </c>
      <c r="AJ13" s="63" t="s">
        <v>76</v>
      </c>
      <c r="AK13" s="63" t="s">
        <v>76</v>
      </c>
      <c r="AL13">
        <f t="shared" si="0"/>
        <v>2</v>
      </c>
      <c r="AM13">
        <f t="shared" si="1"/>
        <v>0</v>
      </c>
      <c r="AN13">
        <f t="shared" si="2"/>
        <v>0</v>
      </c>
      <c r="AO13">
        <f t="shared" si="3"/>
        <v>0</v>
      </c>
      <c r="AP13">
        <f t="shared" si="4"/>
        <v>0</v>
      </c>
    </row>
    <row r="14" spans="1:42" ht="18">
      <c r="A14" s="5">
        <v>26</v>
      </c>
      <c r="B14" s="476" t="s">
        <v>324</v>
      </c>
      <c r="C14" s="254" t="s">
        <v>140</v>
      </c>
      <c r="D14" s="451" t="s">
        <v>300</v>
      </c>
      <c r="E14" s="7"/>
      <c r="F14" s="7"/>
      <c r="G14" s="7"/>
      <c r="H14" s="239" t="s">
        <v>69</v>
      </c>
      <c r="I14" s="134" t="s">
        <v>69</v>
      </c>
      <c r="J14" s="207" t="s">
        <v>69</v>
      </c>
      <c r="K14" s="435" t="s">
        <v>69</v>
      </c>
      <c r="L14" s="464" t="s">
        <v>108</v>
      </c>
      <c r="M14" s="9" t="s">
        <v>69</v>
      </c>
      <c r="N14" s="9" t="s">
        <v>69</v>
      </c>
      <c r="O14" s="9" t="s">
        <v>69</v>
      </c>
      <c r="P14" s="9" t="s">
        <v>69</v>
      </c>
      <c r="Q14" s="9" t="s">
        <v>69</v>
      </c>
      <c r="R14" s="121" t="s">
        <v>72</v>
      </c>
      <c r="S14" s="329" t="s">
        <v>108</v>
      </c>
      <c r="T14" s="120" t="s">
        <v>69</v>
      </c>
      <c r="U14" s="120" t="s">
        <v>69</v>
      </c>
      <c r="V14" s="120" t="s">
        <v>69</v>
      </c>
      <c r="W14" s="120" t="s">
        <v>69</v>
      </c>
      <c r="X14" s="120" t="s">
        <v>69</v>
      </c>
      <c r="Y14" s="236" t="s">
        <v>94</v>
      </c>
      <c r="Z14" s="329" t="s">
        <v>108</v>
      </c>
      <c r="AA14" s="120" t="s">
        <v>69</v>
      </c>
      <c r="AB14" s="120" t="s">
        <v>69</v>
      </c>
      <c r="AC14" s="134" t="s">
        <v>69</v>
      </c>
      <c r="AD14" s="120" t="s">
        <v>69</v>
      </c>
      <c r="AE14" s="120" t="s">
        <v>69</v>
      </c>
      <c r="AF14" s="120" t="s">
        <v>69</v>
      </c>
      <c r="AG14" s="329" t="s">
        <v>108</v>
      </c>
      <c r="AH14" s="120" t="s">
        <v>69</v>
      </c>
      <c r="AI14" s="120" t="s">
        <v>69</v>
      </c>
      <c r="AJ14" s="134" t="s">
        <v>69</v>
      </c>
      <c r="AK14" s="120" t="s">
        <v>69</v>
      </c>
      <c r="AL14">
        <f t="shared" si="0"/>
        <v>1</v>
      </c>
      <c r="AM14">
        <f t="shared" si="1"/>
        <v>0</v>
      </c>
      <c r="AN14">
        <f t="shared" si="2"/>
        <v>0</v>
      </c>
      <c r="AO14">
        <f t="shared" si="3"/>
        <v>0</v>
      </c>
      <c r="AP14">
        <f t="shared" si="4"/>
        <v>0</v>
      </c>
    </row>
    <row r="15" spans="1:42" ht="18">
      <c r="A15" s="5">
        <v>49</v>
      </c>
      <c r="B15" s="476" t="s">
        <v>325</v>
      </c>
      <c r="C15" s="254" t="s">
        <v>40</v>
      </c>
      <c r="D15" s="450" t="s">
        <v>285</v>
      </c>
      <c r="E15" s="7"/>
      <c r="F15" s="7"/>
      <c r="G15" s="7"/>
      <c r="H15" s="239" t="s">
        <v>69</v>
      </c>
      <c r="I15" s="134" t="s">
        <v>69</v>
      </c>
      <c r="J15" s="207" t="s">
        <v>69</v>
      </c>
      <c r="K15" s="207" t="s">
        <v>69</v>
      </c>
      <c r="L15" s="464" t="s">
        <v>108</v>
      </c>
      <c r="M15" s="9" t="s">
        <v>69</v>
      </c>
      <c r="N15" s="9" t="s">
        <v>69</v>
      </c>
      <c r="O15" s="121" t="s">
        <v>72</v>
      </c>
      <c r="P15" s="467" t="s">
        <v>148</v>
      </c>
      <c r="Q15" s="120" t="s">
        <v>69</v>
      </c>
      <c r="R15" s="120" t="s">
        <v>69</v>
      </c>
      <c r="S15" s="469" t="s">
        <v>108</v>
      </c>
      <c r="T15" s="120" t="s">
        <v>69</v>
      </c>
      <c r="U15" s="120" t="s">
        <v>69</v>
      </c>
      <c r="V15" s="463" t="s">
        <v>111</v>
      </c>
      <c r="W15" s="134" t="s">
        <v>69</v>
      </c>
      <c r="X15" s="120" t="s">
        <v>69</v>
      </c>
      <c r="Y15" s="120" t="s">
        <v>69</v>
      </c>
      <c r="Z15" s="329" t="s">
        <v>108</v>
      </c>
      <c r="AA15" s="134" t="s">
        <v>69</v>
      </c>
      <c r="AB15" s="134" t="s">
        <v>69</v>
      </c>
      <c r="AC15" s="134" t="s">
        <v>69</v>
      </c>
      <c r="AD15" s="120" t="s">
        <v>69</v>
      </c>
      <c r="AE15" s="120" t="s">
        <v>69</v>
      </c>
      <c r="AF15" s="121" t="s">
        <v>72</v>
      </c>
      <c r="AG15" s="329" t="s">
        <v>108</v>
      </c>
      <c r="AH15" s="120" t="s">
        <v>69</v>
      </c>
      <c r="AI15" s="120" t="s">
        <v>69</v>
      </c>
      <c r="AJ15" s="120" t="s">
        <v>69</v>
      </c>
      <c r="AK15" s="120" t="s">
        <v>69</v>
      </c>
      <c r="AL15">
        <f t="shared" si="0"/>
        <v>2</v>
      </c>
      <c r="AM15">
        <f t="shared" si="1"/>
        <v>1</v>
      </c>
      <c r="AN15">
        <f t="shared" si="2"/>
        <v>0</v>
      </c>
      <c r="AO15">
        <f t="shared" si="3"/>
        <v>0</v>
      </c>
      <c r="AP15">
        <f t="shared" si="4"/>
        <v>0</v>
      </c>
    </row>
    <row r="16" spans="1:42" ht="18">
      <c r="A16" s="5">
        <v>15</v>
      </c>
      <c r="B16" s="476" t="s">
        <v>326</v>
      </c>
      <c r="C16" s="254" t="s">
        <v>16</v>
      </c>
      <c r="D16" s="450" t="s">
        <v>285</v>
      </c>
      <c r="E16" s="7"/>
      <c r="F16" s="7"/>
      <c r="G16" s="7"/>
      <c r="H16" s="239" t="s">
        <v>69</v>
      </c>
      <c r="I16" s="168" t="s">
        <v>69</v>
      </c>
      <c r="J16" s="171" t="s">
        <v>69</v>
      </c>
      <c r="K16" s="171" t="s">
        <v>69</v>
      </c>
      <c r="L16" s="464" t="s">
        <v>108</v>
      </c>
      <c r="M16" s="120" t="s">
        <v>69</v>
      </c>
      <c r="N16" s="120" t="s">
        <v>69</v>
      </c>
      <c r="O16" s="120" t="s">
        <v>69</v>
      </c>
      <c r="P16" s="467" t="s">
        <v>321</v>
      </c>
      <c r="Q16" s="131" t="s">
        <v>72</v>
      </c>
      <c r="R16" s="131" t="s">
        <v>72</v>
      </c>
      <c r="S16" s="329" t="s">
        <v>108</v>
      </c>
      <c r="T16" s="131" t="s">
        <v>72</v>
      </c>
      <c r="U16" s="131" t="s">
        <v>72</v>
      </c>
      <c r="V16" s="131" t="s">
        <v>72</v>
      </c>
      <c r="W16" s="131" t="s">
        <v>72</v>
      </c>
      <c r="X16" s="131" t="s">
        <v>72</v>
      </c>
      <c r="Y16" s="131" t="s">
        <v>72</v>
      </c>
      <c r="Z16" s="131" t="s">
        <v>72</v>
      </c>
      <c r="AA16" s="120" t="s">
        <v>69</v>
      </c>
      <c r="AB16" s="120" t="s">
        <v>69</v>
      </c>
      <c r="AC16" s="134" t="s">
        <v>69</v>
      </c>
      <c r="AD16" s="134" t="s">
        <v>69</v>
      </c>
      <c r="AE16" s="120" t="s">
        <v>69</v>
      </c>
      <c r="AF16" s="120" t="s">
        <v>69</v>
      </c>
      <c r="AG16" s="329" t="s">
        <v>108</v>
      </c>
      <c r="AH16" s="120" t="s">
        <v>69</v>
      </c>
      <c r="AI16" s="120" t="s">
        <v>69</v>
      </c>
      <c r="AJ16" s="672" t="s">
        <v>69</v>
      </c>
      <c r="AK16" s="672" t="s">
        <v>69</v>
      </c>
      <c r="AL16">
        <f t="shared" si="0"/>
        <v>9</v>
      </c>
      <c r="AM16">
        <f t="shared" si="1"/>
        <v>0</v>
      </c>
      <c r="AN16">
        <f t="shared" si="2"/>
        <v>0</v>
      </c>
      <c r="AO16">
        <f t="shared" si="3"/>
        <v>0</v>
      </c>
      <c r="AP16">
        <f t="shared" si="4"/>
        <v>0</v>
      </c>
    </row>
    <row r="17" spans="1:42" ht="18">
      <c r="A17" s="5">
        <v>66</v>
      </c>
      <c r="B17" s="476" t="s">
        <v>327</v>
      </c>
      <c r="C17" s="254" t="s">
        <v>52</v>
      </c>
      <c r="D17" s="451" t="s">
        <v>133</v>
      </c>
      <c r="E17" s="7"/>
      <c r="F17" s="7"/>
      <c r="G17" s="7"/>
      <c r="H17" s="239" t="s">
        <v>69</v>
      </c>
      <c r="I17" s="134" t="s">
        <v>69</v>
      </c>
      <c r="J17" s="207" t="s">
        <v>69</v>
      </c>
      <c r="K17" s="207" t="s">
        <v>69</v>
      </c>
      <c r="L17" s="464" t="s">
        <v>108</v>
      </c>
      <c r="M17" s="9" t="s">
        <v>69</v>
      </c>
      <c r="N17" s="9" t="s">
        <v>69</v>
      </c>
      <c r="O17" s="9" t="s">
        <v>69</v>
      </c>
      <c r="P17" s="9" t="s">
        <v>69</v>
      </c>
      <c r="Q17" s="120" t="s">
        <v>69</v>
      </c>
      <c r="R17" s="120" t="s">
        <v>69</v>
      </c>
      <c r="S17" s="469" t="s">
        <v>108</v>
      </c>
      <c r="T17" s="120" t="s">
        <v>69</v>
      </c>
      <c r="U17" s="120" t="s">
        <v>69</v>
      </c>
      <c r="V17" s="134" t="s">
        <v>69</v>
      </c>
      <c r="W17" s="134" t="s">
        <v>69</v>
      </c>
      <c r="X17" s="132" t="s">
        <v>94</v>
      </c>
      <c r="Y17" s="120" t="s">
        <v>69</v>
      </c>
      <c r="Z17" s="329" t="s">
        <v>108</v>
      </c>
      <c r="AA17" s="120" t="s">
        <v>69</v>
      </c>
      <c r="AB17" s="120" t="s">
        <v>69</v>
      </c>
      <c r="AC17" s="134" t="s">
        <v>69</v>
      </c>
      <c r="AD17" s="120" t="s">
        <v>69</v>
      </c>
      <c r="AE17" s="120" t="s">
        <v>69</v>
      </c>
      <c r="AF17" s="120" t="s">
        <v>69</v>
      </c>
      <c r="AG17" s="329" t="s">
        <v>108</v>
      </c>
      <c r="AH17" s="134" t="s">
        <v>69</v>
      </c>
      <c r="AI17" s="134" t="s">
        <v>69</v>
      </c>
      <c r="AJ17" s="134" t="s">
        <v>69</v>
      </c>
      <c r="AK17" s="134" t="s">
        <v>69</v>
      </c>
      <c r="AL17">
        <f t="shared" si="0"/>
        <v>0</v>
      </c>
      <c r="AM17">
        <f t="shared" si="1"/>
        <v>0</v>
      </c>
      <c r="AN17">
        <f t="shared" si="2"/>
        <v>0</v>
      </c>
      <c r="AO17">
        <f t="shared" si="3"/>
        <v>0</v>
      </c>
      <c r="AP17">
        <f t="shared" si="4"/>
        <v>0</v>
      </c>
    </row>
    <row r="18" spans="1:42" ht="18">
      <c r="A18" s="5">
        <v>11</v>
      </c>
      <c r="B18" s="476" t="s">
        <v>328</v>
      </c>
      <c r="C18" s="254" t="s">
        <v>13</v>
      </c>
      <c r="D18" s="451" t="s">
        <v>133</v>
      </c>
      <c r="E18" s="7"/>
      <c r="F18" s="7"/>
      <c r="G18" s="7"/>
      <c r="H18" s="239" t="s">
        <v>69</v>
      </c>
      <c r="I18" s="200" t="s">
        <v>69</v>
      </c>
      <c r="J18" s="207" t="s">
        <v>69</v>
      </c>
      <c r="K18" s="207" t="s">
        <v>69</v>
      </c>
      <c r="L18" s="464" t="s">
        <v>108</v>
      </c>
      <c r="M18" s="120" t="s">
        <v>69</v>
      </c>
      <c r="N18" s="120" t="s">
        <v>69</v>
      </c>
      <c r="O18" s="121" t="s">
        <v>72</v>
      </c>
      <c r="P18" s="120" t="s">
        <v>69</v>
      </c>
      <c r="Q18" s="120" t="s">
        <v>69</v>
      </c>
      <c r="R18" s="120" t="s">
        <v>69</v>
      </c>
      <c r="S18" s="329" t="s">
        <v>108</v>
      </c>
      <c r="T18" s="65" t="s">
        <v>69</v>
      </c>
      <c r="U18" s="120" t="s">
        <v>69</v>
      </c>
      <c r="V18" s="120" t="s">
        <v>69</v>
      </c>
      <c r="W18" s="120" t="s">
        <v>69</v>
      </c>
      <c r="X18" s="120" t="s">
        <v>69</v>
      </c>
      <c r="Y18" s="120" t="s">
        <v>69</v>
      </c>
      <c r="Z18" s="329" t="s">
        <v>108</v>
      </c>
      <c r="AA18" s="120" t="s">
        <v>69</v>
      </c>
      <c r="AB18" s="134" t="s">
        <v>69</v>
      </c>
      <c r="AC18" s="134" t="s">
        <v>69</v>
      </c>
      <c r="AD18" s="134" t="s">
        <v>69</v>
      </c>
      <c r="AE18" s="134" t="s">
        <v>69</v>
      </c>
      <c r="AF18" s="120" t="s">
        <v>69</v>
      </c>
      <c r="AG18" s="329" t="s">
        <v>108</v>
      </c>
      <c r="AH18" s="120" t="s">
        <v>69</v>
      </c>
      <c r="AI18" s="120" t="s">
        <v>69</v>
      </c>
      <c r="AJ18" s="672" t="s">
        <v>69</v>
      </c>
      <c r="AK18" s="672" t="s">
        <v>69</v>
      </c>
      <c r="AL18">
        <f t="shared" si="0"/>
        <v>1</v>
      </c>
      <c r="AM18">
        <f t="shared" si="1"/>
        <v>0</v>
      </c>
      <c r="AN18">
        <f t="shared" si="2"/>
        <v>0</v>
      </c>
      <c r="AO18">
        <f t="shared" si="3"/>
        <v>0</v>
      </c>
      <c r="AP18">
        <f t="shared" si="4"/>
        <v>0</v>
      </c>
    </row>
    <row r="19" spans="1:42" ht="18">
      <c r="A19" s="5">
        <v>72</v>
      </c>
      <c r="B19" s="476" t="s">
        <v>329</v>
      </c>
      <c r="C19" s="254" t="s">
        <v>55</v>
      </c>
      <c r="D19" s="454" t="s">
        <v>296</v>
      </c>
      <c r="E19" s="7"/>
      <c r="F19" s="7"/>
      <c r="G19" s="7"/>
      <c r="H19" s="239" t="s">
        <v>69</v>
      </c>
      <c r="I19" s="134" t="s">
        <v>69</v>
      </c>
      <c r="J19" s="137" t="s">
        <v>175</v>
      </c>
      <c r="K19" s="25" t="s">
        <v>72</v>
      </c>
      <c r="L19" s="464" t="s">
        <v>108</v>
      </c>
      <c r="M19" s="25" t="s">
        <v>72</v>
      </c>
      <c r="N19" s="9" t="s">
        <v>69</v>
      </c>
      <c r="O19" s="9" t="s">
        <v>69</v>
      </c>
      <c r="P19" s="9" t="s">
        <v>69</v>
      </c>
      <c r="Q19" s="9" t="s">
        <v>69</v>
      </c>
      <c r="R19" s="9" t="s">
        <v>69</v>
      </c>
      <c r="S19" s="469" t="s">
        <v>108</v>
      </c>
      <c r="T19" s="412" t="s">
        <v>224</v>
      </c>
      <c r="U19" s="120" t="s">
        <v>69</v>
      </c>
      <c r="V19" s="134" t="s">
        <v>69</v>
      </c>
      <c r="W19" s="134" t="s">
        <v>69</v>
      </c>
      <c r="X19" s="120" t="s">
        <v>69</v>
      </c>
      <c r="Y19" s="120" t="s">
        <v>69</v>
      </c>
      <c r="Z19" s="329" t="s">
        <v>108</v>
      </c>
      <c r="AA19" s="120" t="s">
        <v>69</v>
      </c>
      <c r="AB19" s="120" t="s">
        <v>69</v>
      </c>
      <c r="AC19" s="134" t="s">
        <v>69</v>
      </c>
      <c r="AD19" s="120" t="s">
        <v>69</v>
      </c>
      <c r="AE19" s="120" t="s">
        <v>69</v>
      </c>
      <c r="AF19" s="120" t="s">
        <v>69</v>
      </c>
      <c r="AG19" s="329" t="s">
        <v>108</v>
      </c>
      <c r="AH19" s="120" t="s">
        <v>69</v>
      </c>
      <c r="AI19" s="120" t="s">
        <v>69</v>
      </c>
      <c r="AJ19" s="120" t="s">
        <v>69</v>
      </c>
      <c r="AK19" s="120" t="s">
        <v>69</v>
      </c>
      <c r="AL19">
        <f t="shared" si="0"/>
        <v>2</v>
      </c>
      <c r="AM19">
        <f t="shared" si="1"/>
        <v>0</v>
      </c>
      <c r="AN19">
        <f t="shared" si="2"/>
        <v>0</v>
      </c>
      <c r="AO19">
        <f t="shared" si="3"/>
        <v>0</v>
      </c>
      <c r="AP19">
        <f t="shared" si="4"/>
        <v>0</v>
      </c>
    </row>
    <row r="20" spans="1:42" ht="18">
      <c r="A20" s="5">
        <v>32</v>
      </c>
      <c r="B20" s="476" t="s">
        <v>330</v>
      </c>
      <c r="C20" s="254" t="s">
        <v>28</v>
      </c>
      <c r="D20" s="451" t="s">
        <v>286</v>
      </c>
      <c r="E20" s="7"/>
      <c r="F20" s="7"/>
      <c r="G20" s="7"/>
      <c r="H20" s="239" t="s">
        <v>69</v>
      </c>
      <c r="I20" s="134" t="s">
        <v>69</v>
      </c>
      <c r="J20" s="134" t="s">
        <v>69</v>
      </c>
      <c r="K20" s="65" t="s">
        <v>69</v>
      </c>
      <c r="L20" s="464" t="s">
        <v>108</v>
      </c>
      <c r="M20" s="120" t="s">
        <v>69</v>
      </c>
      <c r="N20" s="120" t="s">
        <v>69</v>
      </c>
      <c r="O20" s="120" t="s">
        <v>69</v>
      </c>
      <c r="P20" s="120" t="s">
        <v>69</v>
      </c>
      <c r="Q20" s="120" t="s">
        <v>69</v>
      </c>
      <c r="R20" s="120" t="s">
        <v>69</v>
      </c>
      <c r="S20" s="329" t="s">
        <v>108</v>
      </c>
      <c r="T20" s="120" t="s">
        <v>69</v>
      </c>
      <c r="U20" s="120" t="s">
        <v>69</v>
      </c>
      <c r="V20" s="120" t="s">
        <v>69</v>
      </c>
      <c r="W20" s="120" t="s">
        <v>69</v>
      </c>
      <c r="X20" s="120" t="s">
        <v>69</v>
      </c>
      <c r="Y20" s="120" t="s">
        <v>69</v>
      </c>
      <c r="Z20" s="329" t="s">
        <v>108</v>
      </c>
      <c r="AA20" s="120" t="s">
        <v>69</v>
      </c>
      <c r="AB20" s="120" t="s">
        <v>69</v>
      </c>
      <c r="AC20" s="134" t="s">
        <v>69</v>
      </c>
      <c r="AD20" s="134" t="s">
        <v>69</v>
      </c>
      <c r="AE20" s="120" t="s">
        <v>69</v>
      </c>
      <c r="AF20" s="120" t="s">
        <v>69</v>
      </c>
      <c r="AG20" s="329" t="s">
        <v>108</v>
      </c>
      <c r="AH20" s="120" t="s">
        <v>69</v>
      </c>
      <c r="AI20" s="120" t="s">
        <v>69</v>
      </c>
      <c r="AJ20" s="147" t="s">
        <v>92</v>
      </c>
      <c r="AK20" s="120" t="s">
        <v>69</v>
      </c>
      <c r="AL20">
        <f t="shared" si="0"/>
        <v>0</v>
      </c>
      <c r="AM20">
        <f t="shared" si="1"/>
        <v>0</v>
      </c>
      <c r="AN20">
        <f t="shared" si="2"/>
        <v>0</v>
      </c>
      <c r="AO20">
        <f t="shared" si="3"/>
        <v>0</v>
      </c>
      <c r="AP20">
        <f t="shared" si="4"/>
        <v>0</v>
      </c>
    </row>
    <row r="21" spans="1:42" ht="18">
      <c r="A21" s="5">
        <v>31</v>
      </c>
      <c r="B21" s="476" t="s">
        <v>331</v>
      </c>
      <c r="C21" s="254" t="s">
        <v>27</v>
      </c>
      <c r="D21" s="451" t="s">
        <v>300</v>
      </c>
      <c r="E21" s="7"/>
      <c r="F21" s="7"/>
      <c r="G21" s="7"/>
      <c r="H21" s="239" t="s">
        <v>69</v>
      </c>
      <c r="I21" s="153" t="s">
        <v>72</v>
      </c>
      <c r="J21" s="168" t="s">
        <v>69</v>
      </c>
      <c r="K21" s="120" t="s">
        <v>69</v>
      </c>
      <c r="L21" s="464" t="s">
        <v>108</v>
      </c>
      <c r="M21" s="120" t="s">
        <v>69</v>
      </c>
      <c r="N21" s="120" t="s">
        <v>69</v>
      </c>
      <c r="O21" s="120" t="s">
        <v>69</v>
      </c>
      <c r="P21" s="121" t="s">
        <v>72</v>
      </c>
      <c r="Q21" s="120" t="s">
        <v>69</v>
      </c>
      <c r="R21" s="121" t="s">
        <v>72</v>
      </c>
      <c r="S21" s="469" t="s">
        <v>108</v>
      </c>
      <c r="T21" s="121" t="s">
        <v>72</v>
      </c>
      <c r="U21" s="120" t="s">
        <v>69</v>
      </c>
      <c r="V21" s="120" t="s">
        <v>69</v>
      </c>
      <c r="W21" s="404" t="s">
        <v>92</v>
      </c>
      <c r="X21" s="120" t="s">
        <v>69</v>
      </c>
      <c r="Y21" s="121" t="s">
        <v>72</v>
      </c>
      <c r="Z21" s="329" t="s">
        <v>108</v>
      </c>
      <c r="AA21" s="120" t="s">
        <v>69</v>
      </c>
      <c r="AB21" s="120" t="s">
        <v>69</v>
      </c>
      <c r="AC21" s="134" t="s">
        <v>69</v>
      </c>
      <c r="AD21" s="121" t="s">
        <v>72</v>
      </c>
      <c r="AE21" s="121" t="s">
        <v>72</v>
      </c>
      <c r="AF21" s="120" t="s">
        <v>69</v>
      </c>
      <c r="AG21" s="329" t="s">
        <v>108</v>
      </c>
      <c r="AH21" s="120" t="s">
        <v>69</v>
      </c>
      <c r="AI21" s="120" t="s">
        <v>69</v>
      </c>
      <c r="AJ21" s="134" t="s">
        <v>69</v>
      </c>
      <c r="AK21" s="147" t="s">
        <v>92</v>
      </c>
      <c r="AL21">
        <f t="shared" si="0"/>
        <v>7</v>
      </c>
      <c r="AM21">
        <f t="shared" si="1"/>
        <v>0</v>
      </c>
      <c r="AN21">
        <f t="shared" si="2"/>
        <v>0</v>
      </c>
      <c r="AO21">
        <f t="shared" si="3"/>
        <v>0</v>
      </c>
      <c r="AP21">
        <f t="shared" si="4"/>
        <v>0</v>
      </c>
    </row>
    <row r="22" spans="1:42" ht="18">
      <c r="A22" s="5">
        <v>33</v>
      </c>
      <c r="B22" s="476" t="s">
        <v>332</v>
      </c>
      <c r="C22" s="254" t="s">
        <v>29</v>
      </c>
      <c r="D22" s="451" t="s">
        <v>303</v>
      </c>
      <c r="E22" s="7"/>
      <c r="F22" s="7"/>
      <c r="G22" s="7"/>
      <c r="H22" s="239" t="s">
        <v>69</v>
      </c>
      <c r="I22" s="239"/>
      <c r="J22" s="134" t="s">
        <v>69</v>
      </c>
      <c r="K22" s="120" t="s">
        <v>69</v>
      </c>
      <c r="L22" s="464" t="s">
        <v>108</v>
      </c>
      <c r="M22" s="120" t="s">
        <v>69</v>
      </c>
      <c r="N22" s="120" t="s">
        <v>69</v>
      </c>
      <c r="O22" s="120" t="s">
        <v>69</v>
      </c>
      <c r="P22" s="120" t="s">
        <v>69</v>
      </c>
      <c r="Q22" s="120" t="s">
        <v>69</v>
      </c>
      <c r="R22" s="120" t="s">
        <v>69</v>
      </c>
      <c r="S22" s="329" t="s">
        <v>108</v>
      </c>
      <c r="T22" s="120" t="s">
        <v>69</v>
      </c>
      <c r="U22" s="120" t="s">
        <v>69</v>
      </c>
      <c r="V22" s="120" t="s">
        <v>69</v>
      </c>
      <c r="W22" s="120" t="s">
        <v>69</v>
      </c>
      <c r="X22" s="120" t="s">
        <v>69</v>
      </c>
      <c r="Y22" s="120" t="s">
        <v>69</v>
      </c>
      <c r="Z22" s="329" t="s">
        <v>108</v>
      </c>
      <c r="AA22" s="120" t="s">
        <v>69</v>
      </c>
      <c r="AB22" s="120" t="s">
        <v>69</v>
      </c>
      <c r="AC22" s="147" t="s">
        <v>92</v>
      </c>
      <c r="AD22" s="120" t="s">
        <v>69</v>
      </c>
      <c r="AE22" s="120" t="s">
        <v>69</v>
      </c>
      <c r="AF22" s="120" t="s">
        <v>69</v>
      </c>
      <c r="AG22" s="329" t="s">
        <v>108</v>
      </c>
      <c r="AH22" s="120" t="s">
        <v>69</v>
      </c>
      <c r="AI22" s="120" t="s">
        <v>69</v>
      </c>
      <c r="AJ22" s="134" t="s">
        <v>69</v>
      </c>
      <c r="AK22" s="120" t="s">
        <v>69</v>
      </c>
      <c r="AL22">
        <f t="shared" si="0"/>
        <v>0</v>
      </c>
      <c r="AM22">
        <f t="shared" si="1"/>
        <v>0</v>
      </c>
      <c r="AN22">
        <f t="shared" si="2"/>
        <v>0</v>
      </c>
      <c r="AO22">
        <f t="shared" si="3"/>
        <v>0</v>
      </c>
      <c r="AP22">
        <f t="shared" si="4"/>
        <v>0</v>
      </c>
    </row>
    <row r="23" spans="1:42" ht="18">
      <c r="A23" s="5">
        <v>74</v>
      </c>
      <c r="B23" s="476" t="s">
        <v>333</v>
      </c>
      <c r="C23" s="254" t="s">
        <v>57</v>
      </c>
      <c r="D23" s="451" t="s">
        <v>289</v>
      </c>
      <c r="E23" s="7"/>
      <c r="F23" s="7"/>
      <c r="G23" s="7"/>
      <c r="H23" s="239" t="s">
        <v>69</v>
      </c>
      <c r="I23" s="199" t="s">
        <v>69</v>
      </c>
      <c r="J23" s="121" t="s">
        <v>72</v>
      </c>
      <c r="K23" s="9" t="s">
        <v>69</v>
      </c>
      <c r="L23" s="464" t="s">
        <v>108</v>
      </c>
      <c r="M23" s="9" t="s">
        <v>69</v>
      </c>
      <c r="N23" s="9" t="s">
        <v>69</v>
      </c>
      <c r="O23" s="9" t="s">
        <v>69</v>
      </c>
      <c r="P23" s="9" t="s">
        <v>69</v>
      </c>
      <c r="Q23" s="9" t="s">
        <v>69</v>
      </c>
      <c r="R23" s="9" t="s">
        <v>69</v>
      </c>
      <c r="S23" s="469" t="s">
        <v>108</v>
      </c>
      <c r="T23" s="120" t="s">
        <v>69</v>
      </c>
      <c r="U23" s="120" t="s">
        <v>69</v>
      </c>
      <c r="V23" s="134" t="s">
        <v>69</v>
      </c>
      <c r="W23" s="121" t="s">
        <v>72</v>
      </c>
      <c r="X23" s="120" t="s">
        <v>69</v>
      </c>
      <c r="Y23" s="120" t="s">
        <v>69</v>
      </c>
      <c r="Z23" s="329" t="s">
        <v>108</v>
      </c>
      <c r="AA23" s="134" t="s">
        <v>69</v>
      </c>
      <c r="AB23" s="134" t="s">
        <v>69</v>
      </c>
      <c r="AC23" s="134" t="s">
        <v>69</v>
      </c>
      <c r="AD23" s="134" t="s">
        <v>69</v>
      </c>
      <c r="AE23" s="120" t="s">
        <v>69</v>
      </c>
      <c r="AF23" s="120" t="s">
        <v>69</v>
      </c>
      <c r="AG23" s="329" t="s">
        <v>108</v>
      </c>
      <c r="AH23" s="120" t="s">
        <v>69</v>
      </c>
      <c r="AI23" s="120" t="s">
        <v>69</v>
      </c>
      <c r="AJ23" s="120" t="s">
        <v>69</v>
      </c>
      <c r="AK23" s="120" t="s">
        <v>69</v>
      </c>
      <c r="AL23">
        <f t="shared" si="0"/>
        <v>2</v>
      </c>
      <c r="AM23">
        <f t="shared" si="1"/>
        <v>0</v>
      </c>
      <c r="AN23">
        <f t="shared" si="2"/>
        <v>0</v>
      </c>
      <c r="AO23">
        <f t="shared" si="3"/>
        <v>0</v>
      </c>
      <c r="AP23">
        <f t="shared" si="4"/>
        <v>0</v>
      </c>
    </row>
    <row r="24" spans="1:42" ht="18">
      <c r="A24" s="5">
        <v>48</v>
      </c>
      <c r="B24" s="476" t="s">
        <v>334</v>
      </c>
      <c r="C24" s="254" t="s">
        <v>39</v>
      </c>
      <c r="D24" s="451" t="s">
        <v>285</v>
      </c>
      <c r="E24" s="7"/>
      <c r="F24" s="7"/>
      <c r="G24" s="7"/>
      <c r="H24" s="239" t="s">
        <v>69</v>
      </c>
      <c r="I24" s="134" t="s">
        <v>69</v>
      </c>
      <c r="J24" s="207" t="s">
        <v>69</v>
      </c>
      <c r="K24" s="9" t="s">
        <v>69</v>
      </c>
      <c r="L24" s="464" t="s">
        <v>108</v>
      </c>
      <c r="M24" s="9" t="s">
        <v>69</v>
      </c>
      <c r="N24" s="9" t="s">
        <v>69</v>
      </c>
      <c r="O24" s="9" t="s">
        <v>69</v>
      </c>
      <c r="P24" s="467" t="s">
        <v>148</v>
      </c>
      <c r="Q24" s="120" t="s">
        <v>69</v>
      </c>
      <c r="R24" s="120" t="s">
        <v>69</v>
      </c>
      <c r="S24" s="329" t="s">
        <v>108</v>
      </c>
      <c r="T24" s="134" t="s">
        <v>69</v>
      </c>
      <c r="U24" s="120" t="s">
        <v>69</v>
      </c>
      <c r="V24" s="137" t="s">
        <v>111</v>
      </c>
      <c r="W24" s="134" t="s">
        <v>69</v>
      </c>
      <c r="X24" s="120" t="s">
        <v>69</v>
      </c>
      <c r="Y24" s="120" t="s">
        <v>69</v>
      </c>
      <c r="Z24" s="329" t="s">
        <v>108</v>
      </c>
      <c r="AA24" s="120" t="s">
        <v>69</v>
      </c>
      <c r="AB24" s="120" t="s">
        <v>69</v>
      </c>
      <c r="AC24" s="134" t="s">
        <v>69</v>
      </c>
      <c r="AD24" s="120" t="s">
        <v>69</v>
      </c>
      <c r="AE24" s="121" t="s">
        <v>72</v>
      </c>
      <c r="AF24" s="121" t="s">
        <v>72</v>
      </c>
      <c r="AG24" s="329" t="s">
        <v>108</v>
      </c>
      <c r="AH24" s="120" t="s">
        <v>69</v>
      </c>
      <c r="AI24" s="120" t="s">
        <v>69</v>
      </c>
      <c r="AJ24" s="120" t="s">
        <v>69</v>
      </c>
      <c r="AK24" s="120" t="s">
        <v>69</v>
      </c>
      <c r="AL24">
        <f t="shared" si="0"/>
        <v>2</v>
      </c>
      <c r="AM24">
        <f t="shared" si="1"/>
        <v>1</v>
      </c>
      <c r="AN24">
        <f t="shared" si="2"/>
        <v>0</v>
      </c>
      <c r="AO24">
        <f t="shared" si="3"/>
        <v>0</v>
      </c>
      <c r="AP24">
        <f t="shared" si="4"/>
        <v>0</v>
      </c>
    </row>
    <row r="25" spans="1:42" ht="18">
      <c r="A25" s="5">
        <v>21</v>
      </c>
      <c r="B25" s="476" t="s">
        <v>335</v>
      </c>
      <c r="C25" s="254" t="s">
        <v>22</v>
      </c>
      <c r="D25" s="451" t="s">
        <v>285</v>
      </c>
      <c r="E25" s="7"/>
      <c r="F25" s="7"/>
      <c r="G25" s="7"/>
      <c r="H25" s="239" t="s">
        <v>69</v>
      </c>
      <c r="I25" s="206" t="s">
        <v>69</v>
      </c>
      <c r="J25" s="168" t="s">
        <v>69</v>
      </c>
      <c r="K25" s="65" t="s">
        <v>69</v>
      </c>
      <c r="L25" s="464" t="s">
        <v>108</v>
      </c>
      <c r="M25" s="120" t="s">
        <v>69</v>
      </c>
      <c r="N25" s="120" t="s">
        <v>69</v>
      </c>
      <c r="O25" s="120" t="s">
        <v>69</v>
      </c>
      <c r="P25" s="467" t="s">
        <v>321</v>
      </c>
      <c r="Q25" s="120" t="s">
        <v>69</v>
      </c>
      <c r="R25" s="120" t="s">
        <v>69</v>
      </c>
      <c r="S25" s="469" t="s">
        <v>108</v>
      </c>
      <c r="T25" s="120" t="s">
        <v>69</v>
      </c>
      <c r="U25" s="121" t="s">
        <v>72</v>
      </c>
      <c r="V25" s="463" t="s">
        <v>111</v>
      </c>
      <c r="W25" s="131" t="s">
        <v>72</v>
      </c>
      <c r="X25" s="120" t="s">
        <v>69</v>
      </c>
      <c r="Y25" s="120" t="s">
        <v>69</v>
      </c>
      <c r="Z25" s="329" t="s">
        <v>108</v>
      </c>
      <c r="AA25" s="120" t="s">
        <v>69</v>
      </c>
      <c r="AB25" s="120" t="s">
        <v>69</v>
      </c>
      <c r="AC25" s="134" t="s">
        <v>69</v>
      </c>
      <c r="AD25" s="120" t="s">
        <v>69</v>
      </c>
      <c r="AE25" s="120" t="s">
        <v>69</v>
      </c>
      <c r="AF25" s="120" t="s">
        <v>69</v>
      </c>
      <c r="AG25" s="329" t="s">
        <v>108</v>
      </c>
      <c r="AH25" s="120" t="s">
        <v>69</v>
      </c>
      <c r="AI25" s="120" t="s">
        <v>69</v>
      </c>
      <c r="AJ25" s="134" t="s">
        <v>69</v>
      </c>
      <c r="AK25" s="120" t="s">
        <v>69</v>
      </c>
      <c r="AL25">
        <f t="shared" si="0"/>
        <v>2</v>
      </c>
      <c r="AM25">
        <f t="shared" si="1"/>
        <v>1</v>
      </c>
      <c r="AN25">
        <f t="shared" si="2"/>
        <v>0</v>
      </c>
      <c r="AO25">
        <f t="shared" si="3"/>
        <v>0</v>
      </c>
      <c r="AP25">
        <f t="shared" si="4"/>
        <v>0</v>
      </c>
    </row>
    <row r="26" spans="1:42" ht="18">
      <c r="A26" s="5">
        <v>58</v>
      </c>
      <c r="B26" s="476" t="s">
        <v>336</v>
      </c>
      <c r="C26" s="254" t="s">
        <v>47</v>
      </c>
      <c r="D26" s="487" t="s">
        <v>300</v>
      </c>
      <c r="E26" s="7"/>
      <c r="F26" s="7"/>
      <c r="G26" s="7"/>
      <c r="H26" s="239" t="s">
        <v>69</v>
      </c>
      <c r="I26" s="169" t="s">
        <v>69</v>
      </c>
      <c r="J26" s="239" t="s">
        <v>69</v>
      </c>
      <c r="K26" s="65" t="s">
        <v>69</v>
      </c>
      <c r="L26" s="464" t="s">
        <v>108</v>
      </c>
      <c r="M26" s="120" t="s">
        <v>69</v>
      </c>
      <c r="N26" s="120" t="s">
        <v>69</v>
      </c>
      <c r="O26" s="120" t="s">
        <v>69</v>
      </c>
      <c r="P26" s="120" t="s">
        <v>69</v>
      </c>
      <c r="Q26" s="447" t="s">
        <v>94</v>
      </c>
      <c r="R26" s="447" t="s">
        <v>94</v>
      </c>
      <c r="S26" s="329" t="s">
        <v>108</v>
      </c>
      <c r="T26" s="120" t="s">
        <v>69</v>
      </c>
      <c r="U26" s="120" t="s">
        <v>69</v>
      </c>
      <c r="V26" s="134" t="s">
        <v>69</v>
      </c>
      <c r="W26" s="134" t="s">
        <v>69</v>
      </c>
      <c r="X26" s="120" t="s">
        <v>69</v>
      </c>
      <c r="Y26" s="120" t="s">
        <v>69</v>
      </c>
      <c r="Z26" s="329" t="s">
        <v>108</v>
      </c>
      <c r="AA26" s="120" t="s">
        <v>69</v>
      </c>
      <c r="AB26" s="120" t="s">
        <v>69</v>
      </c>
      <c r="AC26" s="134" t="s">
        <v>69</v>
      </c>
      <c r="AD26" s="120" t="s">
        <v>69</v>
      </c>
      <c r="AE26" s="121" t="s">
        <v>72</v>
      </c>
      <c r="AF26" s="120" t="s">
        <v>69</v>
      </c>
      <c r="AG26" s="329" t="s">
        <v>108</v>
      </c>
      <c r="AH26" s="120" t="s">
        <v>69</v>
      </c>
      <c r="AI26" s="120" t="s">
        <v>69</v>
      </c>
      <c r="AJ26" s="120" t="s">
        <v>69</v>
      </c>
      <c r="AK26" s="120" t="s">
        <v>69</v>
      </c>
      <c r="AL26">
        <f t="shared" si="0"/>
        <v>1</v>
      </c>
      <c r="AM26">
        <f t="shared" si="1"/>
        <v>0</v>
      </c>
      <c r="AN26">
        <f t="shared" si="2"/>
        <v>0</v>
      </c>
      <c r="AO26">
        <f t="shared" si="3"/>
        <v>0</v>
      </c>
      <c r="AP26">
        <f t="shared" si="4"/>
        <v>0</v>
      </c>
    </row>
    <row r="27" spans="1:42" ht="18">
      <c r="A27" s="5">
        <v>63</v>
      </c>
      <c r="B27" s="476" t="s">
        <v>337</v>
      </c>
      <c r="C27" s="254" t="s">
        <v>50</v>
      </c>
      <c r="D27" s="487" t="s">
        <v>284</v>
      </c>
      <c r="E27" s="7"/>
      <c r="F27" s="7"/>
      <c r="G27" s="7"/>
      <c r="H27" s="239" t="s">
        <v>69</v>
      </c>
      <c r="I27" s="239" t="s">
        <v>69</v>
      </c>
      <c r="J27" s="239" t="s">
        <v>69</v>
      </c>
      <c r="K27" s="134" t="s">
        <v>69</v>
      </c>
      <c r="L27" s="464" t="s">
        <v>108</v>
      </c>
      <c r="M27" s="120" t="s">
        <v>69</v>
      </c>
      <c r="N27" s="120" t="s">
        <v>69</v>
      </c>
      <c r="O27" s="120" t="s">
        <v>69</v>
      </c>
      <c r="P27" s="120" t="s">
        <v>69</v>
      </c>
      <c r="Q27" s="120" t="s">
        <v>69</v>
      </c>
      <c r="R27" s="120" t="s">
        <v>69</v>
      </c>
      <c r="S27" s="469" t="s">
        <v>108</v>
      </c>
      <c r="T27" s="120" t="s">
        <v>69</v>
      </c>
      <c r="U27" s="120" t="s">
        <v>69</v>
      </c>
      <c r="V27" s="672" t="s">
        <v>69</v>
      </c>
      <c r="W27" s="672" t="s">
        <v>69</v>
      </c>
      <c r="X27" s="120" t="s">
        <v>69</v>
      </c>
      <c r="Y27" s="120" t="s">
        <v>69</v>
      </c>
      <c r="Z27" s="329" t="s">
        <v>108</v>
      </c>
      <c r="AA27" s="120" t="s">
        <v>69</v>
      </c>
      <c r="AB27" s="120" t="s">
        <v>69</v>
      </c>
      <c r="AC27" s="121" t="s">
        <v>72</v>
      </c>
      <c r="AD27" s="120" t="s">
        <v>69</v>
      </c>
      <c r="AE27" s="120" t="s">
        <v>69</v>
      </c>
      <c r="AF27" s="120" t="s">
        <v>69</v>
      </c>
      <c r="AG27" s="329" t="s">
        <v>108</v>
      </c>
      <c r="AH27" s="120" t="s">
        <v>69</v>
      </c>
      <c r="AI27" s="120" t="s">
        <v>69</v>
      </c>
      <c r="AJ27" s="120" t="s">
        <v>69</v>
      </c>
      <c r="AK27" s="120" t="s">
        <v>69</v>
      </c>
      <c r="AL27">
        <f t="shared" si="0"/>
        <v>1</v>
      </c>
      <c r="AM27">
        <f t="shared" si="1"/>
        <v>0</v>
      </c>
      <c r="AN27">
        <f t="shared" si="2"/>
        <v>0</v>
      </c>
      <c r="AO27">
        <f t="shared" si="3"/>
        <v>0</v>
      </c>
      <c r="AP27">
        <f t="shared" si="4"/>
        <v>0</v>
      </c>
    </row>
    <row r="28" spans="1:42" ht="18">
      <c r="A28" s="5">
        <v>51</v>
      </c>
      <c r="B28" s="476" t="s">
        <v>338</v>
      </c>
      <c r="C28" s="186" t="s">
        <v>41</v>
      </c>
      <c r="D28" s="456" t="s">
        <v>300</v>
      </c>
      <c r="E28" s="7"/>
      <c r="F28" s="7"/>
      <c r="G28" s="7"/>
      <c r="H28" s="239" t="s">
        <v>69</v>
      </c>
      <c r="I28" s="239" t="s">
        <v>69</v>
      </c>
      <c r="J28" s="239" t="s">
        <v>69</v>
      </c>
      <c r="K28" s="134" t="s">
        <v>69</v>
      </c>
      <c r="L28" s="464" t="s">
        <v>108</v>
      </c>
      <c r="M28" s="120" t="s">
        <v>69</v>
      </c>
      <c r="N28" s="120" t="s">
        <v>69</v>
      </c>
      <c r="O28" s="120" t="s">
        <v>69</v>
      </c>
      <c r="P28" s="120" t="s">
        <v>69</v>
      </c>
      <c r="Q28" s="120" t="s">
        <v>69</v>
      </c>
      <c r="R28" s="120" t="s">
        <v>69</v>
      </c>
      <c r="S28" s="329" t="s">
        <v>108</v>
      </c>
      <c r="T28" s="120" t="s">
        <v>69</v>
      </c>
      <c r="U28" s="120" t="s">
        <v>69</v>
      </c>
      <c r="V28" s="134" t="s">
        <v>69</v>
      </c>
      <c r="W28" s="134" t="s">
        <v>69</v>
      </c>
      <c r="X28" s="120" t="s">
        <v>69</v>
      </c>
      <c r="Y28" s="120" t="s">
        <v>69</v>
      </c>
      <c r="Z28" s="329" t="s">
        <v>108</v>
      </c>
      <c r="AA28" s="120" t="s">
        <v>69</v>
      </c>
      <c r="AB28" s="120" t="s">
        <v>69</v>
      </c>
      <c r="AC28" s="134" t="s">
        <v>69</v>
      </c>
      <c r="AD28" s="120" t="s">
        <v>69</v>
      </c>
      <c r="AE28" s="121" t="s">
        <v>72</v>
      </c>
      <c r="AF28" s="120" t="s">
        <v>69</v>
      </c>
      <c r="AG28" s="329" t="s">
        <v>108</v>
      </c>
      <c r="AH28" s="120" t="s">
        <v>69</v>
      </c>
      <c r="AI28" s="134" t="s">
        <v>69</v>
      </c>
      <c r="AJ28" s="134" t="s">
        <v>69</v>
      </c>
      <c r="AK28" s="134" t="s">
        <v>69</v>
      </c>
      <c r="AL28">
        <f t="shared" si="0"/>
        <v>1</v>
      </c>
      <c r="AM28">
        <f t="shared" si="1"/>
        <v>0</v>
      </c>
      <c r="AN28">
        <f t="shared" si="2"/>
        <v>0</v>
      </c>
      <c r="AO28">
        <f t="shared" si="3"/>
        <v>0</v>
      </c>
      <c r="AP28">
        <f t="shared" si="4"/>
        <v>0</v>
      </c>
    </row>
    <row r="29" spans="1:42" ht="18">
      <c r="A29" s="5">
        <v>43</v>
      </c>
      <c r="B29" s="476" t="s">
        <v>339</v>
      </c>
      <c r="C29" s="186" t="s">
        <v>36</v>
      </c>
      <c r="D29" s="451" t="s">
        <v>301</v>
      </c>
      <c r="E29" s="7"/>
      <c r="F29" s="7"/>
      <c r="G29" s="7"/>
      <c r="H29" s="239" t="s">
        <v>69</v>
      </c>
      <c r="I29" s="134" t="s">
        <v>69</v>
      </c>
      <c r="J29" s="121" t="s">
        <v>72</v>
      </c>
      <c r="K29" s="9" t="s">
        <v>69</v>
      </c>
      <c r="L29" s="464" t="s">
        <v>108</v>
      </c>
      <c r="M29" s="120" t="s">
        <v>69</v>
      </c>
      <c r="N29" s="120" t="s">
        <v>69</v>
      </c>
      <c r="O29" s="120" t="s">
        <v>69</v>
      </c>
      <c r="P29" s="120" t="s">
        <v>69</v>
      </c>
      <c r="Q29" s="120" t="s">
        <v>69</v>
      </c>
      <c r="R29" s="132" t="s">
        <v>94</v>
      </c>
      <c r="S29" s="469" t="s">
        <v>108</v>
      </c>
      <c r="T29" s="130" t="s">
        <v>92</v>
      </c>
      <c r="U29" s="120" t="s">
        <v>69</v>
      </c>
      <c r="V29" s="134" t="s">
        <v>69</v>
      </c>
      <c r="W29" s="134" t="s">
        <v>69</v>
      </c>
      <c r="X29" s="120" t="s">
        <v>69</v>
      </c>
      <c r="Y29" s="120" t="s">
        <v>69</v>
      </c>
      <c r="Z29" s="329" t="s">
        <v>108</v>
      </c>
      <c r="AA29" s="120" t="s">
        <v>69</v>
      </c>
      <c r="AB29" s="147" t="s">
        <v>92</v>
      </c>
      <c r="AC29" s="134" t="s">
        <v>69</v>
      </c>
      <c r="AD29" s="120" t="s">
        <v>69</v>
      </c>
      <c r="AE29" s="120" t="s">
        <v>69</v>
      </c>
      <c r="AF29" s="121" t="s">
        <v>72</v>
      </c>
      <c r="AG29" s="329" t="s">
        <v>108</v>
      </c>
      <c r="AH29" s="121" t="s">
        <v>72</v>
      </c>
      <c r="AI29" s="134" t="s">
        <v>69</v>
      </c>
      <c r="AJ29" s="134" t="s">
        <v>69</v>
      </c>
      <c r="AK29" s="134" t="s">
        <v>69</v>
      </c>
      <c r="AL29">
        <f t="shared" si="0"/>
        <v>3</v>
      </c>
      <c r="AM29">
        <f t="shared" si="1"/>
        <v>0</v>
      </c>
      <c r="AN29">
        <f t="shared" si="2"/>
        <v>0</v>
      </c>
      <c r="AO29">
        <f t="shared" si="3"/>
        <v>0</v>
      </c>
      <c r="AP29">
        <f t="shared" si="4"/>
        <v>0</v>
      </c>
    </row>
    <row r="30" spans="1:42" ht="18">
      <c r="A30" s="5">
        <v>36</v>
      </c>
      <c r="B30" s="476" t="s">
        <v>340</v>
      </c>
      <c r="C30" s="254" t="s">
        <v>31</v>
      </c>
      <c r="D30" s="450" t="s">
        <v>292</v>
      </c>
      <c r="E30" s="7"/>
      <c r="F30" s="7"/>
      <c r="G30" s="7"/>
      <c r="H30" s="239" t="s">
        <v>69</v>
      </c>
      <c r="I30" s="239" t="s">
        <v>69</v>
      </c>
      <c r="J30" s="239" t="s">
        <v>69</v>
      </c>
      <c r="K30" s="134" t="s">
        <v>69</v>
      </c>
      <c r="L30" s="464" t="s">
        <v>108</v>
      </c>
      <c r="M30" s="120" t="s">
        <v>69</v>
      </c>
      <c r="N30" s="120" t="s">
        <v>69</v>
      </c>
      <c r="O30" s="120" t="s">
        <v>69</v>
      </c>
      <c r="P30" s="120" t="s">
        <v>69</v>
      </c>
      <c r="Q30" s="120" t="s">
        <v>69</v>
      </c>
      <c r="R30" s="120" t="s">
        <v>69</v>
      </c>
      <c r="S30" s="329" t="s">
        <v>108</v>
      </c>
      <c r="T30" s="120" t="s">
        <v>69</v>
      </c>
      <c r="U30" s="120" t="s">
        <v>69</v>
      </c>
      <c r="V30" s="120" t="s">
        <v>69</v>
      </c>
      <c r="W30" s="120" t="s">
        <v>69</v>
      </c>
      <c r="X30" s="120" t="s">
        <v>69</v>
      </c>
      <c r="Y30" s="120" t="s">
        <v>69</v>
      </c>
      <c r="Z30" s="329" t="s">
        <v>108</v>
      </c>
      <c r="AA30" s="120" t="s">
        <v>69</v>
      </c>
      <c r="AB30" s="120" t="s">
        <v>69</v>
      </c>
      <c r="AC30" s="134" t="s">
        <v>69</v>
      </c>
      <c r="AD30" s="120" t="s">
        <v>69</v>
      </c>
      <c r="AE30" s="120" t="s">
        <v>69</v>
      </c>
      <c r="AF30" s="120" t="s">
        <v>69</v>
      </c>
      <c r="AG30" s="329" t="s">
        <v>108</v>
      </c>
      <c r="AH30" s="120" t="s">
        <v>69</v>
      </c>
      <c r="AI30" s="120" t="s">
        <v>69</v>
      </c>
      <c r="AJ30" s="134" t="s">
        <v>69</v>
      </c>
      <c r="AK30" s="120" t="s">
        <v>69</v>
      </c>
      <c r="AL30">
        <f t="shared" si="0"/>
        <v>0</v>
      </c>
      <c r="AM30">
        <f t="shared" si="1"/>
        <v>0</v>
      </c>
      <c r="AN30">
        <f t="shared" si="2"/>
        <v>0</v>
      </c>
      <c r="AO30">
        <f t="shared" si="3"/>
        <v>0</v>
      </c>
      <c r="AP30">
        <f t="shared" si="4"/>
        <v>0</v>
      </c>
    </row>
    <row r="31" spans="1:42" ht="18">
      <c r="A31" s="5">
        <v>47</v>
      </c>
      <c r="B31" s="476" t="s">
        <v>341</v>
      </c>
      <c r="C31" s="254" t="s">
        <v>38</v>
      </c>
      <c r="D31" s="450" t="s">
        <v>133</v>
      </c>
      <c r="E31" s="7"/>
      <c r="F31" s="7"/>
      <c r="G31" s="7"/>
      <c r="H31" s="239" t="s">
        <v>69</v>
      </c>
      <c r="I31" s="134" t="s">
        <v>69</v>
      </c>
      <c r="J31" s="134" t="s">
        <v>69</v>
      </c>
      <c r="K31" s="9" t="s">
        <v>69</v>
      </c>
      <c r="L31" s="464" t="s">
        <v>108</v>
      </c>
      <c r="M31" s="120" t="s">
        <v>69</v>
      </c>
      <c r="N31" s="120" t="s">
        <v>69</v>
      </c>
      <c r="O31" s="120" t="s">
        <v>69</v>
      </c>
      <c r="P31" s="120" t="s">
        <v>69</v>
      </c>
      <c r="Q31" s="120" t="s">
        <v>69</v>
      </c>
      <c r="R31" s="120" t="s">
        <v>69</v>
      </c>
      <c r="S31" s="469" t="s">
        <v>108</v>
      </c>
      <c r="T31" s="120" t="s">
        <v>69</v>
      </c>
      <c r="U31" s="120" t="s">
        <v>69</v>
      </c>
      <c r="V31" s="134" t="s">
        <v>69</v>
      </c>
      <c r="W31" s="134" t="s">
        <v>69</v>
      </c>
      <c r="X31" s="120" t="s">
        <v>69</v>
      </c>
      <c r="Y31" s="120" t="s">
        <v>69</v>
      </c>
      <c r="Z31" s="329" t="s">
        <v>108</v>
      </c>
      <c r="AA31" s="120" t="s">
        <v>69</v>
      </c>
      <c r="AB31" s="134" t="s">
        <v>69</v>
      </c>
      <c r="AC31" s="134" t="s">
        <v>69</v>
      </c>
      <c r="AD31" s="120" t="s">
        <v>69</v>
      </c>
      <c r="AE31" s="120" t="s">
        <v>69</v>
      </c>
      <c r="AF31" s="120" t="s">
        <v>69</v>
      </c>
      <c r="AG31" s="329" t="s">
        <v>108</v>
      </c>
      <c r="AH31" s="120" t="s">
        <v>69</v>
      </c>
      <c r="AI31" s="120" t="s">
        <v>69</v>
      </c>
      <c r="AJ31" s="120" t="s">
        <v>69</v>
      </c>
      <c r="AK31" s="120" t="s">
        <v>69</v>
      </c>
      <c r="AL31">
        <f t="shared" si="0"/>
        <v>0</v>
      </c>
      <c r="AM31">
        <f t="shared" si="1"/>
        <v>0</v>
      </c>
      <c r="AN31">
        <f t="shared" si="2"/>
        <v>0</v>
      </c>
      <c r="AO31">
        <f t="shared" si="3"/>
        <v>0</v>
      </c>
      <c r="AP31">
        <f t="shared" si="4"/>
        <v>0</v>
      </c>
    </row>
    <row r="32" spans="1:42" ht="18">
      <c r="A32" s="5">
        <v>38</v>
      </c>
      <c r="B32" s="476" t="s">
        <v>342</v>
      </c>
      <c r="C32" s="186" t="s">
        <v>33</v>
      </c>
      <c r="D32" s="450" t="s">
        <v>300</v>
      </c>
      <c r="E32" s="7"/>
      <c r="F32" s="7"/>
      <c r="G32" s="7"/>
      <c r="H32" s="239" t="s">
        <v>69</v>
      </c>
      <c r="I32" s="239" t="s">
        <v>69</v>
      </c>
      <c r="J32" s="134" t="s">
        <v>69</v>
      </c>
      <c r="K32" s="25" t="s">
        <v>72</v>
      </c>
      <c r="L32" s="464" t="s">
        <v>108</v>
      </c>
      <c r="M32" s="120" t="s">
        <v>69</v>
      </c>
      <c r="N32" s="120" t="s">
        <v>69</v>
      </c>
      <c r="O32" s="120" t="s">
        <v>69</v>
      </c>
      <c r="P32" s="120" t="s">
        <v>69</v>
      </c>
      <c r="Q32" s="120" t="s">
        <v>69</v>
      </c>
      <c r="R32" s="121" t="s">
        <v>72</v>
      </c>
      <c r="S32" s="329" t="s">
        <v>108</v>
      </c>
      <c r="T32" s="120" t="s">
        <v>69</v>
      </c>
      <c r="U32" s="120" t="s">
        <v>69</v>
      </c>
      <c r="V32" s="134" t="s">
        <v>69</v>
      </c>
      <c r="W32" s="134" t="s">
        <v>69</v>
      </c>
      <c r="X32" s="120" t="s">
        <v>69</v>
      </c>
      <c r="Y32" s="120" t="s">
        <v>69</v>
      </c>
      <c r="Z32" s="329" t="s">
        <v>108</v>
      </c>
      <c r="AA32" s="120" t="s">
        <v>69</v>
      </c>
      <c r="AB32" s="120" t="s">
        <v>69</v>
      </c>
      <c r="AC32" s="134" t="s">
        <v>69</v>
      </c>
      <c r="AD32" s="120" t="s">
        <v>69</v>
      </c>
      <c r="AE32" s="120" t="s">
        <v>69</v>
      </c>
      <c r="AF32" s="120" t="s">
        <v>69</v>
      </c>
      <c r="AG32" s="329" t="s">
        <v>108</v>
      </c>
      <c r="AH32" s="120" t="s">
        <v>69</v>
      </c>
      <c r="AI32" s="120" t="s">
        <v>69</v>
      </c>
      <c r="AJ32" s="134" t="s">
        <v>69</v>
      </c>
      <c r="AK32" s="120" t="s">
        <v>69</v>
      </c>
      <c r="AL32">
        <f t="shared" si="0"/>
        <v>2</v>
      </c>
      <c r="AM32">
        <f t="shared" si="1"/>
        <v>0</v>
      </c>
      <c r="AN32">
        <f t="shared" si="2"/>
        <v>0</v>
      </c>
      <c r="AO32">
        <f t="shared" si="3"/>
        <v>0</v>
      </c>
      <c r="AP32">
        <f t="shared" si="4"/>
        <v>0</v>
      </c>
    </row>
    <row r="33" spans="1:42" ht="18">
      <c r="A33" s="5">
        <v>40</v>
      </c>
      <c r="B33" s="476" t="s">
        <v>343</v>
      </c>
      <c r="C33" s="186" t="s">
        <v>35</v>
      </c>
      <c r="D33" s="450" t="s">
        <v>303</v>
      </c>
      <c r="E33" s="7"/>
      <c r="F33" s="7"/>
      <c r="G33" s="7"/>
      <c r="H33" s="239" t="s">
        <v>69</v>
      </c>
      <c r="I33" s="134" t="s">
        <v>69</v>
      </c>
      <c r="J33" s="134" t="s">
        <v>69</v>
      </c>
      <c r="K33" s="134" t="s">
        <v>69</v>
      </c>
      <c r="L33" s="464" t="s">
        <v>108</v>
      </c>
      <c r="M33" s="120" t="s">
        <v>69</v>
      </c>
      <c r="N33" s="120" t="s">
        <v>69</v>
      </c>
      <c r="O33" s="120" t="s">
        <v>69</v>
      </c>
      <c r="P33" s="120" t="s">
        <v>69</v>
      </c>
      <c r="Q33" s="120" t="s">
        <v>69</v>
      </c>
      <c r="R33" s="120" t="s">
        <v>69</v>
      </c>
      <c r="S33" s="469" t="s">
        <v>108</v>
      </c>
      <c r="T33" s="120" t="s">
        <v>69</v>
      </c>
      <c r="U33" s="120" t="s">
        <v>69</v>
      </c>
      <c r="V33" s="134" t="s">
        <v>69</v>
      </c>
      <c r="W33" s="134" t="s">
        <v>69</v>
      </c>
      <c r="X33" s="134" t="s">
        <v>69</v>
      </c>
      <c r="Y33" s="134" t="s">
        <v>69</v>
      </c>
      <c r="Z33" s="329" t="s">
        <v>108</v>
      </c>
      <c r="AA33" s="134" t="s">
        <v>69</v>
      </c>
      <c r="AB33" s="120" t="s">
        <v>69</v>
      </c>
      <c r="AC33" s="121" t="s">
        <v>72</v>
      </c>
      <c r="AD33" s="121" t="s">
        <v>72</v>
      </c>
      <c r="AE33" s="120" t="s">
        <v>69</v>
      </c>
      <c r="AF33" s="120" t="s">
        <v>69</v>
      </c>
      <c r="AG33" s="329" t="s">
        <v>108</v>
      </c>
      <c r="AH33" s="120" t="s">
        <v>69</v>
      </c>
      <c r="AI33" s="120" t="s">
        <v>69</v>
      </c>
      <c r="AJ33" s="134" t="s">
        <v>69</v>
      </c>
      <c r="AK33" s="120" t="s">
        <v>69</v>
      </c>
      <c r="AL33">
        <f t="shared" si="0"/>
        <v>2</v>
      </c>
      <c r="AM33">
        <f t="shared" si="1"/>
        <v>0</v>
      </c>
      <c r="AN33">
        <f t="shared" si="2"/>
        <v>0</v>
      </c>
      <c r="AO33">
        <f t="shared" si="3"/>
        <v>0</v>
      </c>
      <c r="AP33">
        <f t="shared" si="4"/>
        <v>0</v>
      </c>
    </row>
    <row r="34" spans="1:42" ht="18">
      <c r="A34" s="5">
        <v>77</v>
      </c>
      <c r="B34" s="476" t="s">
        <v>344</v>
      </c>
      <c r="C34" s="186" t="s">
        <v>60</v>
      </c>
      <c r="D34" s="489" t="s">
        <v>301</v>
      </c>
      <c r="E34" s="7"/>
      <c r="F34" s="7"/>
      <c r="G34" s="7"/>
      <c r="H34" s="153" t="s">
        <v>72</v>
      </c>
      <c r="I34" s="169" t="s">
        <v>69</v>
      </c>
      <c r="J34" s="169" t="s">
        <v>69</v>
      </c>
      <c r="K34" s="168" t="s">
        <v>69</v>
      </c>
      <c r="L34" s="464" t="s">
        <v>108</v>
      </c>
      <c r="M34" s="9" t="s">
        <v>69</v>
      </c>
      <c r="N34" s="9" t="s">
        <v>69</v>
      </c>
      <c r="O34" s="9" t="s">
        <v>69</v>
      </c>
      <c r="P34" s="9" t="s">
        <v>69</v>
      </c>
      <c r="Q34" s="9" t="s">
        <v>69</v>
      </c>
      <c r="R34" s="131" t="s">
        <v>72</v>
      </c>
      <c r="S34" s="329" t="s">
        <v>108</v>
      </c>
      <c r="T34" s="131" t="s">
        <v>72</v>
      </c>
      <c r="U34" s="120" t="s">
        <v>69</v>
      </c>
      <c r="V34" s="672" t="s">
        <v>69</v>
      </c>
      <c r="W34" s="672" t="s">
        <v>69</v>
      </c>
      <c r="X34" s="672" t="s">
        <v>69</v>
      </c>
      <c r="Y34" s="147" t="s">
        <v>345</v>
      </c>
      <c r="Z34" s="329" t="s">
        <v>108</v>
      </c>
      <c r="AA34" s="120" t="s">
        <v>69</v>
      </c>
      <c r="AB34" s="120" t="s">
        <v>69</v>
      </c>
      <c r="AC34" s="134" t="s">
        <v>69</v>
      </c>
      <c r="AD34" s="120" t="s">
        <v>69</v>
      </c>
      <c r="AE34" s="121" t="s">
        <v>72</v>
      </c>
      <c r="AF34" s="121" t="s">
        <v>72</v>
      </c>
      <c r="AG34" s="329" t="s">
        <v>108</v>
      </c>
      <c r="AH34" s="121" t="s">
        <v>72</v>
      </c>
      <c r="AI34" s="134" t="s">
        <v>69</v>
      </c>
      <c r="AJ34" s="134" t="s">
        <v>69</v>
      </c>
      <c r="AK34" s="134" t="s">
        <v>69</v>
      </c>
      <c r="AL34">
        <f t="shared" ref="AL34:AL65" si="5">COUNTIF(H34:AK34, "AB")</f>
        <v>6</v>
      </c>
      <c r="AM34">
        <f t="shared" ref="AM34:AM65" si="6">COUNTIF(H34:AK34, "CL")</f>
        <v>0</v>
      </c>
      <c r="AN34">
        <f t="shared" ref="AN34:AN65" si="7">COUNTIF(H34:AK34, "H.D")</f>
        <v>0</v>
      </c>
      <c r="AO34">
        <f t="shared" ref="AO34:AO65" si="8">COUNTIF(H34:AK34, "CO")</f>
        <v>0</v>
      </c>
      <c r="AP34">
        <f t="shared" ref="AP34:AP65" si="9">COUNTIF(H34:AK34, "SL")</f>
        <v>0</v>
      </c>
    </row>
    <row r="35" spans="1:42" ht="18">
      <c r="A35" s="5">
        <v>9</v>
      </c>
      <c r="B35" s="476" t="s">
        <v>346</v>
      </c>
      <c r="C35" s="254" t="s">
        <v>290</v>
      </c>
      <c r="D35" s="450" t="s">
        <v>291</v>
      </c>
      <c r="E35" s="7"/>
      <c r="F35" s="7"/>
      <c r="G35" s="7"/>
      <c r="H35" s="239" t="s">
        <v>69</v>
      </c>
      <c r="I35" s="169" t="s">
        <v>69</v>
      </c>
      <c r="J35" s="169" t="s">
        <v>69</v>
      </c>
      <c r="K35" s="168" t="s">
        <v>69</v>
      </c>
      <c r="L35" s="464" t="s">
        <v>108</v>
      </c>
      <c r="M35" s="120" t="s">
        <v>69</v>
      </c>
      <c r="N35" s="120" t="s">
        <v>69</v>
      </c>
      <c r="O35" s="120" t="s">
        <v>69</v>
      </c>
      <c r="P35" s="120" t="s">
        <v>69</v>
      </c>
      <c r="Q35" s="120" t="s">
        <v>69</v>
      </c>
      <c r="R35" s="120" t="s">
        <v>69</v>
      </c>
      <c r="S35" s="469" t="s">
        <v>108</v>
      </c>
      <c r="T35" s="65" t="s">
        <v>69</v>
      </c>
      <c r="U35" s="120" t="s">
        <v>69</v>
      </c>
      <c r="V35" s="120" t="s">
        <v>69</v>
      </c>
      <c r="W35" s="120" t="s">
        <v>69</v>
      </c>
      <c r="X35" s="120" t="s">
        <v>69</v>
      </c>
      <c r="Y35" s="120" t="s">
        <v>69</v>
      </c>
      <c r="Z35" s="329" t="s">
        <v>108</v>
      </c>
      <c r="AA35" s="120" t="s">
        <v>69</v>
      </c>
      <c r="AB35" s="134" t="s">
        <v>69</v>
      </c>
      <c r="AC35" s="134" t="s">
        <v>69</v>
      </c>
      <c r="AD35" s="121" t="s">
        <v>72</v>
      </c>
      <c r="AE35" s="134" t="s">
        <v>69</v>
      </c>
      <c r="AF35" s="120" t="s">
        <v>69</v>
      </c>
      <c r="AG35" s="329" t="s">
        <v>108</v>
      </c>
      <c r="AH35" s="120" t="s">
        <v>69</v>
      </c>
      <c r="AI35" s="120" t="s">
        <v>69</v>
      </c>
      <c r="AJ35" s="672" t="s">
        <v>69</v>
      </c>
      <c r="AK35" s="672" t="s">
        <v>69</v>
      </c>
      <c r="AL35">
        <f t="shared" si="5"/>
        <v>1</v>
      </c>
      <c r="AM35">
        <f t="shared" si="6"/>
        <v>0</v>
      </c>
      <c r="AN35">
        <f t="shared" si="7"/>
        <v>0</v>
      </c>
      <c r="AO35">
        <f t="shared" si="8"/>
        <v>0</v>
      </c>
      <c r="AP35">
        <f t="shared" si="9"/>
        <v>0</v>
      </c>
    </row>
    <row r="36" spans="1:42" ht="18">
      <c r="A36" s="5">
        <v>41</v>
      </c>
      <c r="B36" s="476" t="s">
        <v>347</v>
      </c>
      <c r="C36" s="186" t="s">
        <v>118</v>
      </c>
      <c r="D36" s="450" t="s">
        <v>296</v>
      </c>
      <c r="E36" s="7"/>
      <c r="F36" s="7"/>
      <c r="G36" s="7"/>
      <c r="H36" s="239" t="s">
        <v>69</v>
      </c>
      <c r="I36" s="239" t="s">
        <v>69</v>
      </c>
      <c r="J36" s="493" t="s">
        <v>175</v>
      </c>
      <c r="K36" s="438" t="s">
        <v>69</v>
      </c>
      <c r="L36" s="464" t="s">
        <v>108</v>
      </c>
      <c r="M36" s="120" t="s">
        <v>69</v>
      </c>
      <c r="N36" s="120" t="s">
        <v>69</v>
      </c>
      <c r="O36" s="120" t="s">
        <v>69</v>
      </c>
      <c r="P36" s="467" t="s">
        <v>321</v>
      </c>
      <c r="Q36" s="120" t="s">
        <v>69</v>
      </c>
      <c r="R36" s="120" t="s">
        <v>69</v>
      </c>
      <c r="S36" s="329" t="s">
        <v>108</v>
      </c>
      <c r="T36" s="120" t="s">
        <v>69</v>
      </c>
      <c r="U36" s="120" t="s">
        <v>69</v>
      </c>
      <c r="V36" s="463" t="s">
        <v>111</v>
      </c>
      <c r="W36" s="134" t="s">
        <v>69</v>
      </c>
      <c r="X36" s="120" t="s">
        <v>69</v>
      </c>
      <c r="Y36" s="120" t="s">
        <v>69</v>
      </c>
      <c r="Z36" s="329" t="s">
        <v>108</v>
      </c>
      <c r="AA36" s="134" t="s">
        <v>69</v>
      </c>
      <c r="AB36" s="120" t="s">
        <v>69</v>
      </c>
      <c r="AC36" s="134" t="s">
        <v>69</v>
      </c>
      <c r="AD36" s="120" t="s">
        <v>69</v>
      </c>
      <c r="AE36" s="120" t="s">
        <v>69</v>
      </c>
      <c r="AF36" s="120" t="s">
        <v>69</v>
      </c>
      <c r="AG36" s="329" t="s">
        <v>108</v>
      </c>
      <c r="AH36" s="120" t="s">
        <v>69</v>
      </c>
      <c r="AI36" s="120" t="s">
        <v>69</v>
      </c>
      <c r="AJ36" s="134" t="s">
        <v>69</v>
      </c>
      <c r="AK36" s="120" t="s">
        <v>69</v>
      </c>
      <c r="AL36">
        <f t="shared" si="5"/>
        <v>0</v>
      </c>
      <c r="AM36">
        <f t="shared" si="6"/>
        <v>1</v>
      </c>
      <c r="AN36">
        <f t="shared" si="7"/>
        <v>0</v>
      </c>
      <c r="AO36">
        <f t="shared" si="8"/>
        <v>0</v>
      </c>
      <c r="AP36">
        <f t="shared" si="9"/>
        <v>0</v>
      </c>
    </row>
    <row r="37" spans="1:42" ht="18">
      <c r="A37" s="5">
        <v>28</v>
      </c>
      <c r="B37" s="476" t="s">
        <v>348</v>
      </c>
      <c r="C37" s="254" t="s">
        <v>114</v>
      </c>
      <c r="D37" s="450" t="s">
        <v>301</v>
      </c>
      <c r="E37" s="7"/>
      <c r="F37" s="7"/>
      <c r="G37" s="7"/>
      <c r="H37" s="239" t="s">
        <v>69</v>
      </c>
      <c r="I37" s="239" t="s">
        <v>69</v>
      </c>
      <c r="J37" s="239" t="s">
        <v>69</v>
      </c>
      <c r="K37" s="438" t="s">
        <v>69</v>
      </c>
      <c r="L37" s="464" t="s">
        <v>108</v>
      </c>
      <c r="M37" s="9" t="s">
        <v>69</v>
      </c>
      <c r="N37" s="9" t="s">
        <v>69</v>
      </c>
      <c r="O37" s="9" t="s">
        <v>69</v>
      </c>
      <c r="P37" s="9" t="s">
        <v>69</v>
      </c>
      <c r="Q37" s="9" t="s">
        <v>69</v>
      </c>
      <c r="R37" s="9" t="s">
        <v>69</v>
      </c>
      <c r="S37" s="469" t="s">
        <v>108</v>
      </c>
      <c r="T37" s="120" t="s">
        <v>69</v>
      </c>
      <c r="U37" s="120" t="s">
        <v>69</v>
      </c>
      <c r="V37" s="120" t="s">
        <v>69</v>
      </c>
      <c r="W37" s="120" t="s">
        <v>69</v>
      </c>
      <c r="X37" s="120" t="s">
        <v>69</v>
      </c>
      <c r="Y37" s="120" t="s">
        <v>69</v>
      </c>
      <c r="Z37" s="329" t="s">
        <v>108</v>
      </c>
      <c r="AA37" s="120" t="s">
        <v>69</v>
      </c>
      <c r="AB37" s="120" t="s">
        <v>69</v>
      </c>
      <c r="AC37" s="134" t="s">
        <v>69</v>
      </c>
      <c r="AD37" s="120" t="s">
        <v>69</v>
      </c>
      <c r="AE37" s="121" t="s">
        <v>72</v>
      </c>
      <c r="AF37" s="120" t="s">
        <v>69</v>
      </c>
      <c r="AG37" s="329" t="s">
        <v>108</v>
      </c>
      <c r="AH37" s="120" t="s">
        <v>69</v>
      </c>
      <c r="AI37" s="120" t="s">
        <v>69</v>
      </c>
      <c r="AJ37" s="134" t="s">
        <v>69</v>
      </c>
      <c r="AK37" s="134" t="s">
        <v>69</v>
      </c>
      <c r="AL37">
        <f t="shared" si="5"/>
        <v>1</v>
      </c>
      <c r="AM37">
        <f t="shared" si="6"/>
        <v>0</v>
      </c>
      <c r="AN37">
        <f t="shared" si="7"/>
        <v>0</v>
      </c>
      <c r="AO37">
        <f t="shared" si="8"/>
        <v>0</v>
      </c>
      <c r="AP37">
        <f t="shared" si="9"/>
        <v>0</v>
      </c>
    </row>
    <row r="38" spans="1:42" ht="18">
      <c r="A38" s="5">
        <v>45</v>
      </c>
      <c r="B38" s="476" t="s">
        <v>349</v>
      </c>
      <c r="C38" s="186" t="s">
        <v>143</v>
      </c>
      <c r="D38" s="450" t="s">
        <v>300</v>
      </c>
      <c r="E38" s="7"/>
      <c r="F38" s="7"/>
      <c r="G38" s="7"/>
      <c r="H38" s="239" t="s">
        <v>69</v>
      </c>
      <c r="I38" s="239" t="s">
        <v>69</v>
      </c>
      <c r="J38" s="239" t="s">
        <v>69</v>
      </c>
      <c r="K38" s="239" t="s">
        <v>69</v>
      </c>
      <c r="L38" s="464" t="s">
        <v>108</v>
      </c>
      <c r="M38" s="120" t="s">
        <v>69</v>
      </c>
      <c r="N38" s="120" t="s">
        <v>69</v>
      </c>
      <c r="O38" s="120" t="s">
        <v>69</v>
      </c>
      <c r="P38" s="120" t="s">
        <v>69</v>
      </c>
      <c r="Q38" s="120" t="s">
        <v>69</v>
      </c>
      <c r="R38" s="120" t="s">
        <v>69</v>
      </c>
      <c r="S38" s="329" t="s">
        <v>108</v>
      </c>
      <c r="T38" s="120" t="s">
        <v>69</v>
      </c>
      <c r="U38" s="120" t="s">
        <v>69</v>
      </c>
      <c r="V38" s="134" t="s">
        <v>69</v>
      </c>
      <c r="W38" s="134" t="s">
        <v>69</v>
      </c>
      <c r="X38" s="120" t="s">
        <v>69</v>
      </c>
      <c r="Y38" s="120" t="s">
        <v>69</v>
      </c>
      <c r="Z38" s="329" t="s">
        <v>108</v>
      </c>
      <c r="AA38" s="134" t="s">
        <v>69</v>
      </c>
      <c r="AB38" s="134" t="s">
        <v>69</v>
      </c>
      <c r="AC38" s="134" t="s">
        <v>69</v>
      </c>
      <c r="AD38" s="121" t="s">
        <v>72</v>
      </c>
      <c r="AE38" s="120" t="s">
        <v>69</v>
      </c>
      <c r="AF38" s="120" t="s">
        <v>69</v>
      </c>
      <c r="AG38" s="329" t="s">
        <v>108</v>
      </c>
      <c r="AH38" s="120" t="s">
        <v>69</v>
      </c>
      <c r="AI38" s="120" t="s">
        <v>69</v>
      </c>
      <c r="AJ38" s="120" t="s">
        <v>69</v>
      </c>
      <c r="AK38" s="120" t="s">
        <v>69</v>
      </c>
      <c r="AL38">
        <f t="shared" si="5"/>
        <v>1</v>
      </c>
      <c r="AM38">
        <f t="shared" si="6"/>
        <v>0</v>
      </c>
      <c r="AN38">
        <f t="shared" si="7"/>
        <v>0</v>
      </c>
      <c r="AO38">
        <f t="shared" si="8"/>
        <v>0</v>
      </c>
      <c r="AP38">
        <f t="shared" si="9"/>
        <v>0</v>
      </c>
    </row>
    <row r="39" spans="1:42" ht="18">
      <c r="A39" s="5">
        <v>37</v>
      </c>
      <c r="B39" s="476" t="s">
        <v>350</v>
      </c>
      <c r="C39" s="186" t="s">
        <v>142</v>
      </c>
      <c r="D39" s="450" t="s">
        <v>292</v>
      </c>
      <c r="E39" s="7"/>
      <c r="F39" s="7"/>
      <c r="G39" s="7"/>
      <c r="H39" s="239" t="s">
        <v>69</v>
      </c>
      <c r="I39" s="147" t="s">
        <v>92</v>
      </c>
      <c r="J39" s="236" t="s">
        <v>94</v>
      </c>
      <c r="K39" s="239" t="s">
        <v>69</v>
      </c>
      <c r="L39" s="464" t="s">
        <v>108</v>
      </c>
      <c r="M39" s="120" t="s">
        <v>69</v>
      </c>
      <c r="N39" s="120" t="s">
        <v>69</v>
      </c>
      <c r="O39" s="120" t="s">
        <v>69</v>
      </c>
      <c r="P39" s="120" t="s">
        <v>69</v>
      </c>
      <c r="Q39" s="120" t="s">
        <v>69</v>
      </c>
      <c r="R39" s="121" t="s">
        <v>72</v>
      </c>
      <c r="S39" s="469" t="s">
        <v>108</v>
      </c>
      <c r="T39" s="120" t="s">
        <v>69</v>
      </c>
      <c r="U39" s="120" t="s">
        <v>69</v>
      </c>
      <c r="V39" s="134" t="s">
        <v>69</v>
      </c>
      <c r="W39" s="134" t="s">
        <v>69</v>
      </c>
      <c r="X39" s="120" t="s">
        <v>69</v>
      </c>
      <c r="Y39" s="120" t="s">
        <v>69</v>
      </c>
      <c r="Z39" s="329" t="s">
        <v>108</v>
      </c>
      <c r="AA39" s="147" t="s">
        <v>92</v>
      </c>
      <c r="AB39" s="120" t="s">
        <v>69</v>
      </c>
      <c r="AC39" s="134" t="s">
        <v>69</v>
      </c>
      <c r="AD39" s="120" t="s">
        <v>69</v>
      </c>
      <c r="AE39" s="120" t="s">
        <v>69</v>
      </c>
      <c r="AF39" s="120" t="s">
        <v>69</v>
      </c>
      <c r="AG39" s="120" t="s">
        <v>69</v>
      </c>
      <c r="AH39" s="463" t="s">
        <v>197</v>
      </c>
      <c r="AI39" s="120" t="s">
        <v>69</v>
      </c>
      <c r="AJ39" s="134" t="s">
        <v>69</v>
      </c>
      <c r="AK39" s="134" t="s">
        <v>69</v>
      </c>
      <c r="AL39">
        <f t="shared" si="5"/>
        <v>1</v>
      </c>
      <c r="AM39">
        <f t="shared" si="6"/>
        <v>0</v>
      </c>
      <c r="AN39">
        <f t="shared" si="7"/>
        <v>0</v>
      </c>
      <c r="AO39">
        <f t="shared" si="8"/>
        <v>0</v>
      </c>
      <c r="AP39">
        <f t="shared" si="9"/>
        <v>0</v>
      </c>
    </row>
    <row r="40" spans="1:42" ht="18">
      <c r="A40" s="5">
        <v>18</v>
      </c>
      <c r="B40" s="476" t="s">
        <v>351</v>
      </c>
      <c r="C40" s="257" t="s">
        <v>352</v>
      </c>
      <c r="D40" s="454" t="s">
        <v>296</v>
      </c>
      <c r="E40" s="7"/>
      <c r="F40" s="7"/>
      <c r="G40" s="7"/>
      <c r="H40" s="239" t="s">
        <v>69</v>
      </c>
      <c r="I40" s="239" t="s">
        <v>69</v>
      </c>
      <c r="J40" s="153" t="s">
        <v>72</v>
      </c>
      <c r="K40" s="168" t="s">
        <v>69</v>
      </c>
      <c r="L40" s="464" t="s">
        <v>108</v>
      </c>
      <c r="M40" s="120" t="s">
        <v>69</v>
      </c>
      <c r="N40" s="120" t="s">
        <v>69</v>
      </c>
      <c r="O40" s="120" t="s">
        <v>69</v>
      </c>
      <c r="P40" s="467" t="s">
        <v>321</v>
      </c>
      <c r="Q40" s="121" t="s">
        <v>72</v>
      </c>
      <c r="R40" s="121" t="s">
        <v>76</v>
      </c>
      <c r="S40" s="329" t="s">
        <v>108</v>
      </c>
      <c r="T40" s="131" t="s">
        <v>76</v>
      </c>
      <c r="U40" s="131" t="s">
        <v>76</v>
      </c>
      <c r="V40" s="131" t="s">
        <v>76</v>
      </c>
      <c r="W40" s="131" t="s">
        <v>76</v>
      </c>
      <c r="X40" s="131" t="s">
        <v>76</v>
      </c>
      <c r="Y40" s="131" t="s">
        <v>76</v>
      </c>
      <c r="Z40" s="329" t="s">
        <v>108</v>
      </c>
      <c r="AA40" s="131" t="s">
        <v>76</v>
      </c>
      <c r="AB40" s="131" t="s">
        <v>76</v>
      </c>
      <c r="AC40" s="131" t="s">
        <v>76</v>
      </c>
      <c r="AD40" s="131" t="s">
        <v>76</v>
      </c>
      <c r="AE40" s="131" t="s">
        <v>76</v>
      </c>
      <c r="AF40" s="131" t="s">
        <v>76</v>
      </c>
      <c r="AG40" s="329" t="s">
        <v>108</v>
      </c>
      <c r="AH40" s="131" t="s">
        <v>76</v>
      </c>
      <c r="AI40" s="131" t="s">
        <v>76</v>
      </c>
      <c r="AJ40" s="131" t="s">
        <v>76</v>
      </c>
      <c r="AK40" s="131" t="s">
        <v>76</v>
      </c>
      <c r="AL40">
        <f t="shared" si="5"/>
        <v>2</v>
      </c>
      <c r="AM40">
        <f t="shared" si="6"/>
        <v>0</v>
      </c>
      <c r="AN40">
        <f t="shared" si="7"/>
        <v>0</v>
      </c>
      <c r="AO40">
        <f t="shared" si="8"/>
        <v>0</v>
      </c>
      <c r="AP40">
        <f t="shared" si="9"/>
        <v>0</v>
      </c>
    </row>
    <row r="41" spans="1:42" ht="18">
      <c r="A41" s="5">
        <v>57</v>
      </c>
      <c r="B41" s="476" t="s">
        <v>353</v>
      </c>
      <c r="C41" s="186" t="s">
        <v>161</v>
      </c>
      <c r="D41" s="450" t="s">
        <v>291</v>
      </c>
      <c r="E41" s="7"/>
      <c r="F41" s="7"/>
      <c r="G41" s="7"/>
      <c r="H41" s="239" t="s">
        <v>69</v>
      </c>
      <c r="I41" s="134" t="s">
        <v>69</v>
      </c>
      <c r="J41" s="134" t="s">
        <v>69</v>
      </c>
      <c r="K41" s="329" t="s">
        <v>92</v>
      </c>
      <c r="L41" s="464" t="s">
        <v>108</v>
      </c>
      <c r="M41" s="120" t="s">
        <v>69</v>
      </c>
      <c r="N41" s="120" t="s">
        <v>69</v>
      </c>
      <c r="O41" s="120" t="s">
        <v>69</v>
      </c>
      <c r="P41" s="120" t="s">
        <v>69</v>
      </c>
      <c r="Q41" s="120" t="s">
        <v>69</v>
      </c>
      <c r="R41" s="120" t="s">
        <v>69</v>
      </c>
      <c r="S41" s="469" t="s">
        <v>108</v>
      </c>
      <c r="T41" s="120" t="s">
        <v>69</v>
      </c>
      <c r="U41" s="120" t="s">
        <v>69</v>
      </c>
      <c r="V41" s="134" t="s">
        <v>69</v>
      </c>
      <c r="W41" s="134" t="s">
        <v>69</v>
      </c>
      <c r="X41" s="120" t="s">
        <v>69</v>
      </c>
      <c r="Y41" s="120" t="s">
        <v>69</v>
      </c>
      <c r="Z41" s="329" t="s">
        <v>108</v>
      </c>
      <c r="AA41" s="134" t="s">
        <v>69</v>
      </c>
      <c r="AB41" s="134" t="s">
        <v>69</v>
      </c>
      <c r="AC41" s="134" t="s">
        <v>69</v>
      </c>
      <c r="AD41" s="121" t="s">
        <v>72</v>
      </c>
      <c r="AE41" s="120" t="s">
        <v>69</v>
      </c>
      <c r="AF41" s="120" t="s">
        <v>69</v>
      </c>
      <c r="AG41" s="329" t="s">
        <v>108</v>
      </c>
      <c r="AH41" s="120" t="s">
        <v>69</v>
      </c>
      <c r="AI41" s="134" t="s">
        <v>69</v>
      </c>
      <c r="AJ41" s="134" t="s">
        <v>69</v>
      </c>
      <c r="AK41" s="134" t="s">
        <v>69</v>
      </c>
      <c r="AL41">
        <f t="shared" si="5"/>
        <v>1</v>
      </c>
      <c r="AM41">
        <f t="shared" si="6"/>
        <v>0</v>
      </c>
      <c r="AN41">
        <f t="shared" si="7"/>
        <v>0</v>
      </c>
      <c r="AO41">
        <f t="shared" si="8"/>
        <v>0</v>
      </c>
      <c r="AP41">
        <f t="shared" si="9"/>
        <v>0</v>
      </c>
    </row>
    <row r="42" spans="1:42" ht="18">
      <c r="A42" s="5">
        <v>14</v>
      </c>
      <c r="B42" s="476" t="s">
        <v>354</v>
      </c>
      <c r="C42" s="254" t="s">
        <v>294</v>
      </c>
      <c r="D42" s="450" t="s">
        <v>295</v>
      </c>
      <c r="E42" s="7"/>
      <c r="F42" s="7"/>
      <c r="G42" s="7"/>
      <c r="H42" s="239" t="s">
        <v>69</v>
      </c>
      <c r="I42" s="239" t="s">
        <v>69</v>
      </c>
      <c r="J42" s="239" t="s">
        <v>69</v>
      </c>
      <c r="K42" s="239" t="s">
        <v>69</v>
      </c>
      <c r="L42" s="464" t="s">
        <v>108</v>
      </c>
      <c r="M42" s="120" t="s">
        <v>69</v>
      </c>
      <c r="N42" s="120" t="s">
        <v>69</v>
      </c>
      <c r="O42" s="120" t="s">
        <v>69</v>
      </c>
      <c r="P42" s="120" t="s">
        <v>69</v>
      </c>
      <c r="Q42" s="120" t="s">
        <v>69</v>
      </c>
      <c r="R42" s="236" t="s">
        <v>94</v>
      </c>
      <c r="S42" s="329" t="s">
        <v>108</v>
      </c>
      <c r="T42" s="65" t="s">
        <v>69</v>
      </c>
      <c r="U42" s="120" t="s">
        <v>69</v>
      </c>
      <c r="V42" s="120" t="s">
        <v>69</v>
      </c>
      <c r="W42" s="130" t="s">
        <v>92</v>
      </c>
      <c r="X42" s="120" t="s">
        <v>69</v>
      </c>
      <c r="Y42" s="120" t="s">
        <v>69</v>
      </c>
      <c r="Z42" s="329" t="s">
        <v>108</v>
      </c>
      <c r="AA42" s="120" t="s">
        <v>69</v>
      </c>
      <c r="AB42" s="472" t="s">
        <v>92</v>
      </c>
      <c r="AC42" s="134" t="s">
        <v>69</v>
      </c>
      <c r="AD42" s="134" t="s">
        <v>69</v>
      </c>
      <c r="AE42" s="120" t="s">
        <v>69</v>
      </c>
      <c r="AF42" s="120" t="s">
        <v>69</v>
      </c>
      <c r="AG42" s="329" t="s">
        <v>108</v>
      </c>
      <c r="AH42" s="473" t="s">
        <v>94</v>
      </c>
      <c r="AI42" s="120" t="s">
        <v>69</v>
      </c>
      <c r="AJ42" s="672" t="s">
        <v>69</v>
      </c>
      <c r="AK42" s="672" t="s">
        <v>69</v>
      </c>
      <c r="AL42">
        <f t="shared" si="5"/>
        <v>0</v>
      </c>
      <c r="AM42">
        <f t="shared" si="6"/>
        <v>0</v>
      </c>
      <c r="AN42">
        <f t="shared" si="7"/>
        <v>0</v>
      </c>
      <c r="AO42">
        <f t="shared" si="8"/>
        <v>0</v>
      </c>
      <c r="AP42">
        <f t="shared" si="9"/>
        <v>0</v>
      </c>
    </row>
    <row r="43" spans="1:42" ht="18">
      <c r="A43" s="5">
        <v>34</v>
      </c>
      <c r="B43" s="476" t="s">
        <v>355</v>
      </c>
      <c r="C43" s="254" t="s">
        <v>181</v>
      </c>
      <c r="D43" s="450" t="s">
        <v>293</v>
      </c>
      <c r="E43" s="7"/>
      <c r="F43" s="7"/>
      <c r="G43" s="7"/>
      <c r="H43" s="239" t="s">
        <v>69</v>
      </c>
      <c r="I43" s="239" t="s">
        <v>69</v>
      </c>
      <c r="J43" s="134" t="s">
        <v>69</v>
      </c>
      <c r="K43" s="134" t="s">
        <v>69</v>
      </c>
      <c r="L43" s="464" t="s">
        <v>108</v>
      </c>
      <c r="M43" s="120" t="s">
        <v>69</v>
      </c>
      <c r="N43" s="120" t="s">
        <v>69</v>
      </c>
      <c r="O43" s="120" t="s">
        <v>69</v>
      </c>
      <c r="P43" s="120" t="s">
        <v>69</v>
      </c>
      <c r="Q43" s="120" t="s">
        <v>69</v>
      </c>
      <c r="R43" s="120" t="s">
        <v>69</v>
      </c>
      <c r="S43" s="469" t="s">
        <v>108</v>
      </c>
      <c r="T43" s="120" t="s">
        <v>69</v>
      </c>
      <c r="U43" s="120" t="s">
        <v>69</v>
      </c>
      <c r="V43" s="427" t="s">
        <v>92</v>
      </c>
      <c r="W43" s="120" t="s">
        <v>69</v>
      </c>
      <c r="X43" s="120" t="s">
        <v>69</v>
      </c>
      <c r="Y43" s="120" t="s">
        <v>69</v>
      </c>
      <c r="Z43" s="329" t="s">
        <v>108</v>
      </c>
      <c r="AA43" s="120" t="s">
        <v>69</v>
      </c>
      <c r="AB43" s="120" t="s">
        <v>69</v>
      </c>
      <c r="AC43" s="134" t="s">
        <v>69</v>
      </c>
      <c r="AD43" s="134" t="s">
        <v>69</v>
      </c>
      <c r="AE43" s="120" t="s">
        <v>69</v>
      </c>
      <c r="AF43" s="120" t="s">
        <v>69</v>
      </c>
      <c r="AG43" s="329" t="s">
        <v>108</v>
      </c>
      <c r="AH43" s="120" t="s">
        <v>69</v>
      </c>
      <c r="AI43" s="120" t="s">
        <v>69</v>
      </c>
      <c r="AJ43" s="412" t="s">
        <v>321</v>
      </c>
      <c r="AK43" s="120" t="s">
        <v>69</v>
      </c>
      <c r="AL43">
        <f t="shared" si="5"/>
        <v>0</v>
      </c>
      <c r="AM43">
        <f t="shared" si="6"/>
        <v>0</v>
      </c>
      <c r="AN43">
        <f t="shared" si="7"/>
        <v>0</v>
      </c>
      <c r="AO43">
        <f t="shared" si="8"/>
        <v>0</v>
      </c>
      <c r="AP43">
        <f t="shared" si="9"/>
        <v>0</v>
      </c>
    </row>
    <row r="44" spans="1:42" ht="18">
      <c r="A44" s="5">
        <v>78</v>
      </c>
      <c r="B44" s="476" t="s">
        <v>356</v>
      </c>
      <c r="C44" s="186" t="s">
        <v>106</v>
      </c>
      <c r="D44" s="450" t="s">
        <v>306</v>
      </c>
      <c r="E44" s="7"/>
      <c r="F44" s="7"/>
      <c r="G44" s="7"/>
      <c r="H44" s="239" t="s">
        <v>69</v>
      </c>
      <c r="I44" s="169" t="s">
        <v>69</v>
      </c>
      <c r="J44" s="169" t="s">
        <v>69</v>
      </c>
      <c r="K44" s="168" t="s">
        <v>69</v>
      </c>
      <c r="L44" s="464" t="s">
        <v>108</v>
      </c>
      <c r="M44" s="9" t="s">
        <v>69</v>
      </c>
      <c r="N44" s="9" t="s">
        <v>69</v>
      </c>
      <c r="O44" s="9" t="s">
        <v>69</v>
      </c>
      <c r="P44" s="9" t="s">
        <v>69</v>
      </c>
      <c r="Q44" s="9" t="s">
        <v>69</v>
      </c>
      <c r="R44" s="9" t="s">
        <v>69</v>
      </c>
      <c r="S44" s="329" t="s">
        <v>108</v>
      </c>
      <c r="T44" s="120" t="s">
        <v>69</v>
      </c>
      <c r="U44" s="120" t="s">
        <v>69</v>
      </c>
      <c r="V44" s="120" t="s">
        <v>69</v>
      </c>
      <c r="W44" s="120" t="s">
        <v>69</v>
      </c>
      <c r="X44" s="120" t="s">
        <v>69</v>
      </c>
      <c r="Y44" s="120" t="s">
        <v>69</v>
      </c>
      <c r="Z44" s="329" t="s">
        <v>108</v>
      </c>
      <c r="AA44" s="120" t="s">
        <v>69</v>
      </c>
      <c r="AB44" s="120" t="s">
        <v>69</v>
      </c>
      <c r="AC44" s="134" t="s">
        <v>69</v>
      </c>
      <c r="AD44" s="120" t="s">
        <v>69</v>
      </c>
      <c r="AE44" s="121" t="s">
        <v>72</v>
      </c>
      <c r="AF44" s="120" t="s">
        <v>69</v>
      </c>
      <c r="AG44" s="329" t="s">
        <v>108</v>
      </c>
      <c r="AH44" s="120" t="s">
        <v>69</v>
      </c>
      <c r="AI44" s="120" t="s">
        <v>69</v>
      </c>
      <c r="AJ44" s="427" t="s">
        <v>321</v>
      </c>
      <c r="AK44" s="121" t="s">
        <v>72</v>
      </c>
      <c r="AL44">
        <f t="shared" si="5"/>
        <v>2</v>
      </c>
      <c r="AM44">
        <f t="shared" si="6"/>
        <v>0</v>
      </c>
      <c r="AN44">
        <f t="shared" si="7"/>
        <v>0</v>
      </c>
      <c r="AO44">
        <f t="shared" si="8"/>
        <v>0</v>
      </c>
      <c r="AP44">
        <f t="shared" si="9"/>
        <v>0</v>
      </c>
    </row>
    <row r="45" spans="1:42" ht="18">
      <c r="A45" s="5">
        <v>13</v>
      </c>
      <c r="B45" s="476" t="s">
        <v>357</v>
      </c>
      <c r="C45" s="254" t="s">
        <v>177</v>
      </c>
      <c r="D45" s="454" t="s">
        <v>293</v>
      </c>
      <c r="E45" s="7"/>
      <c r="F45" s="7"/>
      <c r="G45" s="7"/>
      <c r="H45" s="239" t="s">
        <v>69</v>
      </c>
      <c r="I45" s="239" t="s">
        <v>69</v>
      </c>
      <c r="J45" s="134" t="s">
        <v>69</v>
      </c>
      <c r="K45" s="134" t="s">
        <v>69</v>
      </c>
      <c r="L45" s="464" t="s">
        <v>108</v>
      </c>
      <c r="M45" s="120" t="s">
        <v>69</v>
      </c>
      <c r="N45" s="120" t="s">
        <v>69</v>
      </c>
      <c r="O45" s="120" t="s">
        <v>69</v>
      </c>
      <c r="P45" s="467" t="s">
        <v>321</v>
      </c>
      <c r="Q45" s="120" t="s">
        <v>69</v>
      </c>
      <c r="R45" s="120" t="s">
        <v>69</v>
      </c>
      <c r="S45" s="469" t="s">
        <v>108</v>
      </c>
      <c r="T45" s="65" t="s">
        <v>69</v>
      </c>
      <c r="U45" s="120" t="s">
        <v>69</v>
      </c>
      <c r="V45" s="463" t="s">
        <v>111</v>
      </c>
      <c r="W45" s="120" t="s">
        <v>69</v>
      </c>
      <c r="X45" s="131" t="s">
        <v>72</v>
      </c>
      <c r="Y45" s="131" t="s">
        <v>72</v>
      </c>
      <c r="Z45" s="329" t="s">
        <v>108</v>
      </c>
      <c r="AA45" s="120" t="s">
        <v>69</v>
      </c>
      <c r="AB45" s="120" t="s">
        <v>69</v>
      </c>
      <c r="AC45" s="134" t="s">
        <v>69</v>
      </c>
      <c r="AD45" s="134" t="s">
        <v>69</v>
      </c>
      <c r="AE45" s="120" t="s">
        <v>69</v>
      </c>
      <c r="AF45" s="120" t="s">
        <v>69</v>
      </c>
      <c r="AG45" s="329" t="s">
        <v>108</v>
      </c>
      <c r="AH45" s="120" t="s">
        <v>69</v>
      </c>
      <c r="AI45" s="120" t="s">
        <v>69</v>
      </c>
      <c r="AJ45" s="672" t="s">
        <v>69</v>
      </c>
      <c r="AK45" s="672" t="s">
        <v>69</v>
      </c>
      <c r="AL45">
        <f t="shared" si="5"/>
        <v>2</v>
      </c>
      <c r="AM45">
        <f t="shared" si="6"/>
        <v>1</v>
      </c>
      <c r="AN45">
        <f t="shared" si="7"/>
        <v>0</v>
      </c>
      <c r="AO45">
        <f t="shared" si="8"/>
        <v>0</v>
      </c>
      <c r="AP45">
        <f t="shared" si="9"/>
        <v>0</v>
      </c>
    </row>
    <row r="46" spans="1:42" ht="18">
      <c r="A46" s="5">
        <v>64</v>
      </c>
      <c r="B46" s="476" t="s">
        <v>358</v>
      </c>
      <c r="C46" s="186" t="s">
        <v>186</v>
      </c>
      <c r="D46" s="456" t="s">
        <v>291</v>
      </c>
      <c r="E46" s="7"/>
      <c r="F46" s="7"/>
      <c r="G46" s="7"/>
      <c r="H46" s="239" t="s">
        <v>69</v>
      </c>
      <c r="I46" s="134" t="s">
        <v>69</v>
      </c>
      <c r="J46" s="134" t="s">
        <v>69</v>
      </c>
      <c r="K46" s="134" t="s">
        <v>69</v>
      </c>
      <c r="L46" s="464" t="s">
        <v>108</v>
      </c>
      <c r="M46" s="157" t="s">
        <v>69</v>
      </c>
      <c r="N46" s="157" t="s">
        <v>69</v>
      </c>
      <c r="O46" s="157" t="s">
        <v>69</v>
      </c>
      <c r="P46" s="157" t="s">
        <v>69</v>
      </c>
      <c r="Q46" s="204" t="s">
        <v>72</v>
      </c>
      <c r="R46" s="157" t="s">
        <v>69</v>
      </c>
      <c r="S46" s="329" t="s">
        <v>108</v>
      </c>
      <c r="T46" s="120" t="s">
        <v>69</v>
      </c>
      <c r="U46" s="120" t="s">
        <v>69</v>
      </c>
      <c r="V46" s="134" t="s">
        <v>69</v>
      </c>
      <c r="W46" s="134" t="s">
        <v>69</v>
      </c>
      <c r="X46" s="120" t="s">
        <v>69</v>
      </c>
      <c r="Y46" s="120" t="s">
        <v>69</v>
      </c>
      <c r="Z46" s="329" t="s">
        <v>108</v>
      </c>
      <c r="AA46" s="134" t="s">
        <v>69</v>
      </c>
      <c r="AB46" s="134" t="s">
        <v>69</v>
      </c>
      <c r="AC46" s="134" t="s">
        <v>69</v>
      </c>
      <c r="AD46" s="121" t="s">
        <v>72</v>
      </c>
      <c r="AE46" s="120" t="s">
        <v>69</v>
      </c>
      <c r="AF46" s="120" t="s">
        <v>69</v>
      </c>
      <c r="AG46" s="329" t="s">
        <v>108</v>
      </c>
      <c r="AH46" s="120" t="s">
        <v>69</v>
      </c>
      <c r="AI46" s="120" t="s">
        <v>69</v>
      </c>
      <c r="AJ46" s="120" t="s">
        <v>69</v>
      </c>
      <c r="AK46" s="121" t="s">
        <v>72</v>
      </c>
      <c r="AL46">
        <f t="shared" si="5"/>
        <v>3</v>
      </c>
      <c r="AM46">
        <f t="shared" si="6"/>
        <v>0</v>
      </c>
      <c r="AN46">
        <f t="shared" si="7"/>
        <v>0</v>
      </c>
      <c r="AO46">
        <f t="shared" si="8"/>
        <v>0</v>
      </c>
      <c r="AP46">
        <f t="shared" si="9"/>
        <v>0</v>
      </c>
    </row>
    <row r="47" spans="1:42" ht="18">
      <c r="A47" s="5">
        <v>23</v>
      </c>
      <c r="B47" s="476" t="s">
        <v>359</v>
      </c>
      <c r="C47" s="254" t="s">
        <v>179</v>
      </c>
      <c r="D47" s="450" t="s">
        <v>289</v>
      </c>
      <c r="E47" s="7"/>
      <c r="F47" s="7"/>
      <c r="G47" s="7"/>
      <c r="H47" s="239" t="s">
        <v>69</v>
      </c>
      <c r="I47" s="239" t="s">
        <v>69</v>
      </c>
      <c r="J47" s="159" t="s">
        <v>92</v>
      </c>
      <c r="K47" s="478" t="s">
        <v>69</v>
      </c>
      <c r="L47" s="468" t="s">
        <v>108</v>
      </c>
      <c r="M47" s="120" t="s">
        <v>69</v>
      </c>
      <c r="N47" s="120" t="s">
        <v>69</v>
      </c>
      <c r="O47" s="120" t="s">
        <v>69</v>
      </c>
      <c r="P47" s="120" t="s">
        <v>69</v>
      </c>
      <c r="Q47" s="120" t="s">
        <v>69</v>
      </c>
      <c r="R47" s="120" t="s">
        <v>69</v>
      </c>
      <c r="S47" s="469" t="s">
        <v>108</v>
      </c>
      <c r="T47" s="121" t="s">
        <v>72</v>
      </c>
      <c r="U47" s="120" t="s">
        <v>69</v>
      </c>
      <c r="V47" s="120" t="s">
        <v>69</v>
      </c>
      <c r="W47" s="120" t="s">
        <v>69</v>
      </c>
      <c r="X47" s="120" t="s">
        <v>69</v>
      </c>
      <c r="Y47" s="120" t="s">
        <v>69</v>
      </c>
      <c r="Z47" s="329" t="s">
        <v>108</v>
      </c>
      <c r="AA47" s="134" t="s">
        <v>69</v>
      </c>
      <c r="AB47" s="134" t="s">
        <v>69</v>
      </c>
      <c r="AC47" s="134" t="s">
        <v>69</v>
      </c>
      <c r="AD47" s="120" t="s">
        <v>69</v>
      </c>
      <c r="AE47" s="120" t="s">
        <v>69</v>
      </c>
      <c r="AF47" s="120" t="s">
        <v>69</v>
      </c>
      <c r="AG47" s="329" t="s">
        <v>108</v>
      </c>
      <c r="AH47" s="120" t="s">
        <v>69</v>
      </c>
      <c r="AI47" s="120" t="s">
        <v>69</v>
      </c>
      <c r="AJ47" s="134" t="s">
        <v>69</v>
      </c>
      <c r="AK47" s="134" t="s">
        <v>69</v>
      </c>
      <c r="AL47">
        <f t="shared" si="5"/>
        <v>1</v>
      </c>
      <c r="AM47">
        <f t="shared" si="6"/>
        <v>0</v>
      </c>
      <c r="AN47">
        <f t="shared" si="7"/>
        <v>0</v>
      </c>
      <c r="AO47">
        <f t="shared" si="8"/>
        <v>0</v>
      </c>
      <c r="AP47">
        <f t="shared" si="9"/>
        <v>0</v>
      </c>
    </row>
    <row r="48" spans="1:42" ht="18">
      <c r="A48" s="5">
        <v>12</v>
      </c>
      <c r="B48" s="476" t="s">
        <v>360</v>
      </c>
      <c r="C48" s="254" t="s">
        <v>194</v>
      </c>
      <c r="D48" s="454" t="s">
        <v>292</v>
      </c>
      <c r="E48" s="7"/>
      <c r="F48" s="7"/>
      <c r="G48" s="7"/>
      <c r="H48" s="239" t="s">
        <v>69</v>
      </c>
      <c r="I48" s="239" t="s">
        <v>69</v>
      </c>
      <c r="J48" s="121" t="s">
        <v>72</v>
      </c>
      <c r="K48" s="121" t="s">
        <v>72</v>
      </c>
      <c r="L48" s="464" t="s">
        <v>108</v>
      </c>
      <c r="M48" s="149" t="s">
        <v>69</v>
      </c>
      <c r="N48" s="149" t="s">
        <v>69</v>
      </c>
      <c r="O48" s="149" t="s">
        <v>69</v>
      </c>
      <c r="P48" s="149" t="s">
        <v>69</v>
      </c>
      <c r="Q48" s="149" t="s">
        <v>69</v>
      </c>
      <c r="R48" s="121" t="s">
        <v>72</v>
      </c>
      <c r="S48" s="329" t="s">
        <v>108</v>
      </c>
      <c r="T48" s="65" t="s">
        <v>69</v>
      </c>
      <c r="U48" s="120" t="s">
        <v>69</v>
      </c>
      <c r="V48" s="120" t="s">
        <v>69</v>
      </c>
      <c r="W48" s="120" t="s">
        <v>69</v>
      </c>
      <c r="X48" s="120" t="s">
        <v>69</v>
      </c>
      <c r="Y48" s="120" t="s">
        <v>69</v>
      </c>
      <c r="Z48" s="329" t="s">
        <v>108</v>
      </c>
      <c r="AA48" s="120" t="s">
        <v>69</v>
      </c>
      <c r="AB48" s="120" t="s">
        <v>69</v>
      </c>
      <c r="AC48" s="134" t="s">
        <v>69</v>
      </c>
      <c r="AD48" s="134" t="s">
        <v>69</v>
      </c>
      <c r="AE48" s="120" t="s">
        <v>69</v>
      </c>
      <c r="AF48" s="120" t="s">
        <v>69</v>
      </c>
      <c r="AG48" s="329" t="s">
        <v>108</v>
      </c>
      <c r="AH48" s="120" t="s">
        <v>69</v>
      </c>
      <c r="AI48" s="120" t="s">
        <v>69</v>
      </c>
      <c r="AJ48" s="672" t="s">
        <v>69</v>
      </c>
      <c r="AK48" s="120" t="s">
        <v>69</v>
      </c>
      <c r="AL48">
        <f t="shared" si="5"/>
        <v>3</v>
      </c>
      <c r="AM48">
        <f t="shared" si="6"/>
        <v>0</v>
      </c>
      <c r="AN48">
        <f t="shared" si="7"/>
        <v>0</v>
      </c>
      <c r="AO48">
        <f t="shared" si="8"/>
        <v>0</v>
      </c>
      <c r="AP48">
        <f t="shared" si="9"/>
        <v>0</v>
      </c>
    </row>
    <row r="49" spans="1:42" ht="18">
      <c r="A49" s="5">
        <v>60</v>
      </c>
      <c r="B49" s="476" t="s">
        <v>361</v>
      </c>
      <c r="C49" s="254" t="s">
        <v>203</v>
      </c>
      <c r="D49" s="450" t="s">
        <v>286</v>
      </c>
      <c r="E49" s="7"/>
      <c r="F49" s="7"/>
      <c r="G49" s="7"/>
      <c r="H49" s="239" t="s">
        <v>69</v>
      </c>
      <c r="I49" s="239" t="s">
        <v>69</v>
      </c>
      <c r="J49" s="239" t="s">
        <v>69</v>
      </c>
      <c r="K49" s="134" t="s">
        <v>69</v>
      </c>
      <c r="L49" s="464" t="s">
        <v>108</v>
      </c>
      <c r="M49" s="120" t="s">
        <v>69</v>
      </c>
      <c r="N49" s="120" t="s">
        <v>69</v>
      </c>
      <c r="O49" s="120" t="s">
        <v>69</v>
      </c>
      <c r="P49" s="427" t="s">
        <v>92</v>
      </c>
      <c r="Q49" s="120" t="s">
        <v>69</v>
      </c>
      <c r="R49" s="120" t="s">
        <v>69</v>
      </c>
      <c r="S49" s="469" t="s">
        <v>108</v>
      </c>
      <c r="T49" s="121" t="s">
        <v>72</v>
      </c>
      <c r="U49" s="120" t="s">
        <v>69</v>
      </c>
      <c r="V49" s="134" t="s">
        <v>69</v>
      </c>
      <c r="W49" s="134" t="s">
        <v>69</v>
      </c>
      <c r="X49" s="120" t="s">
        <v>69</v>
      </c>
      <c r="Y49" s="120" t="s">
        <v>69</v>
      </c>
      <c r="Z49" s="329" t="s">
        <v>108</v>
      </c>
      <c r="AA49" s="120" t="s">
        <v>69</v>
      </c>
      <c r="AB49" s="120" t="s">
        <v>69</v>
      </c>
      <c r="AC49" s="147" t="s">
        <v>92</v>
      </c>
      <c r="AD49" s="134" t="s">
        <v>69</v>
      </c>
      <c r="AE49" s="120" t="s">
        <v>69</v>
      </c>
      <c r="AF49" s="120" t="s">
        <v>69</v>
      </c>
      <c r="AG49" s="329" t="s">
        <v>108</v>
      </c>
      <c r="AH49" s="120" t="s">
        <v>69</v>
      </c>
      <c r="AI49" s="120" t="s">
        <v>69</v>
      </c>
      <c r="AJ49" s="120" t="s">
        <v>69</v>
      </c>
      <c r="AK49" s="120" t="s">
        <v>69</v>
      </c>
      <c r="AL49">
        <f t="shared" si="5"/>
        <v>1</v>
      </c>
      <c r="AM49">
        <f t="shared" si="6"/>
        <v>0</v>
      </c>
      <c r="AN49">
        <f t="shared" si="7"/>
        <v>0</v>
      </c>
      <c r="AO49">
        <f t="shared" si="8"/>
        <v>0</v>
      </c>
      <c r="AP49">
        <f t="shared" si="9"/>
        <v>0</v>
      </c>
    </row>
    <row r="50" spans="1:42" ht="18">
      <c r="A50" s="5">
        <v>8</v>
      </c>
      <c r="B50" s="476" t="s">
        <v>362</v>
      </c>
      <c r="C50" s="254" t="s">
        <v>10</v>
      </c>
      <c r="D50" s="450" t="s">
        <v>289</v>
      </c>
      <c r="E50" s="7"/>
      <c r="F50" s="7"/>
      <c r="G50" s="7"/>
      <c r="H50" s="239" t="s">
        <v>69</v>
      </c>
      <c r="I50" s="169" t="s">
        <v>69</v>
      </c>
      <c r="J50" s="169" t="s">
        <v>69</v>
      </c>
      <c r="K50" s="168" t="s">
        <v>69</v>
      </c>
      <c r="L50" s="464" t="s">
        <v>108</v>
      </c>
      <c r="M50" s="120" t="s">
        <v>69</v>
      </c>
      <c r="N50" s="120" t="s">
        <v>69</v>
      </c>
      <c r="O50" s="120" t="s">
        <v>69</v>
      </c>
      <c r="P50" s="120" t="s">
        <v>69</v>
      </c>
      <c r="Q50" s="120" t="s">
        <v>69</v>
      </c>
      <c r="R50" s="120" t="s">
        <v>69</v>
      </c>
      <c r="S50" s="329" t="s">
        <v>108</v>
      </c>
      <c r="T50" s="65" t="s">
        <v>69</v>
      </c>
      <c r="U50" s="120" t="s">
        <v>69</v>
      </c>
      <c r="V50" s="120" t="s">
        <v>69</v>
      </c>
      <c r="W50" s="120" t="s">
        <v>69</v>
      </c>
      <c r="X50" s="120" t="s">
        <v>69</v>
      </c>
      <c r="Y50" s="120" t="s">
        <v>69</v>
      </c>
      <c r="Z50" s="329" t="s">
        <v>108</v>
      </c>
      <c r="AA50" s="120" t="s">
        <v>69</v>
      </c>
      <c r="AB50" s="134" t="s">
        <v>69</v>
      </c>
      <c r="AC50" s="134" t="s">
        <v>69</v>
      </c>
      <c r="AD50" s="134" t="s">
        <v>69</v>
      </c>
      <c r="AE50" s="134" t="s">
        <v>69</v>
      </c>
      <c r="AF50" s="134" t="s">
        <v>69</v>
      </c>
      <c r="AG50" s="329" t="s">
        <v>108</v>
      </c>
      <c r="AH50" s="120" t="s">
        <v>69</v>
      </c>
      <c r="AI50" s="120" t="s">
        <v>69</v>
      </c>
      <c r="AJ50" s="672" t="s">
        <v>69</v>
      </c>
      <c r="AK50" s="672" t="s">
        <v>69</v>
      </c>
      <c r="AL50">
        <f t="shared" si="5"/>
        <v>0</v>
      </c>
      <c r="AM50">
        <f t="shared" si="6"/>
        <v>0</v>
      </c>
      <c r="AN50">
        <f t="shared" si="7"/>
        <v>0</v>
      </c>
      <c r="AO50">
        <f t="shared" si="8"/>
        <v>0</v>
      </c>
      <c r="AP50">
        <f t="shared" si="9"/>
        <v>0</v>
      </c>
    </row>
    <row r="51" spans="1:42" ht="18">
      <c r="A51" s="5">
        <v>70</v>
      </c>
      <c r="B51" s="476" t="s">
        <v>363</v>
      </c>
      <c r="C51" s="254" t="s">
        <v>260</v>
      </c>
      <c r="D51" s="451" t="s">
        <v>284</v>
      </c>
      <c r="E51" s="7"/>
      <c r="F51" s="7"/>
      <c r="G51" s="7"/>
      <c r="H51" s="153" t="s">
        <v>72</v>
      </c>
      <c r="I51" s="153" t="s">
        <v>72</v>
      </c>
      <c r="J51" s="239" t="s">
        <v>69</v>
      </c>
      <c r="K51" s="239" t="s">
        <v>69</v>
      </c>
      <c r="L51" s="464" t="s">
        <v>108</v>
      </c>
      <c r="M51" s="120" t="s">
        <v>69</v>
      </c>
      <c r="N51" s="120" t="s">
        <v>69</v>
      </c>
      <c r="O51" s="120" t="s">
        <v>69</v>
      </c>
      <c r="P51" s="120" t="s">
        <v>69</v>
      </c>
      <c r="Q51" s="120" t="s">
        <v>69</v>
      </c>
      <c r="R51" s="120" t="s">
        <v>69</v>
      </c>
      <c r="S51" s="469" t="s">
        <v>108</v>
      </c>
      <c r="T51" s="120" t="s">
        <v>69</v>
      </c>
      <c r="U51" s="120" t="s">
        <v>69</v>
      </c>
      <c r="V51" s="134" t="s">
        <v>69</v>
      </c>
      <c r="W51" s="134" t="s">
        <v>69</v>
      </c>
      <c r="X51" s="120" t="s">
        <v>69</v>
      </c>
      <c r="Y51" s="120" t="s">
        <v>69</v>
      </c>
      <c r="Z51" s="329" t="s">
        <v>108</v>
      </c>
      <c r="AA51" s="134" t="s">
        <v>69</v>
      </c>
      <c r="AB51" s="134" t="s">
        <v>69</v>
      </c>
      <c r="AC51" s="134" t="s">
        <v>69</v>
      </c>
      <c r="AD51" s="9" t="s">
        <v>69</v>
      </c>
      <c r="AE51" s="120" t="s">
        <v>69</v>
      </c>
      <c r="AF51" s="121" t="s">
        <v>72</v>
      </c>
      <c r="AG51" s="329" t="s">
        <v>108</v>
      </c>
      <c r="AH51" s="134" t="s">
        <v>69</v>
      </c>
      <c r="AI51" s="134" t="s">
        <v>69</v>
      </c>
      <c r="AJ51" s="134" t="s">
        <v>69</v>
      </c>
      <c r="AK51" s="134" t="s">
        <v>69</v>
      </c>
      <c r="AL51">
        <f t="shared" si="5"/>
        <v>3</v>
      </c>
      <c r="AM51">
        <f t="shared" si="6"/>
        <v>0</v>
      </c>
      <c r="AN51">
        <f t="shared" si="7"/>
        <v>0</v>
      </c>
      <c r="AO51">
        <f t="shared" si="8"/>
        <v>0</v>
      </c>
      <c r="AP51">
        <f t="shared" si="9"/>
        <v>0</v>
      </c>
    </row>
    <row r="52" spans="1:42" ht="18">
      <c r="A52" s="5">
        <v>55</v>
      </c>
      <c r="B52" s="476" t="s">
        <v>364</v>
      </c>
      <c r="C52" s="408" t="s">
        <v>257</v>
      </c>
      <c r="D52" s="451" t="s">
        <v>284</v>
      </c>
      <c r="E52" s="7"/>
      <c r="F52" s="7"/>
      <c r="G52" s="7"/>
      <c r="H52" s="239" t="s">
        <v>69</v>
      </c>
      <c r="I52" s="239" t="s">
        <v>69</v>
      </c>
      <c r="J52" s="239" t="s">
        <v>69</v>
      </c>
      <c r="K52" s="140" t="s">
        <v>69</v>
      </c>
      <c r="L52" s="464" t="s">
        <v>108</v>
      </c>
      <c r="M52" s="421" t="s">
        <v>69</v>
      </c>
      <c r="N52" s="421" t="s">
        <v>69</v>
      </c>
      <c r="O52" s="421" t="s">
        <v>69</v>
      </c>
      <c r="P52" s="421" t="s">
        <v>69</v>
      </c>
      <c r="Q52" s="421" t="s">
        <v>69</v>
      </c>
      <c r="R52" s="421" t="s">
        <v>69</v>
      </c>
      <c r="S52" s="329" t="s">
        <v>108</v>
      </c>
      <c r="T52" s="120" t="s">
        <v>69</v>
      </c>
      <c r="U52" s="120" t="s">
        <v>69</v>
      </c>
      <c r="V52" s="134" t="s">
        <v>69</v>
      </c>
      <c r="W52" s="134" t="s">
        <v>69</v>
      </c>
      <c r="X52" s="120" t="s">
        <v>69</v>
      </c>
      <c r="Y52" s="120" t="s">
        <v>69</v>
      </c>
      <c r="Z52" s="329" t="s">
        <v>108</v>
      </c>
      <c r="AA52" s="120" t="s">
        <v>69</v>
      </c>
      <c r="AB52" s="120" t="s">
        <v>69</v>
      </c>
      <c r="AC52" s="134" t="s">
        <v>69</v>
      </c>
      <c r="AD52" s="120" t="s">
        <v>69</v>
      </c>
      <c r="AE52" s="132" t="s">
        <v>94</v>
      </c>
      <c r="AF52" s="120" t="s">
        <v>69</v>
      </c>
      <c r="AG52" s="329" t="s">
        <v>108</v>
      </c>
      <c r="AH52" s="120" t="s">
        <v>69</v>
      </c>
      <c r="AI52" s="120" t="s">
        <v>69</v>
      </c>
      <c r="AJ52" s="120" t="s">
        <v>69</v>
      </c>
      <c r="AK52" s="120" t="s">
        <v>69</v>
      </c>
      <c r="AL52">
        <f t="shared" si="5"/>
        <v>0</v>
      </c>
      <c r="AM52">
        <f t="shared" si="6"/>
        <v>0</v>
      </c>
      <c r="AN52">
        <f t="shared" si="7"/>
        <v>0</v>
      </c>
      <c r="AO52">
        <f t="shared" si="8"/>
        <v>0</v>
      </c>
      <c r="AP52">
        <f t="shared" si="9"/>
        <v>0</v>
      </c>
    </row>
    <row r="53" spans="1:42" ht="18">
      <c r="A53" s="5">
        <v>73</v>
      </c>
      <c r="B53" s="476" t="s">
        <v>365</v>
      </c>
      <c r="C53" s="186" t="s">
        <v>233</v>
      </c>
      <c r="D53" s="451" t="s">
        <v>303</v>
      </c>
      <c r="E53" s="7"/>
      <c r="F53" s="7"/>
      <c r="G53" s="7"/>
      <c r="H53" s="239" t="s">
        <v>69</v>
      </c>
      <c r="I53" s="169" t="s">
        <v>69</v>
      </c>
      <c r="J53" s="168" t="s">
        <v>69</v>
      </c>
      <c r="K53" s="168" t="s">
        <v>69</v>
      </c>
      <c r="L53" s="464" t="s">
        <v>108</v>
      </c>
      <c r="M53" s="9" t="s">
        <v>69</v>
      </c>
      <c r="N53" s="9" t="s">
        <v>69</v>
      </c>
      <c r="O53" s="9" t="s">
        <v>69</v>
      </c>
      <c r="P53" s="9" t="s">
        <v>69</v>
      </c>
      <c r="Q53" s="9" t="s">
        <v>69</v>
      </c>
      <c r="R53" s="9" t="s">
        <v>69</v>
      </c>
      <c r="S53" s="470" t="s">
        <v>108</v>
      </c>
      <c r="T53" s="120" t="s">
        <v>69</v>
      </c>
      <c r="U53" s="120" t="s">
        <v>69</v>
      </c>
      <c r="V53" s="134" t="s">
        <v>69</v>
      </c>
      <c r="W53" s="134" t="s">
        <v>69</v>
      </c>
      <c r="X53" s="120" t="s">
        <v>69</v>
      </c>
      <c r="Y53" s="120" t="s">
        <v>69</v>
      </c>
      <c r="Z53" s="329" t="s">
        <v>108</v>
      </c>
      <c r="AA53" s="120" t="s">
        <v>69</v>
      </c>
      <c r="AB53" s="120" t="s">
        <v>69</v>
      </c>
      <c r="AC53" s="120" t="s">
        <v>69</v>
      </c>
      <c r="AD53" s="120" t="s">
        <v>69</v>
      </c>
      <c r="AE53" s="120" t="s">
        <v>69</v>
      </c>
      <c r="AF53" s="120" t="s">
        <v>69</v>
      </c>
      <c r="AG53" s="329" t="s">
        <v>108</v>
      </c>
      <c r="AH53" s="120" t="s">
        <v>69</v>
      </c>
      <c r="AI53" s="120" t="s">
        <v>69</v>
      </c>
      <c r="AJ53" s="120" t="s">
        <v>69</v>
      </c>
      <c r="AK53" s="120" t="s">
        <v>69</v>
      </c>
      <c r="AL53">
        <f t="shared" si="5"/>
        <v>0</v>
      </c>
      <c r="AM53">
        <f t="shared" si="6"/>
        <v>0</v>
      </c>
      <c r="AN53">
        <f t="shared" si="7"/>
        <v>0</v>
      </c>
      <c r="AO53">
        <f t="shared" si="8"/>
        <v>0</v>
      </c>
      <c r="AP53">
        <f t="shared" si="9"/>
        <v>0</v>
      </c>
    </row>
    <row r="54" spans="1:42" ht="18">
      <c r="A54" s="5">
        <v>50</v>
      </c>
      <c r="B54" s="476" t="s">
        <v>366</v>
      </c>
      <c r="C54" s="186" t="s">
        <v>227</v>
      </c>
      <c r="D54" s="451" t="s">
        <v>293</v>
      </c>
      <c r="E54" s="7"/>
      <c r="F54" s="7"/>
      <c r="G54" s="7"/>
      <c r="H54" s="239" t="s">
        <v>69</v>
      </c>
      <c r="I54" s="239" t="s">
        <v>69</v>
      </c>
      <c r="J54" s="239" t="s">
        <v>69</v>
      </c>
      <c r="K54" s="239" t="s">
        <v>69</v>
      </c>
      <c r="L54" s="468" t="s">
        <v>108</v>
      </c>
      <c r="M54" s="140" t="s">
        <v>69</v>
      </c>
      <c r="N54" s="140" t="s">
        <v>69</v>
      </c>
      <c r="O54" s="140" t="s">
        <v>69</v>
      </c>
      <c r="P54" s="153" t="s">
        <v>72</v>
      </c>
      <c r="Q54" s="140" t="s">
        <v>69</v>
      </c>
      <c r="R54" s="140" t="s">
        <v>69</v>
      </c>
      <c r="S54" s="482" t="s">
        <v>108</v>
      </c>
      <c r="T54" s="497" t="s">
        <v>69</v>
      </c>
      <c r="U54" s="239" t="s">
        <v>69</v>
      </c>
      <c r="V54" s="239" t="s">
        <v>69</v>
      </c>
      <c r="W54" s="239" t="s">
        <v>69</v>
      </c>
      <c r="X54" s="159" t="s">
        <v>92</v>
      </c>
      <c r="Y54" s="140" t="s">
        <v>69</v>
      </c>
      <c r="Z54" s="482" t="s">
        <v>108</v>
      </c>
      <c r="AA54" s="134" t="s">
        <v>69</v>
      </c>
      <c r="AB54" s="134" t="s">
        <v>69</v>
      </c>
      <c r="AC54" s="134" t="s">
        <v>69</v>
      </c>
      <c r="AD54" s="120" t="s">
        <v>69</v>
      </c>
      <c r="AE54" s="120" t="s">
        <v>69</v>
      </c>
      <c r="AF54" s="120" t="s">
        <v>69</v>
      </c>
      <c r="AG54" s="329" t="s">
        <v>108</v>
      </c>
      <c r="AH54" s="120" t="s">
        <v>69</v>
      </c>
      <c r="AI54" s="134" t="s">
        <v>69</v>
      </c>
      <c r="AJ54" s="412" t="s">
        <v>321</v>
      </c>
      <c r="AK54" s="120" t="s">
        <v>69</v>
      </c>
      <c r="AL54">
        <f t="shared" si="5"/>
        <v>1</v>
      </c>
      <c r="AM54">
        <f t="shared" si="6"/>
        <v>0</v>
      </c>
      <c r="AN54">
        <f t="shared" si="7"/>
        <v>0</v>
      </c>
      <c r="AO54">
        <f t="shared" si="8"/>
        <v>0</v>
      </c>
      <c r="AP54">
        <f t="shared" si="9"/>
        <v>0</v>
      </c>
    </row>
    <row r="55" spans="1:42" ht="18">
      <c r="A55" s="5">
        <v>53</v>
      </c>
      <c r="B55" s="476" t="s">
        <v>367</v>
      </c>
      <c r="C55" s="186" t="s">
        <v>228</v>
      </c>
      <c r="D55" s="451" t="s">
        <v>292</v>
      </c>
      <c r="E55" s="7"/>
      <c r="F55" s="7"/>
      <c r="G55" s="7"/>
      <c r="H55" s="239" t="s">
        <v>69</v>
      </c>
      <c r="I55" s="239" t="s">
        <v>69</v>
      </c>
      <c r="J55" s="239" t="s">
        <v>69</v>
      </c>
      <c r="K55" s="239" t="s">
        <v>69</v>
      </c>
      <c r="L55" s="464" t="s">
        <v>108</v>
      </c>
      <c r="M55" s="120" t="s">
        <v>69</v>
      </c>
      <c r="N55" s="120" t="s">
        <v>69</v>
      </c>
      <c r="O55" s="120" t="s">
        <v>69</v>
      </c>
      <c r="P55" s="120" t="s">
        <v>69</v>
      </c>
      <c r="Q55" s="120" t="s">
        <v>69</v>
      </c>
      <c r="R55" s="121" t="s">
        <v>72</v>
      </c>
      <c r="S55" s="471" t="s">
        <v>108</v>
      </c>
      <c r="T55" s="120" t="s">
        <v>69</v>
      </c>
      <c r="U55" s="120" t="s">
        <v>69</v>
      </c>
      <c r="V55" s="134" t="s">
        <v>69</v>
      </c>
      <c r="W55" s="121" t="s">
        <v>72</v>
      </c>
      <c r="X55" s="120" t="s">
        <v>69</v>
      </c>
      <c r="Y55" s="120" t="s">
        <v>69</v>
      </c>
      <c r="Z55" s="329" t="s">
        <v>108</v>
      </c>
      <c r="AA55" s="120" t="s">
        <v>69</v>
      </c>
      <c r="AB55" s="120" t="s">
        <v>69</v>
      </c>
      <c r="AC55" s="134" t="s">
        <v>69</v>
      </c>
      <c r="AD55" s="120" t="s">
        <v>69</v>
      </c>
      <c r="AE55" s="120" t="s">
        <v>69</v>
      </c>
      <c r="AF55" s="121" t="s">
        <v>72</v>
      </c>
      <c r="AG55" s="329" t="s">
        <v>108</v>
      </c>
      <c r="AH55" s="120" t="s">
        <v>69</v>
      </c>
      <c r="AI55" s="120" t="s">
        <v>69</v>
      </c>
      <c r="AJ55" s="120" t="s">
        <v>69</v>
      </c>
      <c r="AK55" s="120" t="s">
        <v>69</v>
      </c>
      <c r="AL55">
        <f t="shared" si="5"/>
        <v>3</v>
      </c>
      <c r="AM55">
        <f t="shared" si="6"/>
        <v>0</v>
      </c>
      <c r="AN55">
        <f t="shared" si="7"/>
        <v>0</v>
      </c>
      <c r="AO55">
        <f t="shared" si="8"/>
        <v>0</v>
      </c>
      <c r="AP55">
        <f t="shared" si="9"/>
        <v>0</v>
      </c>
    </row>
    <row r="56" spans="1:42" ht="18">
      <c r="A56" s="5">
        <v>17</v>
      </c>
      <c r="B56" s="476" t="s">
        <v>368</v>
      </c>
      <c r="C56" s="254" t="s">
        <v>18</v>
      </c>
      <c r="D56" s="451" t="s">
        <v>286</v>
      </c>
      <c r="E56" s="7"/>
      <c r="F56" s="7"/>
      <c r="G56" s="7"/>
      <c r="H56" s="239" t="s">
        <v>69</v>
      </c>
      <c r="I56" s="168" t="s">
        <v>69</v>
      </c>
      <c r="J56" s="168" t="s">
        <v>69</v>
      </c>
      <c r="K56" s="169" t="s">
        <v>69</v>
      </c>
      <c r="L56" s="464" t="s">
        <v>108</v>
      </c>
      <c r="M56" s="120" t="s">
        <v>69</v>
      </c>
      <c r="N56" s="120" t="s">
        <v>69</v>
      </c>
      <c r="O56" s="120" t="s">
        <v>69</v>
      </c>
      <c r="P56" s="120" t="s">
        <v>69</v>
      </c>
      <c r="Q56" s="120" t="s">
        <v>69</v>
      </c>
      <c r="R56" s="120" t="s">
        <v>69</v>
      </c>
      <c r="S56" s="469" t="s">
        <v>108</v>
      </c>
      <c r="T56" s="120" t="s">
        <v>69</v>
      </c>
      <c r="U56" s="120" t="s">
        <v>69</v>
      </c>
      <c r="V56" s="134" t="s">
        <v>69</v>
      </c>
      <c r="W56" s="134" t="s">
        <v>69</v>
      </c>
      <c r="X56" s="120" t="s">
        <v>69</v>
      </c>
      <c r="Y56" s="120" t="s">
        <v>69</v>
      </c>
      <c r="Z56" s="329" t="s">
        <v>108</v>
      </c>
      <c r="AA56" s="120" t="s">
        <v>69</v>
      </c>
      <c r="AB56" s="134" t="s">
        <v>69</v>
      </c>
      <c r="AC56" s="134" t="s">
        <v>69</v>
      </c>
      <c r="AD56" s="134" t="s">
        <v>69</v>
      </c>
      <c r="AE56" s="120" t="s">
        <v>69</v>
      </c>
      <c r="AF56" s="120" t="s">
        <v>69</v>
      </c>
      <c r="AG56" s="329" t="s">
        <v>108</v>
      </c>
      <c r="AH56" s="120" t="s">
        <v>69</v>
      </c>
      <c r="AI56" s="120" t="s">
        <v>69</v>
      </c>
      <c r="AJ56" s="134" t="s">
        <v>69</v>
      </c>
      <c r="AK56" s="120" t="s">
        <v>69</v>
      </c>
      <c r="AL56">
        <f t="shared" si="5"/>
        <v>0</v>
      </c>
      <c r="AM56">
        <f t="shared" si="6"/>
        <v>0</v>
      </c>
      <c r="AN56">
        <f t="shared" si="7"/>
        <v>0</v>
      </c>
      <c r="AO56">
        <f t="shared" si="8"/>
        <v>0</v>
      </c>
      <c r="AP56">
        <f t="shared" si="9"/>
        <v>0</v>
      </c>
    </row>
    <row r="57" spans="1:42" ht="17.25" customHeight="1">
      <c r="A57" s="5">
        <v>65</v>
      </c>
      <c r="B57" s="476" t="s">
        <v>369</v>
      </c>
      <c r="C57" s="186" t="s">
        <v>232</v>
      </c>
      <c r="D57" s="451" t="s">
        <v>301</v>
      </c>
      <c r="E57" s="7"/>
      <c r="F57" s="7"/>
      <c r="G57" s="7"/>
      <c r="H57" s="239" t="s">
        <v>69</v>
      </c>
      <c r="I57" s="239" t="s">
        <v>69</v>
      </c>
      <c r="J57" s="153" t="s">
        <v>72</v>
      </c>
      <c r="K57" s="134" t="s">
        <v>69</v>
      </c>
      <c r="L57" s="464" t="s">
        <v>108</v>
      </c>
      <c r="M57" s="9" t="s">
        <v>69</v>
      </c>
      <c r="N57" s="9" t="s">
        <v>69</v>
      </c>
      <c r="O57" s="9" t="s">
        <v>69</v>
      </c>
      <c r="P57" s="9" t="s">
        <v>69</v>
      </c>
      <c r="Q57" s="120" t="s">
        <v>69</v>
      </c>
      <c r="R57" s="120" t="s">
        <v>69</v>
      </c>
      <c r="S57" s="329" t="s">
        <v>108</v>
      </c>
      <c r="T57" s="120" t="s">
        <v>69</v>
      </c>
      <c r="U57" s="120" t="s">
        <v>69</v>
      </c>
      <c r="V57" s="120" t="s">
        <v>69</v>
      </c>
      <c r="W57" s="134" t="s">
        <v>69</v>
      </c>
      <c r="X57" s="120" t="s">
        <v>69</v>
      </c>
      <c r="Y57" s="120" t="s">
        <v>69</v>
      </c>
      <c r="Z57" s="329" t="s">
        <v>108</v>
      </c>
      <c r="AA57" s="120" t="s">
        <v>69</v>
      </c>
      <c r="AB57" s="120" t="s">
        <v>69</v>
      </c>
      <c r="AC57" s="134" t="s">
        <v>69</v>
      </c>
      <c r="AD57" s="120" t="s">
        <v>69</v>
      </c>
      <c r="AE57" s="120" t="s">
        <v>69</v>
      </c>
      <c r="AF57" s="121" t="s">
        <v>72</v>
      </c>
      <c r="AG57" s="329" t="s">
        <v>108</v>
      </c>
      <c r="AH57" s="121" t="s">
        <v>72</v>
      </c>
      <c r="AI57" s="120" t="s">
        <v>69</v>
      </c>
      <c r="AJ57" s="120" t="s">
        <v>69</v>
      </c>
      <c r="AK57" s="120" t="s">
        <v>69</v>
      </c>
      <c r="AL57">
        <f t="shared" si="5"/>
        <v>3</v>
      </c>
      <c r="AM57">
        <f t="shared" si="6"/>
        <v>0</v>
      </c>
      <c r="AN57">
        <f t="shared" si="7"/>
        <v>0</v>
      </c>
      <c r="AO57">
        <f t="shared" si="8"/>
        <v>0</v>
      </c>
      <c r="AP57">
        <f t="shared" si="9"/>
        <v>0</v>
      </c>
    </row>
    <row r="58" spans="1:42" ht="18">
      <c r="A58" s="5">
        <v>22</v>
      </c>
      <c r="B58" s="476" t="s">
        <v>370</v>
      </c>
      <c r="C58" s="255" t="s">
        <v>371</v>
      </c>
      <c r="D58" s="451" t="s">
        <v>296</v>
      </c>
      <c r="E58" s="7"/>
      <c r="F58" s="7"/>
      <c r="G58" s="7"/>
      <c r="H58" s="239" t="s">
        <v>69</v>
      </c>
      <c r="I58" s="438" t="s">
        <v>69</v>
      </c>
      <c r="J58" s="152" t="s">
        <v>72</v>
      </c>
      <c r="K58" s="478" t="s">
        <v>69</v>
      </c>
      <c r="L58" s="464" t="s">
        <v>108</v>
      </c>
      <c r="M58" s="120" t="s">
        <v>69</v>
      </c>
      <c r="N58" s="120" t="s">
        <v>69</v>
      </c>
      <c r="O58" s="120" t="s">
        <v>69</v>
      </c>
      <c r="P58" s="467" t="s">
        <v>321</v>
      </c>
      <c r="Q58" s="121" t="s">
        <v>72</v>
      </c>
      <c r="R58" s="121" t="s">
        <v>76</v>
      </c>
      <c r="S58" s="469" t="s">
        <v>108</v>
      </c>
      <c r="T58" s="121" t="s">
        <v>76</v>
      </c>
      <c r="U58" s="121" t="s">
        <v>76</v>
      </c>
      <c r="V58" s="121" t="s">
        <v>76</v>
      </c>
      <c r="W58" s="121" t="s">
        <v>76</v>
      </c>
      <c r="X58" s="121" t="s">
        <v>76</v>
      </c>
      <c r="Y58" s="121" t="s">
        <v>76</v>
      </c>
      <c r="Z58" s="329" t="s">
        <v>108</v>
      </c>
      <c r="AA58" s="121" t="s">
        <v>76</v>
      </c>
      <c r="AB58" s="121" t="s">
        <v>76</v>
      </c>
      <c r="AC58" s="121" t="s">
        <v>76</v>
      </c>
      <c r="AD58" s="121" t="s">
        <v>76</v>
      </c>
      <c r="AE58" s="121" t="s">
        <v>76</v>
      </c>
      <c r="AF58" s="121" t="s">
        <v>76</v>
      </c>
      <c r="AG58" s="329" t="s">
        <v>108</v>
      </c>
      <c r="AH58" s="121" t="s">
        <v>76</v>
      </c>
      <c r="AI58" s="121" t="s">
        <v>76</v>
      </c>
      <c r="AJ58" s="121" t="s">
        <v>76</v>
      </c>
      <c r="AK58" s="121" t="s">
        <v>76</v>
      </c>
      <c r="AL58">
        <f t="shared" si="5"/>
        <v>2</v>
      </c>
      <c r="AM58">
        <f t="shared" si="6"/>
        <v>0</v>
      </c>
      <c r="AN58">
        <f t="shared" si="7"/>
        <v>0</v>
      </c>
      <c r="AO58">
        <f t="shared" si="8"/>
        <v>0</v>
      </c>
      <c r="AP58">
        <f t="shared" si="9"/>
        <v>0</v>
      </c>
    </row>
    <row r="59" spans="1:42" ht="18">
      <c r="A59" s="5">
        <v>27</v>
      </c>
      <c r="B59" s="476" t="s">
        <v>372</v>
      </c>
      <c r="C59" s="254" t="s">
        <v>222</v>
      </c>
      <c r="D59" s="451" t="s">
        <v>296</v>
      </c>
      <c r="E59" s="7"/>
      <c r="F59" s="7"/>
      <c r="G59" s="7"/>
      <c r="H59" s="239" t="s">
        <v>69</v>
      </c>
      <c r="I59" s="153" t="s">
        <v>72</v>
      </c>
      <c r="J59" s="492" t="s">
        <v>175</v>
      </c>
      <c r="K59" s="9" t="s">
        <v>69</v>
      </c>
      <c r="L59" s="464" t="s">
        <v>108</v>
      </c>
      <c r="M59" s="25" t="s">
        <v>72</v>
      </c>
      <c r="N59" s="120" t="s">
        <v>69</v>
      </c>
      <c r="O59" s="120" t="s">
        <v>69</v>
      </c>
      <c r="P59" s="467" t="s">
        <v>321</v>
      </c>
      <c r="Q59" s="120" t="s">
        <v>69</v>
      </c>
      <c r="R59" s="120" t="s">
        <v>69</v>
      </c>
      <c r="S59" s="329" t="s">
        <v>108</v>
      </c>
      <c r="T59" s="120" t="s">
        <v>69</v>
      </c>
      <c r="U59" s="120" t="s">
        <v>69</v>
      </c>
      <c r="V59" s="463" t="s">
        <v>111</v>
      </c>
      <c r="W59" s="120" t="s">
        <v>69</v>
      </c>
      <c r="X59" s="120" t="s">
        <v>69</v>
      </c>
      <c r="Y59" s="120" t="s">
        <v>69</v>
      </c>
      <c r="Z59" s="329" t="s">
        <v>108</v>
      </c>
      <c r="AA59" s="120" t="s">
        <v>69</v>
      </c>
      <c r="AB59" s="120" t="s">
        <v>69</v>
      </c>
      <c r="AC59" s="134" t="s">
        <v>69</v>
      </c>
      <c r="AD59" s="134" t="s">
        <v>69</v>
      </c>
      <c r="AE59" s="121" t="s">
        <v>72</v>
      </c>
      <c r="AF59" s="120" t="s">
        <v>69</v>
      </c>
      <c r="AG59" s="329" t="s">
        <v>108</v>
      </c>
      <c r="AH59" s="120" t="s">
        <v>69</v>
      </c>
      <c r="AI59" s="121" t="s">
        <v>72</v>
      </c>
      <c r="AJ59" s="134" t="s">
        <v>69</v>
      </c>
      <c r="AK59" s="134" t="s">
        <v>69</v>
      </c>
      <c r="AL59">
        <f t="shared" si="5"/>
        <v>4</v>
      </c>
      <c r="AM59">
        <f t="shared" si="6"/>
        <v>1</v>
      </c>
      <c r="AN59">
        <f t="shared" si="7"/>
        <v>0</v>
      </c>
      <c r="AO59">
        <f t="shared" si="8"/>
        <v>0</v>
      </c>
      <c r="AP59">
        <f t="shared" si="9"/>
        <v>0</v>
      </c>
    </row>
    <row r="60" spans="1:42" ht="18">
      <c r="A60" s="5">
        <v>42</v>
      </c>
      <c r="B60" s="476" t="s">
        <v>373</v>
      </c>
      <c r="C60" s="186" t="s">
        <v>223</v>
      </c>
      <c r="D60" s="451" t="s">
        <v>289</v>
      </c>
      <c r="E60" s="7"/>
      <c r="F60" s="7"/>
      <c r="G60" s="7"/>
      <c r="H60" s="239" t="s">
        <v>69</v>
      </c>
      <c r="I60" s="200" t="s">
        <v>69</v>
      </c>
      <c r="J60" s="239" t="s">
        <v>69</v>
      </c>
      <c r="K60" s="25" t="s">
        <v>72</v>
      </c>
      <c r="L60" s="464" t="s">
        <v>108</v>
      </c>
      <c r="M60" s="120" t="s">
        <v>69</v>
      </c>
      <c r="N60" s="120" t="s">
        <v>69</v>
      </c>
      <c r="O60" s="120" t="s">
        <v>69</v>
      </c>
      <c r="P60" s="120" t="s">
        <v>69</v>
      </c>
      <c r="Q60" s="120" t="s">
        <v>69</v>
      </c>
      <c r="R60" s="120" t="s">
        <v>69</v>
      </c>
      <c r="S60" s="469" t="s">
        <v>108</v>
      </c>
      <c r="T60" s="131" t="s">
        <v>72</v>
      </c>
      <c r="U60" s="120" t="s">
        <v>69</v>
      </c>
      <c r="V60" s="134" t="s">
        <v>69</v>
      </c>
      <c r="W60" s="134" t="s">
        <v>69</v>
      </c>
      <c r="X60" s="120" t="s">
        <v>69</v>
      </c>
      <c r="Y60" s="120" t="s">
        <v>69</v>
      </c>
      <c r="Z60" s="329" t="s">
        <v>108</v>
      </c>
      <c r="AA60" s="120" t="s">
        <v>69</v>
      </c>
      <c r="AB60" s="120" t="s">
        <v>69</v>
      </c>
      <c r="AC60" s="134" t="s">
        <v>69</v>
      </c>
      <c r="AD60" s="120" t="s">
        <v>69</v>
      </c>
      <c r="AE60" s="120" t="s">
        <v>69</v>
      </c>
      <c r="AF60" s="120" t="s">
        <v>69</v>
      </c>
      <c r="AG60" s="329" t="s">
        <v>108</v>
      </c>
      <c r="AH60" s="121" t="s">
        <v>72</v>
      </c>
      <c r="AI60" s="120" t="s">
        <v>69</v>
      </c>
      <c r="AJ60" s="120" t="s">
        <v>69</v>
      </c>
      <c r="AK60" s="120" t="s">
        <v>69</v>
      </c>
      <c r="AL60">
        <f t="shared" si="5"/>
        <v>3</v>
      </c>
      <c r="AM60">
        <f t="shared" si="6"/>
        <v>0</v>
      </c>
      <c r="AN60">
        <f t="shared" si="7"/>
        <v>0</v>
      </c>
      <c r="AO60">
        <f t="shared" si="8"/>
        <v>0</v>
      </c>
      <c r="AP60">
        <f t="shared" si="9"/>
        <v>0</v>
      </c>
    </row>
    <row r="61" spans="1:42" ht="18">
      <c r="A61" s="5">
        <v>62</v>
      </c>
      <c r="B61" s="476" t="s">
        <v>374</v>
      </c>
      <c r="C61" s="254" t="s">
        <v>244</v>
      </c>
      <c r="D61" s="451" t="s">
        <v>284</v>
      </c>
      <c r="E61" s="7"/>
      <c r="F61" s="7"/>
      <c r="G61" s="7"/>
      <c r="H61" s="239" t="s">
        <v>69</v>
      </c>
      <c r="I61" s="121" t="s">
        <v>72</v>
      </c>
      <c r="J61" s="147" t="s">
        <v>92</v>
      </c>
      <c r="K61" s="9" t="s">
        <v>69</v>
      </c>
      <c r="L61" s="464" t="s">
        <v>108</v>
      </c>
      <c r="M61" s="120" t="s">
        <v>69</v>
      </c>
      <c r="N61" s="120" t="s">
        <v>69</v>
      </c>
      <c r="O61" s="120" t="s">
        <v>69</v>
      </c>
      <c r="P61" s="120" t="s">
        <v>69</v>
      </c>
      <c r="Q61" s="120" t="s">
        <v>69</v>
      </c>
      <c r="R61" s="120" t="s">
        <v>69</v>
      </c>
      <c r="S61" s="329" t="s">
        <v>108</v>
      </c>
      <c r="T61" s="120" t="s">
        <v>69</v>
      </c>
      <c r="U61" s="120" t="s">
        <v>69</v>
      </c>
      <c r="V61" s="134" t="s">
        <v>69</v>
      </c>
      <c r="W61" s="134" t="s">
        <v>69</v>
      </c>
      <c r="X61" s="120" t="s">
        <v>69</v>
      </c>
      <c r="Y61" s="120" t="s">
        <v>69</v>
      </c>
      <c r="Z61" s="329" t="s">
        <v>108</v>
      </c>
      <c r="AA61" s="120" t="s">
        <v>69</v>
      </c>
      <c r="AB61" s="120" t="s">
        <v>69</v>
      </c>
      <c r="AC61" s="134" t="s">
        <v>69</v>
      </c>
      <c r="AD61" s="120" t="s">
        <v>69</v>
      </c>
      <c r="AE61" s="120" t="s">
        <v>69</v>
      </c>
      <c r="AF61" s="120" t="s">
        <v>69</v>
      </c>
      <c r="AG61" s="329" t="s">
        <v>108</v>
      </c>
      <c r="AH61" s="120" t="s">
        <v>69</v>
      </c>
      <c r="AI61" s="120" t="s">
        <v>69</v>
      </c>
      <c r="AJ61" s="120" t="s">
        <v>69</v>
      </c>
      <c r="AK61" s="120" t="s">
        <v>69</v>
      </c>
      <c r="AL61">
        <f t="shared" si="5"/>
        <v>1</v>
      </c>
      <c r="AM61">
        <f t="shared" si="6"/>
        <v>0</v>
      </c>
      <c r="AN61">
        <f t="shared" si="7"/>
        <v>0</v>
      </c>
      <c r="AO61">
        <f t="shared" si="8"/>
        <v>0</v>
      </c>
      <c r="AP61">
        <f t="shared" si="9"/>
        <v>0</v>
      </c>
    </row>
    <row r="62" spans="1:42" ht="18">
      <c r="A62" s="5">
        <v>20</v>
      </c>
      <c r="B62" s="476" t="s">
        <v>375</v>
      </c>
      <c r="C62" s="186" t="s">
        <v>238</v>
      </c>
      <c r="D62" s="455" t="s">
        <v>297</v>
      </c>
      <c r="E62" s="7"/>
      <c r="F62" s="7"/>
      <c r="G62" s="7"/>
      <c r="H62" s="239" t="s">
        <v>69</v>
      </c>
      <c r="I62" s="239" t="s">
        <v>69</v>
      </c>
      <c r="J62" s="159" t="s">
        <v>92</v>
      </c>
      <c r="K62" s="478" t="s">
        <v>250</v>
      </c>
      <c r="L62" s="464" t="s">
        <v>108</v>
      </c>
      <c r="M62" s="120" t="s">
        <v>69</v>
      </c>
      <c r="N62" s="672" t="s">
        <v>250</v>
      </c>
      <c r="O62" s="120" t="s">
        <v>69</v>
      </c>
      <c r="P62" s="120" t="s">
        <v>69</v>
      </c>
      <c r="Q62" s="120" t="s">
        <v>69</v>
      </c>
      <c r="R62" s="121" t="s">
        <v>72</v>
      </c>
      <c r="S62" s="469" t="s">
        <v>108</v>
      </c>
      <c r="T62" s="120" t="s">
        <v>69</v>
      </c>
      <c r="U62" s="120" t="s">
        <v>69</v>
      </c>
      <c r="V62" s="120" t="s">
        <v>69</v>
      </c>
      <c r="W62" s="120" t="s">
        <v>69</v>
      </c>
      <c r="X62" s="120" t="s">
        <v>69</v>
      </c>
      <c r="Y62" s="120" t="s">
        <v>69</v>
      </c>
      <c r="Z62" s="329" t="s">
        <v>108</v>
      </c>
      <c r="AA62" s="120" t="s">
        <v>69</v>
      </c>
      <c r="AB62" s="120" t="s">
        <v>69</v>
      </c>
      <c r="AC62" s="120" t="s">
        <v>69</v>
      </c>
      <c r="AD62" s="120" t="s">
        <v>69</v>
      </c>
      <c r="AE62" s="120" t="s">
        <v>69</v>
      </c>
      <c r="AF62" s="120" t="s">
        <v>69</v>
      </c>
      <c r="AG62" s="329" t="s">
        <v>108</v>
      </c>
      <c r="AH62" s="120" t="s">
        <v>69</v>
      </c>
      <c r="AI62" s="120" t="s">
        <v>69</v>
      </c>
      <c r="AJ62" s="134" t="s">
        <v>69</v>
      </c>
      <c r="AK62" s="120" t="s">
        <v>69</v>
      </c>
      <c r="AL62">
        <f t="shared" si="5"/>
        <v>1</v>
      </c>
      <c r="AM62">
        <f t="shared" si="6"/>
        <v>0</v>
      </c>
      <c r="AN62">
        <f t="shared" si="7"/>
        <v>0</v>
      </c>
      <c r="AO62">
        <f t="shared" si="8"/>
        <v>0</v>
      </c>
      <c r="AP62">
        <f t="shared" si="9"/>
        <v>0</v>
      </c>
    </row>
    <row r="63" spans="1:42" ht="18">
      <c r="A63" s="5">
        <v>10</v>
      </c>
      <c r="B63" s="476" t="s">
        <v>376</v>
      </c>
      <c r="C63" s="254" t="s">
        <v>237</v>
      </c>
      <c r="D63" s="455" t="s">
        <v>292</v>
      </c>
      <c r="E63" s="7"/>
      <c r="F63" s="7"/>
      <c r="G63" s="7"/>
      <c r="H63" s="239" t="s">
        <v>69</v>
      </c>
      <c r="I63" s="239" t="s">
        <v>69</v>
      </c>
      <c r="J63" s="134" t="s">
        <v>69</v>
      </c>
      <c r="K63" s="134" t="s">
        <v>69</v>
      </c>
      <c r="L63" s="464" t="s">
        <v>108</v>
      </c>
      <c r="M63" s="63" t="s">
        <v>72</v>
      </c>
      <c r="N63" s="63" t="s">
        <v>72</v>
      </c>
      <c r="O63" s="120" t="s">
        <v>69</v>
      </c>
      <c r="P63" s="121" t="s">
        <v>72</v>
      </c>
      <c r="Q63" s="120" t="s">
        <v>69</v>
      </c>
      <c r="R63" s="121" t="s">
        <v>72</v>
      </c>
      <c r="S63" s="329" t="s">
        <v>108</v>
      </c>
      <c r="T63" s="65" t="s">
        <v>69</v>
      </c>
      <c r="U63" s="131" t="s">
        <v>72</v>
      </c>
      <c r="V63" s="120" t="s">
        <v>69</v>
      </c>
      <c r="W63" s="120" t="s">
        <v>69</v>
      </c>
      <c r="X63" s="120" t="s">
        <v>69</v>
      </c>
      <c r="Y63" s="120" t="s">
        <v>69</v>
      </c>
      <c r="Z63" s="329" t="s">
        <v>108</v>
      </c>
      <c r="AA63" s="120" t="s">
        <v>69</v>
      </c>
      <c r="AB63" s="134" t="s">
        <v>69</v>
      </c>
      <c r="AC63" s="134" t="s">
        <v>69</v>
      </c>
      <c r="AD63" s="134" t="s">
        <v>69</v>
      </c>
      <c r="AE63" s="134" t="s">
        <v>69</v>
      </c>
      <c r="AF63" s="120" t="s">
        <v>69</v>
      </c>
      <c r="AG63" s="329" t="s">
        <v>108</v>
      </c>
      <c r="AH63" s="120" t="s">
        <v>69</v>
      </c>
      <c r="AI63" s="120" t="s">
        <v>69</v>
      </c>
      <c r="AJ63" s="121" t="s">
        <v>72</v>
      </c>
      <c r="AK63" s="672" t="s">
        <v>69</v>
      </c>
      <c r="AL63">
        <f t="shared" si="5"/>
        <v>6</v>
      </c>
      <c r="AM63">
        <f t="shared" si="6"/>
        <v>0</v>
      </c>
      <c r="AN63">
        <f t="shared" si="7"/>
        <v>0</v>
      </c>
      <c r="AO63">
        <f t="shared" si="8"/>
        <v>0</v>
      </c>
      <c r="AP63">
        <f t="shared" si="9"/>
        <v>0</v>
      </c>
    </row>
    <row r="64" spans="1:42" ht="18">
      <c r="A64" s="5">
        <v>76</v>
      </c>
      <c r="B64" s="476" t="s">
        <v>377</v>
      </c>
      <c r="C64" s="254" t="s">
        <v>248</v>
      </c>
      <c r="D64" s="488" t="s">
        <v>133</v>
      </c>
      <c r="E64" s="7"/>
      <c r="F64" s="7"/>
      <c r="G64" s="7"/>
      <c r="H64" s="239" t="s">
        <v>69</v>
      </c>
      <c r="I64" s="134" t="s">
        <v>69</v>
      </c>
      <c r="J64" s="147" t="s">
        <v>92</v>
      </c>
      <c r="K64" s="63" t="s">
        <v>72</v>
      </c>
      <c r="L64" s="464" t="s">
        <v>108</v>
      </c>
      <c r="M64" s="9" t="s">
        <v>69</v>
      </c>
      <c r="N64" s="9" t="s">
        <v>69</v>
      </c>
      <c r="O64" s="121" t="s">
        <v>72</v>
      </c>
      <c r="P64" s="120" t="s">
        <v>69</v>
      </c>
      <c r="Q64" s="120" t="s">
        <v>69</v>
      </c>
      <c r="R64" s="120" t="s">
        <v>69</v>
      </c>
      <c r="S64" s="469" t="s">
        <v>108</v>
      </c>
      <c r="T64" s="120" t="s">
        <v>69</v>
      </c>
      <c r="U64" s="120" t="s">
        <v>69</v>
      </c>
      <c r="V64" s="120" t="s">
        <v>69</v>
      </c>
      <c r="W64" s="120" t="s">
        <v>69</v>
      </c>
      <c r="X64" s="120" t="s">
        <v>69</v>
      </c>
      <c r="Y64" s="120" t="s">
        <v>69</v>
      </c>
      <c r="Z64" s="329" t="s">
        <v>108</v>
      </c>
      <c r="AA64" s="120" t="s">
        <v>69</v>
      </c>
      <c r="AB64" s="120" t="s">
        <v>69</v>
      </c>
      <c r="AC64" s="134" t="s">
        <v>69</v>
      </c>
      <c r="AD64" s="120" t="s">
        <v>69</v>
      </c>
      <c r="AE64" s="120" t="s">
        <v>69</v>
      </c>
      <c r="AF64" s="120" t="s">
        <v>69</v>
      </c>
      <c r="AG64" s="329" t="s">
        <v>108</v>
      </c>
      <c r="AH64" s="120" t="s">
        <v>69</v>
      </c>
      <c r="AI64" s="120" t="s">
        <v>69</v>
      </c>
      <c r="AJ64" s="120" t="s">
        <v>69</v>
      </c>
      <c r="AK64" s="120" t="s">
        <v>69</v>
      </c>
      <c r="AL64">
        <f t="shared" si="5"/>
        <v>2</v>
      </c>
      <c r="AM64">
        <f t="shared" si="6"/>
        <v>0</v>
      </c>
      <c r="AN64">
        <f t="shared" si="7"/>
        <v>0</v>
      </c>
      <c r="AO64">
        <f t="shared" si="8"/>
        <v>0</v>
      </c>
      <c r="AP64">
        <f t="shared" si="9"/>
        <v>0</v>
      </c>
    </row>
    <row r="65" spans="1:42" ht="18">
      <c r="A65" s="5">
        <v>44</v>
      </c>
      <c r="B65" s="476" t="s">
        <v>378</v>
      </c>
      <c r="C65" s="257" t="s">
        <v>379</v>
      </c>
      <c r="D65" s="488" t="s">
        <v>293</v>
      </c>
      <c r="E65" s="7"/>
      <c r="F65" s="7"/>
      <c r="G65" s="7"/>
      <c r="H65" s="153" t="s">
        <v>72</v>
      </c>
      <c r="I65" s="169" t="s">
        <v>69</v>
      </c>
      <c r="J65" s="169" t="s">
        <v>69</v>
      </c>
      <c r="K65" s="169" t="s">
        <v>69</v>
      </c>
      <c r="L65" s="464" t="s">
        <v>108</v>
      </c>
      <c r="M65" s="9" t="s">
        <v>69</v>
      </c>
      <c r="N65" s="121" t="s">
        <v>72</v>
      </c>
      <c r="O65" s="672" t="s">
        <v>69</v>
      </c>
      <c r="P65" s="672" t="s">
        <v>69</v>
      </c>
      <c r="Q65" s="672" t="s">
        <v>69</v>
      </c>
      <c r="R65" s="672" t="s">
        <v>69</v>
      </c>
      <c r="S65" s="329" t="s">
        <v>108</v>
      </c>
      <c r="T65" s="131" t="s">
        <v>76</v>
      </c>
      <c r="U65" s="131" t="s">
        <v>76</v>
      </c>
      <c r="V65" s="131" t="s">
        <v>76</v>
      </c>
      <c r="W65" s="131" t="s">
        <v>76</v>
      </c>
      <c r="X65" s="131" t="s">
        <v>76</v>
      </c>
      <c r="Y65" s="131" t="s">
        <v>76</v>
      </c>
      <c r="Z65" s="329" t="s">
        <v>108</v>
      </c>
      <c r="AA65" s="131" t="s">
        <v>76</v>
      </c>
      <c r="AB65" s="131" t="s">
        <v>76</v>
      </c>
      <c r="AC65" s="131" t="s">
        <v>76</v>
      </c>
      <c r="AD65" s="131" t="s">
        <v>76</v>
      </c>
      <c r="AE65" s="131" t="s">
        <v>76</v>
      </c>
      <c r="AF65" s="131" t="s">
        <v>76</v>
      </c>
      <c r="AG65" s="329" t="s">
        <v>108</v>
      </c>
      <c r="AH65" s="131" t="s">
        <v>76</v>
      </c>
      <c r="AI65" s="131" t="s">
        <v>76</v>
      </c>
      <c r="AJ65" s="131" t="s">
        <v>76</v>
      </c>
      <c r="AK65" s="131" t="s">
        <v>76</v>
      </c>
      <c r="AL65">
        <f t="shared" si="5"/>
        <v>2</v>
      </c>
      <c r="AM65">
        <f t="shared" si="6"/>
        <v>0</v>
      </c>
      <c r="AN65">
        <f t="shared" si="7"/>
        <v>0</v>
      </c>
      <c r="AO65">
        <f t="shared" si="8"/>
        <v>0</v>
      </c>
      <c r="AP65">
        <f t="shared" si="9"/>
        <v>0</v>
      </c>
    </row>
    <row r="66" spans="1:42" ht="18">
      <c r="A66" s="5">
        <v>19</v>
      </c>
      <c r="B66" s="476" t="s">
        <v>380</v>
      </c>
      <c r="C66" s="484" t="s">
        <v>381</v>
      </c>
      <c r="D66" s="450" t="s">
        <v>295</v>
      </c>
      <c r="E66" s="7"/>
      <c r="F66" s="7"/>
      <c r="G66" s="7"/>
      <c r="H66" s="239" t="s">
        <v>69</v>
      </c>
      <c r="I66" s="239" t="s">
        <v>69</v>
      </c>
      <c r="J66" s="153" t="s">
        <v>72</v>
      </c>
      <c r="K66" s="479" t="s">
        <v>76</v>
      </c>
      <c r="L66" s="464" t="s">
        <v>108</v>
      </c>
      <c r="M66" s="63" t="s">
        <v>76</v>
      </c>
      <c r="N66" s="63" t="s">
        <v>76</v>
      </c>
      <c r="O66" s="63" t="s">
        <v>76</v>
      </c>
      <c r="P66" s="63" t="s">
        <v>76</v>
      </c>
      <c r="Q66" s="63" t="s">
        <v>76</v>
      </c>
      <c r="R66" s="63" t="s">
        <v>76</v>
      </c>
      <c r="S66" s="469" t="s">
        <v>108</v>
      </c>
      <c r="T66" s="63" t="s">
        <v>76</v>
      </c>
      <c r="U66" s="63" t="s">
        <v>76</v>
      </c>
      <c r="V66" s="63" t="s">
        <v>76</v>
      </c>
      <c r="W66" s="63" t="s">
        <v>76</v>
      </c>
      <c r="X66" s="63" t="s">
        <v>76</v>
      </c>
      <c r="Y66" s="63" t="s">
        <v>76</v>
      </c>
      <c r="Z66" s="329" t="s">
        <v>108</v>
      </c>
      <c r="AA66" s="63" t="s">
        <v>76</v>
      </c>
      <c r="AB66" s="63" t="s">
        <v>76</v>
      </c>
      <c r="AC66" s="63" t="s">
        <v>76</v>
      </c>
      <c r="AD66" s="63" t="s">
        <v>76</v>
      </c>
      <c r="AE66" s="63" t="s">
        <v>76</v>
      </c>
      <c r="AF66" s="63" t="s">
        <v>76</v>
      </c>
      <c r="AG66" s="329" t="s">
        <v>108</v>
      </c>
      <c r="AH66" s="63" t="s">
        <v>76</v>
      </c>
      <c r="AI66" s="63" t="s">
        <v>76</v>
      </c>
      <c r="AJ66" s="63" t="s">
        <v>76</v>
      </c>
      <c r="AK66" s="63" t="s">
        <v>76</v>
      </c>
      <c r="AL66">
        <f t="shared" ref="AL66:AL97" si="10">COUNTIF(H66:AK66, "AB")</f>
        <v>1</v>
      </c>
      <c r="AM66">
        <f t="shared" ref="AM66:AM83" si="11">COUNTIF(H66:AK66, "CL")</f>
        <v>0</v>
      </c>
      <c r="AN66">
        <f t="shared" ref="AN66:AN83" si="12">COUNTIF(H66:AK66, "H.D")</f>
        <v>0</v>
      </c>
      <c r="AO66">
        <f t="shared" ref="AO66:AO83" si="13">COUNTIF(H66:AK66, "CO")</f>
        <v>0</v>
      </c>
      <c r="AP66">
        <f t="shared" ref="AP66:AP83" si="14">COUNTIF(H66:AK66, "SL")</f>
        <v>0</v>
      </c>
    </row>
    <row r="67" spans="1:42" ht="18">
      <c r="A67" s="5">
        <v>2</v>
      </c>
      <c r="B67" s="476" t="s">
        <v>382</v>
      </c>
      <c r="C67" s="408" t="s">
        <v>249</v>
      </c>
      <c r="D67" s="450" t="s">
        <v>285</v>
      </c>
      <c r="E67" s="7"/>
      <c r="F67" s="7"/>
      <c r="G67" s="7"/>
      <c r="H67" s="239" t="s">
        <v>69</v>
      </c>
      <c r="I67" s="239" t="s">
        <v>69</v>
      </c>
      <c r="J67" s="134" t="s">
        <v>69</v>
      </c>
      <c r="K67" s="239" t="s">
        <v>69</v>
      </c>
      <c r="L67" s="464" t="s">
        <v>108</v>
      </c>
      <c r="M67" s="120" t="s">
        <v>69</v>
      </c>
      <c r="N67" s="120" t="s">
        <v>69</v>
      </c>
      <c r="O67" s="120" t="s">
        <v>69</v>
      </c>
      <c r="P67" s="467" t="s">
        <v>321</v>
      </c>
      <c r="Q67" s="120" t="s">
        <v>69</v>
      </c>
      <c r="R67" s="9" t="s">
        <v>69</v>
      </c>
      <c r="S67" s="329" t="s">
        <v>108</v>
      </c>
      <c r="T67" s="120" t="s">
        <v>69</v>
      </c>
      <c r="U67" s="120" t="s">
        <v>69</v>
      </c>
      <c r="V67" s="463" t="s">
        <v>111</v>
      </c>
      <c r="W67" s="120" t="s">
        <v>69</v>
      </c>
      <c r="X67" s="120" t="s">
        <v>69</v>
      </c>
      <c r="Y67" s="120" t="s">
        <v>69</v>
      </c>
      <c r="Z67" s="329" t="s">
        <v>108</v>
      </c>
      <c r="AA67" s="120" t="s">
        <v>69</v>
      </c>
      <c r="AB67" s="134" t="s">
        <v>69</v>
      </c>
      <c r="AC67" s="121" t="s">
        <v>72</v>
      </c>
      <c r="AD67" s="120" t="s">
        <v>69</v>
      </c>
      <c r="AE67" s="120" t="s">
        <v>69</v>
      </c>
      <c r="AF67" s="120" t="s">
        <v>69</v>
      </c>
      <c r="AG67" s="329" t="s">
        <v>108</v>
      </c>
      <c r="AH67" s="120" t="s">
        <v>69</v>
      </c>
      <c r="AI67" s="120" t="s">
        <v>69</v>
      </c>
      <c r="AJ67" s="672" t="s">
        <v>69</v>
      </c>
      <c r="AK67" s="120" t="s">
        <v>69</v>
      </c>
      <c r="AL67">
        <f t="shared" si="10"/>
        <v>1</v>
      </c>
      <c r="AM67">
        <f t="shared" si="11"/>
        <v>1</v>
      </c>
      <c r="AN67">
        <f t="shared" si="12"/>
        <v>0</v>
      </c>
      <c r="AO67">
        <f t="shared" si="13"/>
        <v>0</v>
      </c>
      <c r="AP67">
        <f t="shared" si="14"/>
        <v>0</v>
      </c>
    </row>
    <row r="68" spans="1:42" ht="18">
      <c r="A68" s="5">
        <v>46</v>
      </c>
      <c r="B68" s="476" t="s">
        <v>383</v>
      </c>
      <c r="C68" s="257" t="s">
        <v>384</v>
      </c>
      <c r="D68" s="450" t="s">
        <v>292</v>
      </c>
      <c r="E68" s="7"/>
      <c r="F68" s="7"/>
      <c r="G68" s="7"/>
      <c r="H68" s="239" t="s">
        <v>69</v>
      </c>
      <c r="I68" s="239" t="s">
        <v>69</v>
      </c>
      <c r="J68" s="152" t="s">
        <v>72</v>
      </c>
      <c r="K68" s="152" t="s">
        <v>72</v>
      </c>
      <c r="L68" s="464" t="s">
        <v>108</v>
      </c>
      <c r="M68" s="120" t="s">
        <v>69</v>
      </c>
      <c r="N68" s="120" t="s">
        <v>69</v>
      </c>
      <c r="O68" s="121" t="s">
        <v>72</v>
      </c>
      <c r="P68" s="121" t="s">
        <v>72</v>
      </c>
      <c r="Q68" s="121" t="s">
        <v>72</v>
      </c>
      <c r="R68" s="121" t="s">
        <v>76</v>
      </c>
      <c r="S68" s="469" t="s">
        <v>108</v>
      </c>
      <c r="T68" s="121" t="s">
        <v>76</v>
      </c>
      <c r="U68" s="121" t="s">
        <v>76</v>
      </c>
      <c r="V68" s="121" t="s">
        <v>76</v>
      </c>
      <c r="W68" s="121" t="s">
        <v>76</v>
      </c>
      <c r="X68" s="121" t="s">
        <v>76</v>
      </c>
      <c r="Y68" s="121" t="s">
        <v>76</v>
      </c>
      <c r="Z68" s="329" t="s">
        <v>108</v>
      </c>
      <c r="AA68" s="121" t="s">
        <v>76</v>
      </c>
      <c r="AB68" s="121" t="s">
        <v>76</v>
      </c>
      <c r="AC68" s="121" t="s">
        <v>76</v>
      </c>
      <c r="AD68" s="121" t="s">
        <v>76</v>
      </c>
      <c r="AE68" s="121" t="s">
        <v>76</v>
      </c>
      <c r="AF68" s="121" t="s">
        <v>76</v>
      </c>
      <c r="AG68" s="329" t="s">
        <v>108</v>
      </c>
      <c r="AH68" s="121" t="s">
        <v>76</v>
      </c>
      <c r="AI68" s="121" t="s">
        <v>76</v>
      </c>
      <c r="AJ68" s="121" t="s">
        <v>76</v>
      </c>
      <c r="AK68" s="121" t="s">
        <v>76</v>
      </c>
      <c r="AL68">
        <f t="shared" si="10"/>
        <v>5</v>
      </c>
      <c r="AM68">
        <f t="shared" si="11"/>
        <v>0</v>
      </c>
      <c r="AN68">
        <f t="shared" si="12"/>
        <v>0</v>
      </c>
      <c r="AO68">
        <f t="shared" si="13"/>
        <v>0</v>
      </c>
      <c r="AP68">
        <f t="shared" si="14"/>
        <v>0</v>
      </c>
    </row>
    <row r="69" spans="1:42" ht="18">
      <c r="A69" s="5">
        <v>29</v>
      </c>
      <c r="B69" s="476" t="s">
        <v>385</v>
      </c>
      <c r="C69" s="254" t="s">
        <v>253</v>
      </c>
      <c r="D69" s="450" t="s">
        <v>284</v>
      </c>
      <c r="E69" s="7"/>
      <c r="F69" s="7"/>
      <c r="G69" s="7"/>
      <c r="H69" s="239" t="s">
        <v>69</v>
      </c>
      <c r="I69" s="153" t="s">
        <v>72</v>
      </c>
      <c r="J69" s="199" t="s">
        <v>69</v>
      </c>
      <c r="K69" s="116" t="s">
        <v>69</v>
      </c>
      <c r="L69" s="464" t="s">
        <v>108</v>
      </c>
      <c r="M69" s="116" t="s">
        <v>69</v>
      </c>
      <c r="N69" s="343" t="s">
        <v>72</v>
      </c>
      <c r="O69" s="343" t="s">
        <v>72</v>
      </c>
      <c r="P69" s="120" t="s">
        <v>69</v>
      </c>
      <c r="Q69" s="120" t="s">
        <v>69</v>
      </c>
      <c r="R69" s="120" t="s">
        <v>69</v>
      </c>
      <c r="S69" s="329" t="s">
        <v>108</v>
      </c>
      <c r="T69" s="120" t="s">
        <v>69</v>
      </c>
      <c r="U69" s="120" t="s">
        <v>69</v>
      </c>
      <c r="V69" s="120" t="s">
        <v>69</v>
      </c>
      <c r="W69" s="120" t="s">
        <v>69</v>
      </c>
      <c r="X69" s="120" t="s">
        <v>69</v>
      </c>
      <c r="Y69" s="121" t="s">
        <v>72</v>
      </c>
      <c r="Z69" s="329" t="s">
        <v>108</v>
      </c>
      <c r="AA69" s="120" t="s">
        <v>69</v>
      </c>
      <c r="AB69" s="120" t="s">
        <v>69</v>
      </c>
      <c r="AC69" s="134" t="s">
        <v>69</v>
      </c>
      <c r="AD69" s="120" t="s">
        <v>69</v>
      </c>
      <c r="AE69" s="120" t="s">
        <v>69</v>
      </c>
      <c r="AF69" s="120" t="s">
        <v>69</v>
      </c>
      <c r="AG69" s="329" t="s">
        <v>108</v>
      </c>
      <c r="AH69" s="120" t="s">
        <v>69</v>
      </c>
      <c r="AI69" s="120" t="s">
        <v>69</v>
      </c>
      <c r="AJ69" s="134" t="s">
        <v>69</v>
      </c>
      <c r="AK69" s="120" t="s">
        <v>69</v>
      </c>
      <c r="AL69">
        <f t="shared" si="10"/>
        <v>4</v>
      </c>
      <c r="AM69">
        <f t="shared" si="11"/>
        <v>0</v>
      </c>
      <c r="AN69">
        <f t="shared" si="12"/>
        <v>0</v>
      </c>
      <c r="AO69">
        <f t="shared" si="13"/>
        <v>0</v>
      </c>
      <c r="AP69">
        <f t="shared" si="14"/>
        <v>0</v>
      </c>
    </row>
    <row r="70" spans="1:42" ht="18">
      <c r="A70" s="5">
        <v>75</v>
      </c>
      <c r="B70" s="476" t="s">
        <v>386</v>
      </c>
      <c r="C70" s="254" t="s">
        <v>263</v>
      </c>
      <c r="D70" s="450" t="s">
        <v>286</v>
      </c>
      <c r="E70" s="7"/>
      <c r="F70" s="7"/>
      <c r="G70" s="7"/>
      <c r="H70" s="153" t="s">
        <v>72</v>
      </c>
      <c r="I70" s="153" t="s">
        <v>72</v>
      </c>
      <c r="J70" s="121" t="s">
        <v>72</v>
      </c>
      <c r="K70" s="121" t="s">
        <v>72</v>
      </c>
      <c r="L70" s="464" t="s">
        <v>108</v>
      </c>
      <c r="M70" s="63" t="s">
        <v>72</v>
      </c>
      <c r="N70" s="25" t="s">
        <v>72</v>
      </c>
      <c r="O70" s="25" t="s">
        <v>72</v>
      </c>
      <c r="P70" s="25" t="s">
        <v>72</v>
      </c>
      <c r="Q70" s="132" t="s">
        <v>94</v>
      </c>
      <c r="R70" s="121" t="s">
        <v>72</v>
      </c>
      <c r="S70" s="469" t="s">
        <v>108</v>
      </c>
      <c r="T70" s="209" t="s">
        <v>92</v>
      </c>
      <c r="U70" s="120" t="s">
        <v>69</v>
      </c>
      <c r="V70" s="120" t="s">
        <v>69</v>
      </c>
      <c r="W70" s="147" t="s">
        <v>92</v>
      </c>
      <c r="X70" s="132" t="s">
        <v>94</v>
      </c>
      <c r="Y70" s="121" t="s">
        <v>72</v>
      </c>
      <c r="Z70" s="329" t="s">
        <v>108</v>
      </c>
      <c r="AA70" s="120" t="s">
        <v>69</v>
      </c>
      <c r="AB70" s="120" t="s">
        <v>69</v>
      </c>
      <c r="AC70" s="134" t="s">
        <v>69</v>
      </c>
      <c r="AD70" s="134" t="s">
        <v>69</v>
      </c>
      <c r="AE70" s="474" t="s">
        <v>94</v>
      </c>
      <c r="AF70" s="120" t="s">
        <v>69</v>
      </c>
      <c r="AG70" s="329" t="s">
        <v>108</v>
      </c>
      <c r="AH70" s="120" t="s">
        <v>69</v>
      </c>
      <c r="AI70" s="134" t="s">
        <v>69</v>
      </c>
      <c r="AJ70" s="134" t="s">
        <v>69</v>
      </c>
      <c r="AK70" s="134" t="s">
        <v>69</v>
      </c>
      <c r="AL70">
        <f t="shared" si="10"/>
        <v>10</v>
      </c>
      <c r="AM70">
        <f t="shared" si="11"/>
        <v>0</v>
      </c>
      <c r="AN70">
        <f t="shared" si="12"/>
        <v>0</v>
      </c>
      <c r="AO70">
        <f t="shared" si="13"/>
        <v>0</v>
      </c>
      <c r="AP70">
        <f t="shared" si="14"/>
        <v>0</v>
      </c>
    </row>
    <row r="71" spans="1:42" ht="18">
      <c r="A71" s="5">
        <v>4</v>
      </c>
      <c r="B71" s="476" t="s">
        <v>387</v>
      </c>
      <c r="C71" s="254" t="s">
        <v>265</v>
      </c>
      <c r="D71" s="452" t="s">
        <v>284</v>
      </c>
      <c r="E71" s="7"/>
      <c r="F71" s="7"/>
      <c r="G71" s="7"/>
      <c r="H71" s="153" t="s">
        <v>72</v>
      </c>
      <c r="I71" s="239" t="s">
        <v>69</v>
      </c>
      <c r="J71" s="239" t="s">
        <v>69</v>
      </c>
      <c r="K71" s="239" t="s">
        <v>69</v>
      </c>
      <c r="L71" s="464" t="s">
        <v>108</v>
      </c>
      <c r="M71" s="120" t="s">
        <v>69</v>
      </c>
      <c r="N71" s="120" t="s">
        <v>69</v>
      </c>
      <c r="O71" s="120" t="s">
        <v>69</v>
      </c>
      <c r="P71" s="120" t="s">
        <v>69</v>
      </c>
      <c r="Q71" s="120" t="s">
        <v>69</v>
      </c>
      <c r="R71" s="120" t="s">
        <v>69</v>
      </c>
      <c r="S71" s="329" t="s">
        <v>108</v>
      </c>
      <c r="T71" s="120" t="s">
        <v>69</v>
      </c>
      <c r="U71" s="120" t="s">
        <v>69</v>
      </c>
      <c r="V71" s="134" t="s">
        <v>69</v>
      </c>
      <c r="W71" s="120" t="s">
        <v>69</v>
      </c>
      <c r="X71" s="120" t="s">
        <v>69</v>
      </c>
      <c r="Y71" s="120" t="s">
        <v>69</v>
      </c>
      <c r="Z71" s="329" t="s">
        <v>108</v>
      </c>
      <c r="AA71" s="120" t="s">
        <v>69</v>
      </c>
      <c r="AB71" s="134" t="s">
        <v>69</v>
      </c>
      <c r="AC71" s="134" t="s">
        <v>69</v>
      </c>
      <c r="AD71" s="134" t="s">
        <v>69</v>
      </c>
      <c r="AE71" s="120" t="s">
        <v>69</v>
      </c>
      <c r="AF71" s="120" t="s">
        <v>69</v>
      </c>
      <c r="AG71" s="329" t="s">
        <v>108</v>
      </c>
      <c r="AH71" s="120" t="s">
        <v>69</v>
      </c>
      <c r="AI71" s="120" t="s">
        <v>69</v>
      </c>
      <c r="AJ71" s="134" t="s">
        <v>69</v>
      </c>
      <c r="AK71" s="120" t="s">
        <v>69</v>
      </c>
      <c r="AL71">
        <f t="shared" si="10"/>
        <v>1</v>
      </c>
      <c r="AM71">
        <f t="shared" si="11"/>
        <v>0</v>
      </c>
      <c r="AN71">
        <f t="shared" si="12"/>
        <v>0</v>
      </c>
      <c r="AO71">
        <f t="shared" si="13"/>
        <v>0</v>
      </c>
      <c r="AP71">
        <f t="shared" si="14"/>
        <v>0</v>
      </c>
    </row>
    <row r="72" spans="1:42" ht="18">
      <c r="A72" s="5">
        <v>5</v>
      </c>
      <c r="B72" s="476" t="s">
        <v>388</v>
      </c>
      <c r="C72" s="254" t="s">
        <v>266</v>
      </c>
      <c r="D72" s="452" t="s">
        <v>133</v>
      </c>
      <c r="E72" s="7"/>
      <c r="F72" s="7"/>
      <c r="G72" s="7"/>
      <c r="H72" s="239" t="s">
        <v>69</v>
      </c>
      <c r="I72" s="239" t="s">
        <v>69</v>
      </c>
      <c r="J72" s="134" t="s">
        <v>69</v>
      </c>
      <c r="K72" s="25" t="s">
        <v>72</v>
      </c>
      <c r="L72" s="464" t="s">
        <v>108</v>
      </c>
      <c r="M72" s="120" t="s">
        <v>69</v>
      </c>
      <c r="N72" s="120" t="s">
        <v>69</v>
      </c>
      <c r="O72" s="120" t="s">
        <v>69</v>
      </c>
      <c r="P72" s="120" t="s">
        <v>69</v>
      </c>
      <c r="Q72" s="120" t="s">
        <v>69</v>
      </c>
      <c r="R72" s="120" t="s">
        <v>69</v>
      </c>
      <c r="S72" s="469" t="s">
        <v>108</v>
      </c>
      <c r="T72" s="120" t="s">
        <v>69</v>
      </c>
      <c r="U72" s="120" t="s">
        <v>69</v>
      </c>
      <c r="V72" s="134" t="s">
        <v>69</v>
      </c>
      <c r="W72" s="120" t="s">
        <v>69</v>
      </c>
      <c r="X72" s="120" t="s">
        <v>69</v>
      </c>
      <c r="Y72" s="120" t="s">
        <v>69</v>
      </c>
      <c r="Z72" s="329" t="s">
        <v>108</v>
      </c>
      <c r="AA72" s="120" t="s">
        <v>69</v>
      </c>
      <c r="AB72" s="134" t="s">
        <v>69</v>
      </c>
      <c r="AC72" s="134" t="s">
        <v>69</v>
      </c>
      <c r="AD72" s="498" t="s">
        <v>69</v>
      </c>
      <c r="AE72" s="120" t="s">
        <v>69</v>
      </c>
      <c r="AF72" s="120" t="s">
        <v>69</v>
      </c>
      <c r="AG72" s="329" t="s">
        <v>108</v>
      </c>
      <c r="AH72" s="120" t="s">
        <v>69</v>
      </c>
      <c r="AI72" s="120" t="s">
        <v>69</v>
      </c>
      <c r="AJ72" s="672" t="s">
        <v>69</v>
      </c>
      <c r="AK72" s="672" t="s">
        <v>69</v>
      </c>
      <c r="AL72">
        <f t="shared" si="10"/>
        <v>1</v>
      </c>
      <c r="AM72">
        <f t="shared" si="11"/>
        <v>0</v>
      </c>
      <c r="AN72">
        <f t="shared" si="12"/>
        <v>0</v>
      </c>
      <c r="AO72">
        <f t="shared" si="13"/>
        <v>0</v>
      </c>
      <c r="AP72">
        <f t="shared" si="14"/>
        <v>0</v>
      </c>
    </row>
    <row r="73" spans="1:42" ht="18">
      <c r="A73" s="5">
        <v>71</v>
      </c>
      <c r="B73" s="476" t="s">
        <v>389</v>
      </c>
      <c r="C73" s="254" t="s">
        <v>275</v>
      </c>
      <c r="D73" s="450" t="s">
        <v>133</v>
      </c>
      <c r="E73" s="7"/>
      <c r="F73" s="7"/>
      <c r="G73" s="7"/>
      <c r="H73" s="215" t="s">
        <v>94</v>
      </c>
      <c r="I73" s="147" t="s">
        <v>92</v>
      </c>
      <c r="J73" s="134" t="s">
        <v>69</v>
      </c>
      <c r="K73" s="134" t="s">
        <v>69</v>
      </c>
      <c r="L73" s="464" t="s">
        <v>108</v>
      </c>
      <c r="M73" s="9" t="s">
        <v>69</v>
      </c>
      <c r="N73" s="9" t="s">
        <v>69</v>
      </c>
      <c r="O73" s="9" t="s">
        <v>69</v>
      </c>
      <c r="P73" s="9" t="s">
        <v>69</v>
      </c>
      <c r="Q73" s="120" t="s">
        <v>69</v>
      </c>
      <c r="R73" s="120" t="s">
        <v>69</v>
      </c>
      <c r="S73" s="329" t="s">
        <v>108</v>
      </c>
      <c r="T73" s="121" t="s">
        <v>72</v>
      </c>
      <c r="U73" s="120" t="s">
        <v>69</v>
      </c>
      <c r="V73" s="134" t="s">
        <v>69</v>
      </c>
      <c r="W73" s="134" t="s">
        <v>69</v>
      </c>
      <c r="X73" s="132" t="s">
        <v>94</v>
      </c>
      <c r="Y73" s="236" t="s">
        <v>94</v>
      </c>
      <c r="Z73" s="329" t="s">
        <v>108</v>
      </c>
      <c r="AA73" s="147" t="s">
        <v>92</v>
      </c>
      <c r="AB73" s="120" t="s">
        <v>69</v>
      </c>
      <c r="AC73" s="134" t="s">
        <v>69</v>
      </c>
      <c r="AD73" s="120" t="s">
        <v>69</v>
      </c>
      <c r="AE73" s="120" t="s">
        <v>69</v>
      </c>
      <c r="AF73" s="120" t="s">
        <v>69</v>
      </c>
      <c r="AG73" s="329" t="s">
        <v>108</v>
      </c>
      <c r="AH73" s="120" t="s">
        <v>69</v>
      </c>
      <c r="AI73" s="120" t="s">
        <v>69</v>
      </c>
      <c r="AJ73" s="120" t="s">
        <v>69</v>
      </c>
      <c r="AK73" s="120" t="s">
        <v>69</v>
      </c>
      <c r="AL73">
        <f t="shared" si="10"/>
        <v>1</v>
      </c>
      <c r="AM73">
        <f t="shared" si="11"/>
        <v>0</v>
      </c>
      <c r="AN73">
        <f t="shared" si="12"/>
        <v>0</v>
      </c>
      <c r="AO73">
        <f t="shared" si="13"/>
        <v>0</v>
      </c>
      <c r="AP73">
        <f t="shared" si="14"/>
        <v>0</v>
      </c>
    </row>
    <row r="74" spans="1:42" ht="18">
      <c r="A74" s="5">
        <v>68</v>
      </c>
      <c r="B74" s="476" t="s">
        <v>390</v>
      </c>
      <c r="C74" s="254" t="s">
        <v>274</v>
      </c>
      <c r="D74" s="452" t="s">
        <v>296</v>
      </c>
      <c r="E74" s="7"/>
      <c r="F74" s="7"/>
      <c r="G74" s="7"/>
      <c r="H74" s="239" t="s">
        <v>69</v>
      </c>
      <c r="I74" s="134" t="s">
        <v>69</v>
      </c>
      <c r="J74" s="463" t="s">
        <v>175</v>
      </c>
      <c r="K74" s="25" t="s">
        <v>72</v>
      </c>
      <c r="L74" s="464" t="s">
        <v>108</v>
      </c>
      <c r="M74" s="9" t="s">
        <v>69</v>
      </c>
      <c r="N74" s="9" t="s">
        <v>69</v>
      </c>
      <c r="O74" s="9" t="s">
        <v>69</v>
      </c>
      <c r="P74" s="467" t="s">
        <v>148</v>
      </c>
      <c r="Q74" s="120" t="s">
        <v>69</v>
      </c>
      <c r="R74" s="120" t="s">
        <v>69</v>
      </c>
      <c r="S74" s="469" t="s">
        <v>108</v>
      </c>
      <c r="T74" s="120" t="s">
        <v>69</v>
      </c>
      <c r="U74" s="120" t="s">
        <v>69</v>
      </c>
      <c r="V74" s="120" t="s">
        <v>69</v>
      </c>
      <c r="W74" s="137" t="s">
        <v>224</v>
      </c>
      <c r="X74" s="120" t="s">
        <v>69</v>
      </c>
      <c r="Y74" s="120" t="s">
        <v>69</v>
      </c>
      <c r="Z74" s="329" t="s">
        <v>108</v>
      </c>
      <c r="AA74" s="134" t="s">
        <v>69</v>
      </c>
      <c r="AB74" s="134" t="s">
        <v>69</v>
      </c>
      <c r="AC74" s="134" t="s">
        <v>69</v>
      </c>
      <c r="AD74" s="120" t="s">
        <v>69</v>
      </c>
      <c r="AE74" s="120" t="s">
        <v>69</v>
      </c>
      <c r="AF74" s="120" t="s">
        <v>69</v>
      </c>
      <c r="AG74" s="329" t="s">
        <v>108</v>
      </c>
      <c r="AH74" s="134" t="s">
        <v>69</v>
      </c>
      <c r="AI74" s="120" t="s">
        <v>69</v>
      </c>
      <c r="AJ74" s="120" t="s">
        <v>69</v>
      </c>
      <c r="AK74" s="120" t="s">
        <v>69</v>
      </c>
      <c r="AL74">
        <f t="shared" si="10"/>
        <v>1</v>
      </c>
      <c r="AM74">
        <f t="shared" si="11"/>
        <v>0</v>
      </c>
      <c r="AN74">
        <f t="shared" si="12"/>
        <v>0</v>
      </c>
      <c r="AO74">
        <f t="shared" si="13"/>
        <v>0</v>
      </c>
      <c r="AP74">
        <f t="shared" si="14"/>
        <v>0</v>
      </c>
    </row>
    <row r="75" spans="1:42" ht="18">
      <c r="A75" s="5">
        <v>39</v>
      </c>
      <c r="B75" s="476" t="s">
        <v>391</v>
      </c>
      <c r="C75" s="186" t="s">
        <v>271</v>
      </c>
      <c r="D75" s="450" t="s">
        <v>295</v>
      </c>
      <c r="E75" s="7"/>
      <c r="F75" s="7"/>
      <c r="G75" s="7"/>
      <c r="H75" s="159" t="s">
        <v>92</v>
      </c>
      <c r="I75" s="134" t="s">
        <v>69</v>
      </c>
      <c r="J75" s="134" t="s">
        <v>69</v>
      </c>
      <c r="K75" s="670" t="s">
        <v>69</v>
      </c>
      <c r="L75" s="464" t="s">
        <v>108</v>
      </c>
      <c r="M75" s="9" t="s">
        <v>69</v>
      </c>
      <c r="N75" s="9" t="s">
        <v>69</v>
      </c>
      <c r="O75" s="9" t="s">
        <v>69</v>
      </c>
      <c r="P75" s="9" t="s">
        <v>69</v>
      </c>
      <c r="Q75" s="64" t="s">
        <v>94</v>
      </c>
      <c r="R75" s="121" t="s">
        <v>72</v>
      </c>
      <c r="S75" s="329" t="s">
        <v>108</v>
      </c>
      <c r="T75" s="121" t="s">
        <v>72</v>
      </c>
      <c r="U75" s="120" t="s">
        <v>69</v>
      </c>
      <c r="V75" s="134" t="s">
        <v>69</v>
      </c>
      <c r="W75" s="134" t="s">
        <v>69</v>
      </c>
      <c r="X75" s="121" t="s">
        <v>72</v>
      </c>
      <c r="Y75" s="120" t="s">
        <v>69</v>
      </c>
      <c r="Z75" s="329" t="s">
        <v>108</v>
      </c>
      <c r="AA75" s="120" t="s">
        <v>69</v>
      </c>
      <c r="AB75" s="120" t="s">
        <v>69</v>
      </c>
      <c r="AC75" s="134" t="s">
        <v>69</v>
      </c>
      <c r="AD75" s="120" t="s">
        <v>69</v>
      </c>
      <c r="AE75" s="120" t="s">
        <v>69</v>
      </c>
      <c r="AF75" s="130" t="s">
        <v>92</v>
      </c>
      <c r="AG75" s="329" t="s">
        <v>108</v>
      </c>
      <c r="AH75" s="120" t="s">
        <v>69</v>
      </c>
      <c r="AI75" s="120" t="s">
        <v>69</v>
      </c>
      <c r="AJ75" s="134" t="s">
        <v>69</v>
      </c>
      <c r="AK75" s="120" t="s">
        <v>69</v>
      </c>
      <c r="AL75">
        <f t="shared" si="10"/>
        <v>3</v>
      </c>
      <c r="AM75">
        <f t="shared" si="11"/>
        <v>0</v>
      </c>
      <c r="AN75">
        <f t="shared" si="12"/>
        <v>0</v>
      </c>
      <c r="AO75">
        <f t="shared" si="13"/>
        <v>0</v>
      </c>
      <c r="AP75">
        <f t="shared" si="14"/>
        <v>0</v>
      </c>
    </row>
    <row r="76" spans="1:42" ht="18">
      <c r="A76" s="5">
        <v>25</v>
      </c>
      <c r="B76" s="476" t="s">
        <v>392</v>
      </c>
      <c r="C76" s="254" t="s">
        <v>299</v>
      </c>
      <c r="D76" s="486"/>
      <c r="E76" s="7"/>
      <c r="F76" s="7"/>
      <c r="G76" s="7"/>
      <c r="H76" s="239" t="s">
        <v>69</v>
      </c>
      <c r="I76" s="134" t="s">
        <v>69</v>
      </c>
      <c r="J76" s="134" t="s">
        <v>69</v>
      </c>
      <c r="K76" s="65" t="s">
        <v>69</v>
      </c>
      <c r="L76" s="464" t="s">
        <v>108</v>
      </c>
      <c r="M76" s="120" t="s">
        <v>69</v>
      </c>
      <c r="N76" s="120" t="s">
        <v>69</v>
      </c>
      <c r="O76" s="120" t="s">
        <v>69</v>
      </c>
      <c r="P76" s="120" t="s">
        <v>69</v>
      </c>
      <c r="Q76" s="120" t="s">
        <v>69</v>
      </c>
      <c r="R76" s="120" t="s">
        <v>69</v>
      </c>
      <c r="S76" s="469" t="s">
        <v>108</v>
      </c>
      <c r="T76" s="120" t="s">
        <v>69</v>
      </c>
      <c r="U76" s="120" t="s">
        <v>69</v>
      </c>
      <c r="V76" s="120" t="s">
        <v>69</v>
      </c>
      <c r="W76" s="120" t="s">
        <v>69</v>
      </c>
      <c r="X76" s="120" t="s">
        <v>69</v>
      </c>
      <c r="Y76" s="120" t="s">
        <v>69</v>
      </c>
      <c r="Z76" s="329" t="s">
        <v>108</v>
      </c>
      <c r="AA76" s="120" t="s">
        <v>69</v>
      </c>
      <c r="AB76" s="120" t="s">
        <v>69</v>
      </c>
      <c r="AC76" s="134" t="s">
        <v>69</v>
      </c>
      <c r="AD76" s="134" t="s">
        <v>69</v>
      </c>
      <c r="AE76" s="134" t="s">
        <v>69</v>
      </c>
      <c r="AF76" s="120" t="s">
        <v>69</v>
      </c>
      <c r="AG76" s="329" t="s">
        <v>108</v>
      </c>
      <c r="AH76" s="120" t="s">
        <v>69</v>
      </c>
      <c r="AI76" s="120" t="s">
        <v>69</v>
      </c>
      <c r="AJ76" s="134" t="s">
        <v>69</v>
      </c>
      <c r="AK76" s="134" t="s">
        <v>69</v>
      </c>
      <c r="AL76">
        <f t="shared" si="10"/>
        <v>0</v>
      </c>
      <c r="AM76">
        <f t="shared" si="11"/>
        <v>0</v>
      </c>
      <c r="AN76">
        <f t="shared" si="12"/>
        <v>0</v>
      </c>
      <c r="AO76">
        <f t="shared" si="13"/>
        <v>0</v>
      </c>
      <c r="AP76">
        <f t="shared" si="14"/>
        <v>0</v>
      </c>
    </row>
    <row r="77" spans="1:42" ht="18">
      <c r="A77" s="5">
        <v>81</v>
      </c>
      <c r="B77" s="476" t="s">
        <v>393</v>
      </c>
      <c r="C77" s="466" t="s">
        <v>307</v>
      </c>
      <c r="D77" s="485"/>
      <c r="E77" s="7"/>
      <c r="F77" s="7"/>
      <c r="G77" s="7"/>
      <c r="H77" s="239" t="s">
        <v>69</v>
      </c>
      <c r="I77" s="239" t="s">
        <v>69</v>
      </c>
      <c r="J77" s="153" t="s">
        <v>72</v>
      </c>
      <c r="K77" s="438" t="s">
        <v>69</v>
      </c>
      <c r="L77" s="464" t="s">
        <v>108</v>
      </c>
      <c r="M77" s="9" t="s">
        <v>69</v>
      </c>
      <c r="N77" s="9" t="s">
        <v>69</v>
      </c>
      <c r="O77" s="9" t="s">
        <v>69</v>
      </c>
      <c r="P77" s="9" t="s">
        <v>69</v>
      </c>
      <c r="Q77" s="9" t="s">
        <v>69</v>
      </c>
      <c r="R77" s="25" t="s">
        <v>72</v>
      </c>
      <c r="S77" s="329" t="s">
        <v>108</v>
      </c>
      <c r="T77" s="120" t="s">
        <v>69</v>
      </c>
      <c r="U77" s="120" t="s">
        <v>69</v>
      </c>
      <c r="V77" s="134" t="s">
        <v>69</v>
      </c>
      <c r="W77" s="134" t="s">
        <v>69</v>
      </c>
      <c r="X77" s="120" t="s">
        <v>69</v>
      </c>
      <c r="Y77" s="120" t="s">
        <v>69</v>
      </c>
      <c r="Z77" s="329" t="s">
        <v>108</v>
      </c>
      <c r="AA77" s="120" t="s">
        <v>69</v>
      </c>
      <c r="AB77" s="120" t="s">
        <v>69</v>
      </c>
      <c r="AC77" s="120" t="s">
        <v>69</v>
      </c>
      <c r="AD77" s="120" t="s">
        <v>69</v>
      </c>
      <c r="AE77" s="120" t="s">
        <v>69</v>
      </c>
      <c r="AF77" s="120" t="s">
        <v>69</v>
      </c>
      <c r="AG77" s="329" t="s">
        <v>108</v>
      </c>
      <c r="AH77" s="120" t="s">
        <v>69</v>
      </c>
      <c r="AI77" s="120" t="s">
        <v>69</v>
      </c>
      <c r="AJ77" s="120" t="s">
        <v>69</v>
      </c>
      <c r="AK77" s="120" t="s">
        <v>69</v>
      </c>
      <c r="AL77">
        <f t="shared" si="10"/>
        <v>2</v>
      </c>
      <c r="AM77">
        <f t="shared" si="11"/>
        <v>0</v>
      </c>
      <c r="AN77">
        <f t="shared" si="12"/>
        <v>0</v>
      </c>
      <c r="AO77">
        <f t="shared" si="13"/>
        <v>0</v>
      </c>
      <c r="AP77">
        <f t="shared" si="14"/>
        <v>0</v>
      </c>
    </row>
    <row r="78" spans="1:42" ht="18">
      <c r="A78" s="5">
        <v>69</v>
      </c>
      <c r="B78" s="476" t="s">
        <v>394</v>
      </c>
      <c r="C78" s="254" t="s">
        <v>395</v>
      </c>
      <c r="D78" s="452" t="s">
        <v>396</v>
      </c>
      <c r="E78" s="7"/>
      <c r="F78" s="7"/>
      <c r="G78" s="7"/>
      <c r="H78" s="153" t="s">
        <v>72</v>
      </c>
      <c r="I78" s="121" t="s">
        <v>72</v>
      </c>
      <c r="J78" s="121" t="s">
        <v>72</v>
      </c>
      <c r="K78" s="121" t="s">
        <v>72</v>
      </c>
      <c r="L78" s="464" t="s">
        <v>108</v>
      </c>
      <c r="M78" s="120" t="s">
        <v>69</v>
      </c>
      <c r="N78" s="120" t="s">
        <v>69</v>
      </c>
      <c r="O78" s="120" t="s">
        <v>69</v>
      </c>
      <c r="P78" s="120" t="s">
        <v>69</v>
      </c>
      <c r="Q78" s="120" t="s">
        <v>69</v>
      </c>
      <c r="R78" s="120" t="s">
        <v>69</v>
      </c>
      <c r="S78" s="469" t="s">
        <v>108</v>
      </c>
      <c r="T78" s="120" t="s">
        <v>69</v>
      </c>
      <c r="U78" s="120" t="s">
        <v>69</v>
      </c>
      <c r="V78" s="134" t="s">
        <v>69</v>
      </c>
      <c r="W78" s="134" t="s">
        <v>69</v>
      </c>
      <c r="X78" s="120" t="s">
        <v>69</v>
      </c>
      <c r="Y78" s="120" t="s">
        <v>69</v>
      </c>
      <c r="Z78" s="329" t="s">
        <v>108</v>
      </c>
      <c r="AA78" s="134" t="s">
        <v>69</v>
      </c>
      <c r="AB78" s="134" t="s">
        <v>69</v>
      </c>
      <c r="AC78" s="134" t="s">
        <v>69</v>
      </c>
      <c r="AD78" s="120" t="s">
        <v>69</v>
      </c>
      <c r="AE78" s="120" t="s">
        <v>69</v>
      </c>
      <c r="AF78" s="120" t="s">
        <v>69</v>
      </c>
      <c r="AG78" s="329" t="s">
        <v>108</v>
      </c>
      <c r="AH78" s="131" t="s">
        <v>72</v>
      </c>
      <c r="AI78" s="131" t="s">
        <v>72</v>
      </c>
      <c r="AJ78" s="131" t="s">
        <v>72</v>
      </c>
      <c r="AK78" s="131" t="s">
        <v>72</v>
      </c>
      <c r="AL78">
        <f t="shared" si="10"/>
        <v>8</v>
      </c>
      <c r="AM78">
        <f t="shared" si="11"/>
        <v>0</v>
      </c>
      <c r="AN78">
        <f t="shared" si="12"/>
        <v>0</v>
      </c>
      <c r="AO78">
        <f t="shared" si="13"/>
        <v>0</v>
      </c>
      <c r="AP78">
        <f t="shared" si="14"/>
        <v>0</v>
      </c>
    </row>
    <row r="79" spans="1:42" ht="18">
      <c r="A79" s="5">
        <v>7</v>
      </c>
      <c r="B79" s="476" t="s">
        <v>397</v>
      </c>
      <c r="C79" s="254" t="s">
        <v>398</v>
      </c>
      <c r="D79" s="453"/>
      <c r="E79" s="7"/>
      <c r="F79" s="7"/>
      <c r="G79" s="7"/>
      <c r="H79" s="153" t="s">
        <v>72</v>
      </c>
      <c r="I79" s="121" t="s">
        <v>72</v>
      </c>
      <c r="J79" s="121" t="s">
        <v>72</v>
      </c>
      <c r="K79" s="121" t="s">
        <v>72</v>
      </c>
      <c r="L79" s="464" t="s">
        <v>108</v>
      </c>
      <c r="M79" s="63" t="s">
        <v>72</v>
      </c>
      <c r="N79" s="63" t="s">
        <v>72</v>
      </c>
      <c r="O79" s="65" t="s">
        <v>69</v>
      </c>
      <c r="P79" s="65" t="s">
        <v>69</v>
      </c>
      <c r="Q79" s="65" t="s">
        <v>69</v>
      </c>
      <c r="R79" s="65" t="s">
        <v>69</v>
      </c>
      <c r="S79" s="329" t="s">
        <v>108</v>
      </c>
      <c r="T79" s="65" t="s">
        <v>69</v>
      </c>
      <c r="U79" s="65" t="s">
        <v>69</v>
      </c>
      <c r="V79" s="65" t="s">
        <v>69</v>
      </c>
      <c r="W79" s="65" t="s">
        <v>69</v>
      </c>
      <c r="X79" s="65" t="s">
        <v>69</v>
      </c>
      <c r="Y79" s="65" t="s">
        <v>69</v>
      </c>
      <c r="Z79" s="329" t="s">
        <v>108</v>
      </c>
      <c r="AA79" s="65" t="s">
        <v>69</v>
      </c>
      <c r="AB79" s="65" t="s">
        <v>69</v>
      </c>
      <c r="AC79" s="65" t="s">
        <v>69</v>
      </c>
      <c r="AD79" s="65" t="s">
        <v>69</v>
      </c>
      <c r="AE79" s="65" t="s">
        <v>69</v>
      </c>
      <c r="AF79" s="65" t="s">
        <v>69</v>
      </c>
      <c r="AG79" s="329" t="s">
        <v>108</v>
      </c>
      <c r="AH79" s="65" t="s">
        <v>69</v>
      </c>
      <c r="AI79" s="65" t="s">
        <v>69</v>
      </c>
      <c r="AJ79" s="9" t="s">
        <v>69</v>
      </c>
      <c r="AK79" s="9" t="s">
        <v>69</v>
      </c>
      <c r="AL79">
        <f t="shared" si="10"/>
        <v>6</v>
      </c>
      <c r="AM79">
        <f t="shared" si="11"/>
        <v>0</v>
      </c>
      <c r="AN79">
        <f t="shared" si="12"/>
        <v>0</v>
      </c>
      <c r="AO79">
        <f t="shared" si="13"/>
        <v>0</v>
      </c>
      <c r="AP79">
        <f t="shared" si="14"/>
        <v>0</v>
      </c>
    </row>
    <row r="80" spans="1:42" ht="18">
      <c r="A80" s="5">
        <v>61</v>
      </c>
      <c r="B80" s="476" t="s">
        <v>399</v>
      </c>
      <c r="C80" s="254" t="s">
        <v>185</v>
      </c>
      <c r="D80" s="450" t="s">
        <v>296</v>
      </c>
      <c r="E80" s="7"/>
      <c r="F80" s="7"/>
      <c r="G80" s="7"/>
      <c r="H80" s="239" t="s">
        <v>69</v>
      </c>
      <c r="I80" s="134" t="s">
        <v>69</v>
      </c>
      <c r="J80" s="398" t="s">
        <v>175</v>
      </c>
      <c r="K80" s="120" t="s">
        <v>69</v>
      </c>
      <c r="L80" s="464" t="s">
        <v>108</v>
      </c>
      <c r="M80" s="120" t="s">
        <v>69</v>
      </c>
      <c r="N80" s="120" t="s">
        <v>69</v>
      </c>
      <c r="O80" s="120" t="s">
        <v>69</v>
      </c>
      <c r="P80" s="160" t="s">
        <v>148</v>
      </c>
      <c r="Q80" s="120" t="s">
        <v>69</v>
      </c>
      <c r="R80" s="120" t="s">
        <v>69</v>
      </c>
      <c r="S80" s="469" t="s">
        <v>108</v>
      </c>
      <c r="T80" s="120" t="s">
        <v>69</v>
      </c>
      <c r="U80" s="147" t="s">
        <v>92</v>
      </c>
      <c r="V80" s="137" t="s">
        <v>111</v>
      </c>
      <c r="W80" s="134" t="s">
        <v>69</v>
      </c>
      <c r="X80" s="120" t="s">
        <v>69</v>
      </c>
      <c r="Y80" s="120" t="s">
        <v>69</v>
      </c>
      <c r="Z80" s="329" t="s">
        <v>108</v>
      </c>
      <c r="AA80" s="120" t="s">
        <v>69</v>
      </c>
      <c r="AB80" s="120" t="s">
        <v>69</v>
      </c>
      <c r="AC80" s="121" t="s">
        <v>72</v>
      </c>
      <c r="AD80" s="120" t="s">
        <v>69</v>
      </c>
      <c r="AE80" s="120" t="s">
        <v>69</v>
      </c>
      <c r="AF80" s="120" t="s">
        <v>69</v>
      </c>
      <c r="AG80" s="329" t="s">
        <v>108</v>
      </c>
      <c r="AH80" s="120" t="s">
        <v>69</v>
      </c>
      <c r="AI80" s="121" t="s">
        <v>72</v>
      </c>
      <c r="AJ80" s="134" t="s">
        <v>69</v>
      </c>
      <c r="AK80" s="134" t="s">
        <v>69</v>
      </c>
      <c r="AL80">
        <f t="shared" si="10"/>
        <v>2</v>
      </c>
      <c r="AM80">
        <f t="shared" si="11"/>
        <v>1</v>
      </c>
      <c r="AN80">
        <f t="shared" si="12"/>
        <v>0</v>
      </c>
      <c r="AO80">
        <f t="shared" si="13"/>
        <v>0</v>
      </c>
      <c r="AP80">
        <f t="shared" si="14"/>
        <v>0</v>
      </c>
    </row>
    <row r="81" spans="1:42" ht="18">
      <c r="A81" s="5">
        <v>56</v>
      </c>
      <c r="B81" s="476" t="s">
        <v>400</v>
      </c>
      <c r="C81" s="254" t="s">
        <v>230</v>
      </c>
      <c r="D81" s="490" t="s">
        <v>293</v>
      </c>
      <c r="E81" s="7"/>
      <c r="F81" s="7"/>
      <c r="G81" s="7"/>
      <c r="H81" s="239" t="s">
        <v>69</v>
      </c>
      <c r="I81" s="134" t="s">
        <v>69</v>
      </c>
      <c r="J81" s="134" t="s">
        <v>69</v>
      </c>
      <c r="K81" s="134" t="s">
        <v>69</v>
      </c>
      <c r="L81" s="464" t="s">
        <v>108</v>
      </c>
      <c r="M81" s="120" t="s">
        <v>69</v>
      </c>
      <c r="N81" s="120" t="s">
        <v>69</v>
      </c>
      <c r="O81" s="120" t="s">
        <v>69</v>
      </c>
      <c r="P81" s="120" t="s">
        <v>69</v>
      </c>
      <c r="Q81" s="120" t="s">
        <v>69</v>
      </c>
      <c r="R81" s="120" t="s">
        <v>69</v>
      </c>
      <c r="S81" s="329" t="s">
        <v>108</v>
      </c>
      <c r="T81" s="120" t="s">
        <v>69</v>
      </c>
      <c r="U81" s="120" t="s">
        <v>69</v>
      </c>
      <c r="V81" s="134" t="s">
        <v>69</v>
      </c>
      <c r="W81" s="121" t="s">
        <v>72</v>
      </c>
      <c r="X81" s="120" t="s">
        <v>69</v>
      </c>
      <c r="Y81" s="120" t="s">
        <v>69</v>
      </c>
      <c r="Z81" s="329" t="s">
        <v>108</v>
      </c>
      <c r="AA81" s="120" t="s">
        <v>69</v>
      </c>
      <c r="AB81" s="120" t="s">
        <v>69</v>
      </c>
      <c r="AC81" s="134" t="s">
        <v>69</v>
      </c>
      <c r="AD81" s="134" t="s">
        <v>69</v>
      </c>
      <c r="AE81" s="120" t="s">
        <v>69</v>
      </c>
      <c r="AF81" s="120" t="s">
        <v>69</v>
      </c>
      <c r="AG81" s="329" t="s">
        <v>108</v>
      </c>
      <c r="AH81" s="120" t="s">
        <v>69</v>
      </c>
      <c r="AI81" s="120" t="s">
        <v>69</v>
      </c>
      <c r="AJ81" s="412" t="s">
        <v>321</v>
      </c>
      <c r="AK81" s="120" t="s">
        <v>69</v>
      </c>
      <c r="AL81">
        <f t="shared" si="10"/>
        <v>1</v>
      </c>
      <c r="AM81">
        <f t="shared" si="11"/>
        <v>0</v>
      </c>
      <c r="AN81">
        <f t="shared" si="12"/>
        <v>0</v>
      </c>
      <c r="AO81">
        <f t="shared" si="13"/>
        <v>0</v>
      </c>
      <c r="AP81">
        <f t="shared" si="14"/>
        <v>0</v>
      </c>
    </row>
    <row r="82" spans="1:42" ht="18">
      <c r="A82" s="5">
        <v>24</v>
      </c>
      <c r="B82" s="476" t="s">
        <v>401</v>
      </c>
      <c r="C82" s="254" t="s">
        <v>298</v>
      </c>
      <c r="D82" s="491"/>
      <c r="E82" s="441"/>
      <c r="F82" s="441"/>
      <c r="G82" s="441"/>
      <c r="H82" s="239" t="s">
        <v>69</v>
      </c>
      <c r="I82" s="239" t="s">
        <v>69</v>
      </c>
      <c r="J82" s="199" t="s">
        <v>69</v>
      </c>
      <c r="K82" s="494" t="s">
        <v>69</v>
      </c>
      <c r="L82" s="464" t="s">
        <v>108</v>
      </c>
      <c r="M82" s="496" t="s">
        <v>72</v>
      </c>
      <c r="N82" s="157" t="s">
        <v>69</v>
      </c>
      <c r="O82" s="120" t="s">
        <v>69</v>
      </c>
      <c r="P82" s="120" t="s">
        <v>69</v>
      </c>
      <c r="Q82" s="120" t="s">
        <v>69</v>
      </c>
      <c r="R82" s="120" t="s">
        <v>69</v>
      </c>
      <c r="S82" s="469" t="s">
        <v>108</v>
      </c>
      <c r="T82" s="157" t="s">
        <v>69</v>
      </c>
      <c r="U82" s="157" t="s">
        <v>69</v>
      </c>
      <c r="V82" s="157" t="s">
        <v>69</v>
      </c>
      <c r="W82" s="120" t="s">
        <v>69</v>
      </c>
      <c r="X82" s="134" t="s">
        <v>69</v>
      </c>
      <c r="Y82" s="134" t="s">
        <v>69</v>
      </c>
      <c r="Z82" s="329" t="s">
        <v>108</v>
      </c>
      <c r="AA82" s="120" t="s">
        <v>69</v>
      </c>
      <c r="AB82" s="120" t="s">
        <v>69</v>
      </c>
      <c r="AC82" s="134" t="s">
        <v>69</v>
      </c>
      <c r="AD82" s="157" t="s">
        <v>69</v>
      </c>
      <c r="AE82" s="157" t="s">
        <v>69</v>
      </c>
      <c r="AF82" s="157" t="s">
        <v>69</v>
      </c>
      <c r="AG82" s="329" t="s">
        <v>108</v>
      </c>
      <c r="AH82" s="157" t="s">
        <v>69</v>
      </c>
      <c r="AI82" s="157" t="s">
        <v>69</v>
      </c>
      <c r="AJ82" s="199" t="s">
        <v>69</v>
      </c>
      <c r="AK82" s="199" t="s">
        <v>69</v>
      </c>
      <c r="AL82">
        <f t="shared" si="10"/>
        <v>1</v>
      </c>
      <c r="AM82">
        <f t="shared" si="11"/>
        <v>0</v>
      </c>
      <c r="AN82">
        <f t="shared" si="12"/>
        <v>0</v>
      </c>
      <c r="AO82">
        <f t="shared" si="13"/>
        <v>0</v>
      </c>
      <c r="AP82">
        <f t="shared" si="14"/>
        <v>0</v>
      </c>
    </row>
    <row r="83" spans="1:42" ht="18">
      <c r="A83" s="5">
        <v>52</v>
      </c>
      <c r="B83" s="476" t="s">
        <v>402</v>
      </c>
      <c r="C83" s="186" t="s">
        <v>403</v>
      </c>
      <c r="D83" s="450"/>
      <c r="E83" s="465"/>
      <c r="F83" s="7"/>
      <c r="G83" s="465"/>
      <c r="H83" s="153" t="s">
        <v>72</v>
      </c>
      <c r="I83" s="121" t="s">
        <v>72</v>
      </c>
      <c r="J83" s="121" t="s">
        <v>72</v>
      </c>
      <c r="K83" s="121" t="s">
        <v>72</v>
      </c>
      <c r="L83" s="121" t="s">
        <v>72</v>
      </c>
      <c r="M83" s="121" t="s">
        <v>72</v>
      </c>
      <c r="N83" s="121" t="s">
        <v>72</v>
      </c>
      <c r="O83" s="121" t="s">
        <v>72</v>
      </c>
      <c r="P83" s="121" t="s">
        <v>72</v>
      </c>
      <c r="Q83" s="121" t="s">
        <v>72</v>
      </c>
      <c r="R83" s="121" t="s">
        <v>72</v>
      </c>
      <c r="S83" s="121" t="s">
        <v>72</v>
      </c>
      <c r="T83" s="121" t="s">
        <v>72</v>
      </c>
      <c r="U83" s="121" t="s">
        <v>72</v>
      </c>
      <c r="V83" s="121" t="s">
        <v>72</v>
      </c>
      <c r="W83" s="121" t="s">
        <v>72</v>
      </c>
      <c r="X83" s="121" t="s">
        <v>72</v>
      </c>
      <c r="Y83" s="121" t="s">
        <v>72</v>
      </c>
      <c r="Z83" s="121" t="s">
        <v>72</v>
      </c>
      <c r="AA83" s="120" t="s">
        <v>69</v>
      </c>
      <c r="AB83" s="120" t="s">
        <v>69</v>
      </c>
      <c r="AC83" s="134" t="s">
        <v>69</v>
      </c>
      <c r="AD83" s="120" t="s">
        <v>69</v>
      </c>
      <c r="AE83" s="120" t="s">
        <v>69</v>
      </c>
      <c r="AF83" s="120" t="s">
        <v>69</v>
      </c>
      <c r="AG83" s="329" t="s">
        <v>108</v>
      </c>
      <c r="AH83" s="120" t="s">
        <v>69</v>
      </c>
      <c r="AI83" s="120" t="s">
        <v>69</v>
      </c>
      <c r="AJ83" s="120" t="s">
        <v>69</v>
      </c>
      <c r="AK83" s="120" t="s">
        <v>69</v>
      </c>
      <c r="AL83">
        <f t="shared" si="10"/>
        <v>19</v>
      </c>
      <c r="AM83">
        <f t="shared" si="11"/>
        <v>0</v>
      </c>
      <c r="AN83">
        <f t="shared" si="12"/>
        <v>0</v>
      </c>
      <c r="AO83">
        <f t="shared" si="13"/>
        <v>0</v>
      </c>
      <c r="AP83">
        <f t="shared" si="14"/>
        <v>0</v>
      </c>
    </row>
  </sheetData>
  <autoFilter ref="A1:AP1" xr:uid="{4F293811-CA53-4832-98BA-BB10CC67EE2A}">
    <sortState xmlns:xlrd2="http://schemas.microsoft.com/office/spreadsheetml/2017/richdata2" ref="A2:AP83">
      <sortCondition ref="B1"/>
    </sortState>
  </autoFilter>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0EC65-BACD-4ED1-9B3F-11115B58D1F6}">
  <dimension ref="A1:AW84"/>
  <sheetViews>
    <sheetView workbookViewId="0">
      <pane xSplit="3" ySplit="1" topLeftCell="I9" activePane="bottomRight" state="frozen"/>
      <selection pane="topRight"/>
      <selection pane="bottomLeft"/>
      <selection pane="bottomRight" activeCell="N16" sqref="N16"/>
    </sheetView>
  </sheetViews>
  <sheetFormatPr defaultRowHeight="14.25"/>
  <cols>
    <col min="2" max="2" width="23.59765625" customWidth="1"/>
    <col min="3" max="3" width="41.86328125" customWidth="1"/>
    <col min="4" max="5" width="31.3984375" customWidth="1"/>
    <col min="6" max="6" width="22.3984375" customWidth="1"/>
    <col min="7" max="8" width="18.3984375" customWidth="1"/>
  </cols>
  <sheetData>
    <row r="1" spans="1:49" ht="43.5" customHeight="1">
      <c r="A1" s="544" t="s">
        <v>64</v>
      </c>
      <c r="B1" s="545" t="s">
        <v>404</v>
      </c>
      <c r="C1" s="545" t="s">
        <v>65</v>
      </c>
      <c r="D1" s="545" t="s">
        <v>405</v>
      </c>
      <c r="E1" s="545" t="s">
        <v>406</v>
      </c>
      <c r="F1" s="545" t="s">
        <v>407</v>
      </c>
      <c r="G1" s="545" t="s">
        <v>278</v>
      </c>
      <c r="H1" s="545" t="s">
        <v>408</v>
      </c>
      <c r="I1" s="545">
        <v>1</v>
      </c>
      <c r="J1" s="545">
        <v>2</v>
      </c>
      <c r="K1" s="545">
        <v>3</v>
      </c>
      <c r="L1" s="545">
        <v>4</v>
      </c>
      <c r="M1" s="545">
        <v>5</v>
      </c>
      <c r="N1" s="545">
        <v>6</v>
      </c>
      <c r="O1" s="545">
        <v>7</v>
      </c>
      <c r="P1" s="545">
        <v>8</v>
      </c>
      <c r="Q1" s="545">
        <v>9</v>
      </c>
      <c r="R1" s="545">
        <v>10</v>
      </c>
      <c r="S1" s="545">
        <v>11</v>
      </c>
      <c r="T1" s="545">
        <v>12</v>
      </c>
      <c r="U1" s="545">
        <v>13</v>
      </c>
      <c r="V1" s="545">
        <v>14</v>
      </c>
      <c r="W1" s="545">
        <v>15</v>
      </c>
      <c r="X1" s="545">
        <v>16</v>
      </c>
      <c r="Y1" s="545">
        <v>17</v>
      </c>
      <c r="Z1" s="545">
        <v>18</v>
      </c>
      <c r="AA1" s="545">
        <v>19</v>
      </c>
      <c r="AB1" s="545">
        <v>20</v>
      </c>
      <c r="AC1" s="545">
        <v>21</v>
      </c>
      <c r="AD1" s="545">
        <v>22</v>
      </c>
      <c r="AE1" s="545">
        <v>23</v>
      </c>
      <c r="AF1" s="545">
        <v>24</v>
      </c>
      <c r="AG1" s="545">
        <v>25</v>
      </c>
      <c r="AH1" s="545">
        <v>26</v>
      </c>
      <c r="AI1" s="545">
        <v>27</v>
      </c>
      <c r="AJ1" s="545">
        <v>28</v>
      </c>
      <c r="AK1" s="546">
        <v>29</v>
      </c>
      <c r="AL1" s="547">
        <v>30</v>
      </c>
      <c r="AM1" s="547">
        <v>31</v>
      </c>
      <c r="AN1" s="548" t="s">
        <v>279</v>
      </c>
      <c r="AO1" s="548" t="s">
        <v>280</v>
      </c>
      <c r="AP1" s="548" t="s">
        <v>281</v>
      </c>
      <c r="AQ1" s="548" t="s">
        <v>409</v>
      </c>
      <c r="AR1" s="548" t="s">
        <v>283</v>
      </c>
      <c r="AS1" s="548" t="s">
        <v>410</v>
      </c>
      <c r="AT1" s="548" t="s">
        <v>411</v>
      </c>
      <c r="AU1" s="548"/>
      <c r="AV1" s="548"/>
      <c r="AW1" s="548"/>
    </row>
    <row r="2" spans="1:49" ht="18">
      <c r="A2" s="549">
        <v>1</v>
      </c>
      <c r="B2" s="550" t="s">
        <v>319</v>
      </c>
      <c r="C2" s="500" t="s">
        <v>6</v>
      </c>
      <c r="D2" s="502" t="s">
        <v>412</v>
      </c>
      <c r="E2" s="551" t="s">
        <v>413</v>
      </c>
      <c r="F2" s="552" t="s">
        <v>414</v>
      </c>
      <c r="G2" s="553" t="s">
        <v>284</v>
      </c>
      <c r="H2" s="553" t="s">
        <v>415</v>
      </c>
      <c r="I2" s="506" t="s">
        <v>69</v>
      </c>
      <c r="J2" s="507" t="s">
        <v>69</v>
      </c>
      <c r="K2" s="508" t="s">
        <v>108</v>
      </c>
      <c r="L2" s="509" t="s">
        <v>69</v>
      </c>
      <c r="M2" s="509" t="s">
        <v>69</v>
      </c>
      <c r="N2" s="509" t="s">
        <v>69</v>
      </c>
      <c r="O2" s="509" t="s">
        <v>69</v>
      </c>
      <c r="P2" s="509" t="s">
        <v>69</v>
      </c>
      <c r="Q2" s="506" t="s">
        <v>69</v>
      </c>
      <c r="R2" s="554" t="s">
        <v>108</v>
      </c>
      <c r="S2" s="555" t="s">
        <v>416</v>
      </c>
      <c r="T2" s="509" t="s">
        <v>69</v>
      </c>
      <c r="U2" s="509" t="s">
        <v>69</v>
      </c>
      <c r="V2" s="509" t="s">
        <v>69</v>
      </c>
      <c r="W2" s="509" t="s">
        <v>69</v>
      </c>
      <c r="X2" s="556" t="s">
        <v>416</v>
      </c>
      <c r="Y2" s="508" t="s">
        <v>108</v>
      </c>
      <c r="Z2" s="509" t="s">
        <v>69</v>
      </c>
      <c r="AA2" s="509" t="s">
        <v>69</v>
      </c>
      <c r="AB2" s="509" t="s">
        <v>69</v>
      </c>
      <c r="AC2" s="509" t="s">
        <v>69</v>
      </c>
      <c r="AD2" s="509" t="s">
        <v>69</v>
      </c>
      <c r="AE2" s="509" t="s">
        <v>69</v>
      </c>
      <c r="AF2" s="508" t="s">
        <v>108</v>
      </c>
      <c r="AG2" s="509" t="s">
        <v>69</v>
      </c>
      <c r="AH2" s="509" t="s">
        <v>69</v>
      </c>
      <c r="AI2" s="556" t="s">
        <v>416</v>
      </c>
      <c r="AJ2" s="509" t="s">
        <v>69</v>
      </c>
      <c r="AK2" s="509" t="s">
        <v>69</v>
      </c>
      <c r="AL2" s="509" t="s">
        <v>69</v>
      </c>
      <c r="AM2" s="508" t="s">
        <v>108</v>
      </c>
      <c r="AN2" s="548">
        <v>3</v>
      </c>
      <c r="AO2" s="548">
        <v>0</v>
      </c>
      <c r="AP2" s="548">
        <v>0</v>
      </c>
      <c r="AQ2" s="548">
        <v>0</v>
      </c>
      <c r="AR2" s="548">
        <v>0</v>
      </c>
      <c r="AS2" s="548">
        <v>0</v>
      </c>
      <c r="AT2" s="548">
        <v>3</v>
      </c>
      <c r="AU2" s="548"/>
      <c r="AV2" s="548" t="s">
        <v>417</v>
      </c>
      <c r="AW2" s="548"/>
    </row>
    <row r="3" spans="1:49" ht="18">
      <c r="A3" s="557">
        <v>2</v>
      </c>
      <c r="B3" s="529" t="s">
        <v>382</v>
      </c>
      <c r="C3" s="499" t="s">
        <v>249</v>
      </c>
      <c r="D3" s="510" t="s">
        <v>412</v>
      </c>
      <c r="E3" s="536" t="s">
        <v>418</v>
      </c>
      <c r="F3" s="531" t="s">
        <v>419</v>
      </c>
      <c r="G3" s="558" t="s">
        <v>285</v>
      </c>
      <c r="H3" s="558" t="s">
        <v>415</v>
      </c>
      <c r="I3" s="514" t="s">
        <v>416</v>
      </c>
      <c r="J3" s="515" t="s">
        <v>69</v>
      </c>
      <c r="K3" s="516" t="s">
        <v>108</v>
      </c>
      <c r="L3" s="517" t="s">
        <v>69</v>
      </c>
      <c r="M3" s="517" t="s">
        <v>69</v>
      </c>
      <c r="N3" s="517" t="s">
        <v>69</v>
      </c>
      <c r="O3" s="517" t="s">
        <v>69</v>
      </c>
      <c r="P3" s="517" t="s">
        <v>69</v>
      </c>
      <c r="Q3" s="518" t="s">
        <v>69</v>
      </c>
      <c r="R3" s="559" t="s">
        <v>108</v>
      </c>
      <c r="S3" s="537" t="s">
        <v>416</v>
      </c>
      <c r="T3" s="517" t="s">
        <v>69</v>
      </c>
      <c r="U3" s="517" t="s">
        <v>69</v>
      </c>
      <c r="V3" s="517" t="s">
        <v>69</v>
      </c>
      <c r="W3" s="517" t="s">
        <v>69</v>
      </c>
      <c r="X3" s="517" t="s">
        <v>69</v>
      </c>
      <c r="Y3" s="516" t="s">
        <v>108</v>
      </c>
      <c r="Z3" s="517" t="s">
        <v>69</v>
      </c>
      <c r="AA3" s="517" t="s">
        <v>69</v>
      </c>
      <c r="AB3" s="517" t="s">
        <v>69</v>
      </c>
      <c r="AC3" s="517" t="s">
        <v>69</v>
      </c>
      <c r="AD3" s="517" t="s">
        <v>69</v>
      </c>
      <c r="AE3" s="517" t="s">
        <v>69</v>
      </c>
      <c r="AF3" s="516" t="s">
        <v>108</v>
      </c>
      <c r="AG3" s="517" t="s">
        <v>69</v>
      </c>
      <c r="AH3" s="517" t="s">
        <v>69</v>
      </c>
      <c r="AI3" s="517" t="s">
        <v>69</v>
      </c>
      <c r="AJ3" s="517" t="s">
        <v>69</v>
      </c>
      <c r="AK3" s="517" t="s">
        <v>69</v>
      </c>
      <c r="AL3" s="517" t="s">
        <v>69</v>
      </c>
      <c r="AM3" s="516" t="s">
        <v>108</v>
      </c>
      <c r="AN3" s="548">
        <v>2</v>
      </c>
      <c r="AO3" s="548">
        <v>0</v>
      </c>
      <c r="AP3" s="548">
        <v>0</v>
      </c>
      <c r="AQ3" s="548">
        <v>0</v>
      </c>
      <c r="AR3" s="548">
        <v>0</v>
      </c>
      <c r="AS3" s="548">
        <v>0</v>
      </c>
      <c r="AT3" s="548">
        <v>2</v>
      </c>
      <c r="AU3" s="548"/>
      <c r="AV3" s="560" t="s">
        <v>111</v>
      </c>
      <c r="AW3" s="561" t="s">
        <v>420</v>
      </c>
    </row>
    <row r="4" spans="1:49" ht="18">
      <c r="A4" s="557">
        <v>3</v>
      </c>
      <c r="B4" s="529" t="s">
        <v>313</v>
      </c>
      <c r="C4" s="499" t="s">
        <v>7</v>
      </c>
      <c r="D4" s="510" t="s">
        <v>412</v>
      </c>
      <c r="E4" s="536" t="s">
        <v>413</v>
      </c>
      <c r="F4" s="531" t="s">
        <v>421</v>
      </c>
      <c r="G4" s="558" t="s">
        <v>286</v>
      </c>
      <c r="H4" s="558" t="s">
        <v>415</v>
      </c>
      <c r="I4" s="518" t="s">
        <v>69</v>
      </c>
      <c r="J4" s="515" t="s">
        <v>69</v>
      </c>
      <c r="K4" s="516" t="s">
        <v>108</v>
      </c>
      <c r="L4" s="517" t="s">
        <v>69</v>
      </c>
      <c r="M4" s="517" t="s">
        <v>69</v>
      </c>
      <c r="N4" s="517" t="s">
        <v>69</v>
      </c>
      <c r="O4" s="517" t="s">
        <v>69</v>
      </c>
      <c r="P4" s="517" t="s">
        <v>69</v>
      </c>
      <c r="Q4" s="518" t="s">
        <v>69</v>
      </c>
      <c r="R4" s="540" t="s">
        <v>108</v>
      </c>
      <c r="S4" s="517" t="s">
        <v>69</v>
      </c>
      <c r="T4" s="517" t="s">
        <v>69</v>
      </c>
      <c r="U4" s="517" t="s">
        <v>69</v>
      </c>
      <c r="V4" s="517" t="s">
        <v>69</v>
      </c>
      <c r="W4" s="517" t="s">
        <v>69</v>
      </c>
      <c r="X4" s="517" t="s">
        <v>69</v>
      </c>
      <c r="Y4" s="516" t="s">
        <v>108</v>
      </c>
      <c r="Z4" s="517" t="s">
        <v>69</v>
      </c>
      <c r="AA4" s="517" t="s">
        <v>69</v>
      </c>
      <c r="AB4" s="517" t="s">
        <v>69</v>
      </c>
      <c r="AC4" s="517" t="s">
        <v>69</v>
      </c>
      <c r="AD4" s="517" t="s">
        <v>69</v>
      </c>
      <c r="AE4" s="517" t="s">
        <v>69</v>
      </c>
      <c r="AF4" s="516" t="s">
        <v>108</v>
      </c>
      <c r="AG4" s="517" t="s">
        <v>69</v>
      </c>
      <c r="AH4" s="517" t="s">
        <v>70</v>
      </c>
      <c r="AI4" s="517" t="s">
        <v>69</v>
      </c>
      <c r="AJ4" s="517" t="s">
        <v>69</v>
      </c>
      <c r="AK4" s="517" t="s">
        <v>69</v>
      </c>
      <c r="AL4" s="517" t="s">
        <v>69</v>
      </c>
      <c r="AM4" s="516" t="s">
        <v>108</v>
      </c>
      <c r="AN4" s="548">
        <v>0</v>
      </c>
      <c r="AO4" s="548">
        <v>0</v>
      </c>
      <c r="AP4" s="548">
        <v>0</v>
      </c>
      <c r="AQ4" s="548">
        <v>0</v>
      </c>
      <c r="AR4" s="548">
        <v>0</v>
      </c>
      <c r="AS4" s="548">
        <v>0</v>
      </c>
      <c r="AT4" s="548">
        <v>0</v>
      </c>
      <c r="AU4" s="548"/>
      <c r="AV4" s="562" t="s">
        <v>416</v>
      </c>
      <c r="AW4" s="563" t="s">
        <v>422</v>
      </c>
    </row>
    <row r="5" spans="1:49" ht="18">
      <c r="A5" s="557">
        <v>4</v>
      </c>
      <c r="B5" s="529" t="s">
        <v>387</v>
      </c>
      <c r="C5" s="499" t="s">
        <v>423</v>
      </c>
      <c r="D5" s="510" t="s">
        <v>412</v>
      </c>
      <c r="E5" s="536" t="s">
        <v>424</v>
      </c>
      <c r="F5" s="531" t="s">
        <v>425</v>
      </c>
      <c r="G5" s="558" t="s">
        <v>284</v>
      </c>
      <c r="H5" s="558" t="s">
        <v>415</v>
      </c>
      <c r="I5" s="518" t="s">
        <v>69</v>
      </c>
      <c r="J5" s="515" t="s">
        <v>69</v>
      </c>
      <c r="K5" s="516" t="s">
        <v>108</v>
      </c>
      <c r="L5" s="519" t="s">
        <v>416</v>
      </c>
      <c r="M5" s="517" t="s">
        <v>69</v>
      </c>
      <c r="N5" s="517" t="s">
        <v>69</v>
      </c>
      <c r="O5" s="517" t="s">
        <v>69</v>
      </c>
      <c r="P5" s="517" t="s">
        <v>69</v>
      </c>
      <c r="Q5" s="518" t="s">
        <v>69</v>
      </c>
      <c r="R5" s="540" t="s">
        <v>108</v>
      </c>
      <c r="S5" s="517" t="s">
        <v>69</v>
      </c>
      <c r="T5" s="517" t="s">
        <v>69</v>
      </c>
      <c r="U5" s="517" t="s">
        <v>69</v>
      </c>
      <c r="V5" s="519" t="s">
        <v>416</v>
      </c>
      <c r="W5" s="517" t="s">
        <v>69</v>
      </c>
      <c r="X5" s="517" t="s">
        <v>69</v>
      </c>
      <c r="Y5" s="516" t="s">
        <v>108</v>
      </c>
      <c r="Z5" s="517" t="s">
        <v>69</v>
      </c>
      <c r="AA5" s="517" t="s">
        <v>69</v>
      </c>
      <c r="AB5" s="517" t="s">
        <v>69</v>
      </c>
      <c r="AC5" s="517" t="s">
        <v>69</v>
      </c>
      <c r="AD5" s="517" t="s">
        <v>69</v>
      </c>
      <c r="AE5" s="517" t="s">
        <v>69</v>
      </c>
      <c r="AF5" s="516" t="s">
        <v>108</v>
      </c>
      <c r="AG5" s="517" t="s">
        <v>69</v>
      </c>
      <c r="AH5" s="517" t="s">
        <v>69</v>
      </c>
      <c r="AI5" s="517" t="s">
        <v>69</v>
      </c>
      <c r="AJ5" s="517" t="s">
        <v>69</v>
      </c>
      <c r="AK5" s="517" t="s">
        <v>69</v>
      </c>
      <c r="AL5" s="517" t="s">
        <v>69</v>
      </c>
      <c r="AM5" s="516" t="s">
        <v>108</v>
      </c>
      <c r="AN5" s="548">
        <v>2</v>
      </c>
      <c r="AO5" s="548">
        <v>0</v>
      </c>
      <c r="AP5" s="548">
        <v>0</v>
      </c>
      <c r="AQ5" s="548">
        <v>0</v>
      </c>
      <c r="AR5" s="548">
        <v>0</v>
      </c>
      <c r="AS5" s="548">
        <v>0</v>
      </c>
      <c r="AT5" s="548">
        <v>2</v>
      </c>
      <c r="AU5" s="548"/>
      <c r="AV5" s="562" t="s">
        <v>426</v>
      </c>
      <c r="AW5" s="563" t="s">
        <v>427</v>
      </c>
    </row>
    <row r="6" spans="1:49" ht="18">
      <c r="A6" s="557">
        <v>5</v>
      </c>
      <c r="B6" s="529" t="s">
        <v>388</v>
      </c>
      <c r="C6" s="499" t="s">
        <v>266</v>
      </c>
      <c r="D6" s="510" t="s">
        <v>412</v>
      </c>
      <c r="E6" s="536" t="s">
        <v>418</v>
      </c>
      <c r="F6" s="531" t="s">
        <v>428</v>
      </c>
      <c r="G6" s="558" t="s">
        <v>133</v>
      </c>
      <c r="H6" s="558" t="s">
        <v>415</v>
      </c>
      <c r="I6" s="518" t="s">
        <v>69</v>
      </c>
      <c r="J6" s="515" t="s">
        <v>69</v>
      </c>
      <c r="K6" s="516" t="s">
        <v>108</v>
      </c>
      <c r="L6" s="517" t="s">
        <v>69</v>
      </c>
      <c r="M6" s="517" t="s">
        <v>69</v>
      </c>
      <c r="N6" s="517" t="s">
        <v>69</v>
      </c>
      <c r="O6" s="517" t="s">
        <v>69</v>
      </c>
      <c r="P6" s="517" t="s">
        <v>69</v>
      </c>
      <c r="Q6" s="520" t="s">
        <v>426</v>
      </c>
      <c r="R6" s="540" t="s">
        <v>108</v>
      </c>
      <c r="S6" s="517" t="s">
        <v>69</v>
      </c>
      <c r="T6" s="517" t="s">
        <v>69</v>
      </c>
      <c r="U6" s="517" t="s">
        <v>69</v>
      </c>
      <c r="V6" s="517" t="s">
        <v>69</v>
      </c>
      <c r="W6" s="517" t="s">
        <v>69</v>
      </c>
      <c r="X6" s="517" t="s">
        <v>69</v>
      </c>
      <c r="Y6" s="516" t="s">
        <v>108</v>
      </c>
      <c r="Z6" s="517" t="s">
        <v>69</v>
      </c>
      <c r="AA6" s="517" t="s">
        <v>69</v>
      </c>
      <c r="AB6" s="517" t="s">
        <v>69</v>
      </c>
      <c r="AC6" s="517" t="s">
        <v>69</v>
      </c>
      <c r="AD6" s="517" t="s">
        <v>69</v>
      </c>
      <c r="AE6" s="517" t="s">
        <v>69</v>
      </c>
      <c r="AF6" s="516" t="s">
        <v>108</v>
      </c>
      <c r="AG6" s="517" t="s">
        <v>69</v>
      </c>
      <c r="AH6" s="517" t="s">
        <v>69</v>
      </c>
      <c r="AI6" s="517" t="s">
        <v>69</v>
      </c>
      <c r="AJ6" s="517" t="s">
        <v>69</v>
      </c>
      <c r="AK6" s="517" t="s">
        <v>69</v>
      </c>
      <c r="AL6" s="517" t="s">
        <v>69</v>
      </c>
      <c r="AM6" s="516" t="s">
        <v>108</v>
      </c>
      <c r="AN6" s="548">
        <v>0</v>
      </c>
      <c r="AO6" s="548">
        <v>0</v>
      </c>
      <c r="AP6" s="548">
        <v>0.5</v>
      </c>
      <c r="AQ6" s="548">
        <v>0</v>
      </c>
      <c r="AR6" s="548">
        <v>0</v>
      </c>
      <c r="AS6" s="548">
        <v>0</v>
      </c>
      <c r="AT6" s="548">
        <v>0.5</v>
      </c>
      <c r="AU6" s="548"/>
      <c r="AV6" s="562" t="s">
        <v>409</v>
      </c>
      <c r="AW6" s="563" t="s">
        <v>429</v>
      </c>
    </row>
    <row r="7" spans="1:49" ht="18">
      <c r="A7" s="557">
        <v>6</v>
      </c>
      <c r="B7" s="529" t="s">
        <v>430</v>
      </c>
      <c r="C7" s="499" t="s">
        <v>431</v>
      </c>
      <c r="D7" s="510" t="s">
        <v>412</v>
      </c>
      <c r="E7" s="536" t="s">
        <v>418</v>
      </c>
      <c r="F7" s="531" t="s">
        <v>432</v>
      </c>
      <c r="G7" s="558" t="s">
        <v>133</v>
      </c>
      <c r="H7" s="558" t="s">
        <v>415</v>
      </c>
      <c r="I7" s="518" t="s">
        <v>69</v>
      </c>
      <c r="J7" s="515" t="s">
        <v>69</v>
      </c>
      <c r="K7" s="516" t="s">
        <v>108</v>
      </c>
      <c r="L7" s="518" t="s">
        <v>69</v>
      </c>
      <c r="M7" s="515" t="s">
        <v>69</v>
      </c>
      <c r="N7" s="517" t="s">
        <v>69</v>
      </c>
      <c r="O7" s="517" t="s">
        <v>69</v>
      </c>
      <c r="P7" s="517" t="s">
        <v>69</v>
      </c>
      <c r="Q7" s="518" t="s">
        <v>69</v>
      </c>
      <c r="R7" s="540" t="s">
        <v>108</v>
      </c>
      <c r="S7" s="517" t="s">
        <v>69</v>
      </c>
      <c r="T7" s="517" t="s">
        <v>69</v>
      </c>
      <c r="U7" s="517" t="s">
        <v>69</v>
      </c>
      <c r="V7" s="517" t="s">
        <v>69</v>
      </c>
      <c r="W7" s="517" t="s">
        <v>69</v>
      </c>
      <c r="X7" s="517" t="s">
        <v>69</v>
      </c>
      <c r="Y7" s="516" t="s">
        <v>108</v>
      </c>
      <c r="Z7" s="517" t="s">
        <v>69</v>
      </c>
      <c r="AA7" s="517" t="s">
        <v>69</v>
      </c>
      <c r="AB7" s="517" t="s">
        <v>69</v>
      </c>
      <c r="AC7" s="517" t="s">
        <v>69</v>
      </c>
      <c r="AD7" s="517" t="s">
        <v>69</v>
      </c>
      <c r="AE7" s="517" t="s">
        <v>69</v>
      </c>
      <c r="AF7" s="516" t="s">
        <v>108</v>
      </c>
      <c r="AG7" s="517" t="s">
        <v>69</v>
      </c>
      <c r="AH7" s="517" t="s">
        <v>69</v>
      </c>
      <c r="AI7" s="517" t="s">
        <v>69</v>
      </c>
      <c r="AJ7" s="517" t="s">
        <v>69</v>
      </c>
      <c r="AK7" s="517" t="s">
        <v>69</v>
      </c>
      <c r="AL7" s="517" t="s">
        <v>69</v>
      </c>
      <c r="AM7" s="516" t="s">
        <v>108</v>
      </c>
      <c r="AN7" s="548">
        <v>0</v>
      </c>
      <c r="AO7" s="548">
        <v>0</v>
      </c>
      <c r="AP7" s="548">
        <v>0</v>
      </c>
      <c r="AQ7" s="548">
        <v>0</v>
      </c>
      <c r="AR7" s="548">
        <v>0</v>
      </c>
      <c r="AS7" s="548">
        <v>0</v>
      </c>
      <c r="AT7" s="548">
        <v>0</v>
      </c>
      <c r="AU7" s="548"/>
      <c r="AV7" s="562" t="s">
        <v>267</v>
      </c>
      <c r="AW7" s="563" t="s">
        <v>433</v>
      </c>
    </row>
    <row r="8" spans="1:49" ht="18">
      <c r="A8" s="557">
        <v>7</v>
      </c>
      <c r="B8" s="529" t="s">
        <v>320</v>
      </c>
      <c r="C8" s="499" t="s">
        <v>11</v>
      </c>
      <c r="D8" s="510" t="s">
        <v>412</v>
      </c>
      <c r="E8" s="536" t="s">
        <v>413</v>
      </c>
      <c r="F8" s="531" t="s">
        <v>434</v>
      </c>
      <c r="G8" s="558" t="s">
        <v>288</v>
      </c>
      <c r="H8" s="558" t="s">
        <v>415</v>
      </c>
      <c r="I8" s="514" t="s">
        <v>416</v>
      </c>
      <c r="J8" s="515" t="s">
        <v>69</v>
      </c>
      <c r="K8" s="516" t="s">
        <v>108</v>
      </c>
      <c r="L8" s="517" t="s">
        <v>69</v>
      </c>
      <c r="M8" s="517" t="s">
        <v>69</v>
      </c>
      <c r="N8" s="517" t="s">
        <v>69</v>
      </c>
      <c r="O8" s="519" t="s">
        <v>416</v>
      </c>
      <c r="P8" s="517" t="s">
        <v>69</v>
      </c>
      <c r="Q8" s="518" t="s">
        <v>69</v>
      </c>
      <c r="R8" s="540" t="s">
        <v>108</v>
      </c>
      <c r="S8" s="521" t="s">
        <v>426</v>
      </c>
      <c r="T8" s="517" t="s">
        <v>69</v>
      </c>
      <c r="U8" s="519" t="s">
        <v>416</v>
      </c>
      <c r="V8" s="517" t="s">
        <v>69</v>
      </c>
      <c r="W8" s="522" t="s">
        <v>267</v>
      </c>
      <c r="X8" s="519" t="s">
        <v>416</v>
      </c>
      <c r="Y8" s="516" t="s">
        <v>108</v>
      </c>
      <c r="Z8" s="517" t="s">
        <v>69</v>
      </c>
      <c r="AA8" s="517" t="s">
        <v>69</v>
      </c>
      <c r="AB8" s="517" t="s">
        <v>69</v>
      </c>
      <c r="AC8" s="517" t="s">
        <v>69</v>
      </c>
      <c r="AD8" s="517" t="s">
        <v>69</v>
      </c>
      <c r="AE8" s="517" t="s">
        <v>69</v>
      </c>
      <c r="AF8" s="516" t="s">
        <v>108</v>
      </c>
      <c r="AG8" s="517" t="s">
        <v>69</v>
      </c>
      <c r="AH8" s="517" t="s">
        <v>69</v>
      </c>
      <c r="AI8" s="517" t="s">
        <v>69</v>
      </c>
      <c r="AJ8" s="522" t="s">
        <v>267</v>
      </c>
      <c r="AK8" s="517" t="s">
        <v>69</v>
      </c>
      <c r="AL8" s="517" t="s">
        <v>69</v>
      </c>
      <c r="AM8" s="516" t="s">
        <v>108</v>
      </c>
      <c r="AN8" s="548">
        <v>4</v>
      </c>
      <c r="AO8" s="548">
        <v>0</v>
      </c>
      <c r="AP8" s="548">
        <v>0.5</v>
      </c>
      <c r="AQ8" s="548">
        <v>0</v>
      </c>
      <c r="AR8" s="548">
        <v>2</v>
      </c>
      <c r="AS8" s="548">
        <v>0</v>
      </c>
      <c r="AT8" s="548">
        <v>4.5</v>
      </c>
      <c r="AU8" s="548"/>
      <c r="AV8" s="562" t="s">
        <v>410</v>
      </c>
      <c r="AW8" s="563" t="s">
        <v>435</v>
      </c>
    </row>
    <row r="9" spans="1:49" ht="18">
      <c r="A9" s="557">
        <v>8</v>
      </c>
      <c r="B9" s="529" t="s">
        <v>362</v>
      </c>
      <c r="C9" s="499" t="s">
        <v>10</v>
      </c>
      <c r="D9" s="510" t="s">
        <v>412</v>
      </c>
      <c r="E9" s="536" t="s">
        <v>436</v>
      </c>
      <c r="F9" s="531" t="s">
        <v>437</v>
      </c>
      <c r="G9" s="558" t="s">
        <v>289</v>
      </c>
      <c r="H9" s="558" t="s">
        <v>415</v>
      </c>
      <c r="I9" s="518" t="s">
        <v>69</v>
      </c>
      <c r="J9" s="515" t="s">
        <v>69</v>
      </c>
      <c r="K9" s="516" t="s">
        <v>108</v>
      </c>
      <c r="L9" s="517" t="s">
        <v>69</v>
      </c>
      <c r="M9" s="517" t="s">
        <v>69</v>
      </c>
      <c r="N9" s="517" t="s">
        <v>69</v>
      </c>
      <c r="O9" s="517" t="s">
        <v>69</v>
      </c>
      <c r="P9" s="517" t="s">
        <v>69</v>
      </c>
      <c r="Q9" s="518" t="s">
        <v>69</v>
      </c>
      <c r="R9" s="540" t="s">
        <v>108</v>
      </c>
      <c r="S9" s="517" t="s">
        <v>69</v>
      </c>
      <c r="T9" s="517" t="s">
        <v>69</v>
      </c>
      <c r="U9" s="517" t="s">
        <v>69</v>
      </c>
      <c r="V9" s="517" t="s">
        <v>69</v>
      </c>
      <c r="W9" s="517" t="s">
        <v>69</v>
      </c>
      <c r="X9" s="517" t="s">
        <v>69</v>
      </c>
      <c r="Y9" s="516" t="s">
        <v>108</v>
      </c>
      <c r="Z9" s="517" t="s">
        <v>69</v>
      </c>
      <c r="AA9" s="517" t="s">
        <v>69</v>
      </c>
      <c r="AB9" s="517" t="s">
        <v>69</v>
      </c>
      <c r="AC9" s="517" t="s">
        <v>69</v>
      </c>
      <c r="AD9" s="517" t="s">
        <v>69</v>
      </c>
      <c r="AE9" s="517" t="s">
        <v>69</v>
      </c>
      <c r="AF9" s="516" t="s">
        <v>108</v>
      </c>
      <c r="AG9" s="517" t="s">
        <v>69</v>
      </c>
      <c r="AH9" s="517" t="s">
        <v>69</v>
      </c>
      <c r="AI9" s="517" t="s">
        <v>69</v>
      </c>
      <c r="AJ9" s="517" t="s">
        <v>69</v>
      </c>
      <c r="AK9" s="517" t="s">
        <v>69</v>
      </c>
      <c r="AL9" s="517" t="s">
        <v>69</v>
      </c>
      <c r="AM9" s="516" t="s">
        <v>108</v>
      </c>
      <c r="AN9" s="548">
        <v>0</v>
      </c>
      <c r="AO9" s="548">
        <v>0</v>
      </c>
      <c r="AP9" s="548">
        <v>0</v>
      </c>
      <c r="AQ9" s="548">
        <v>0</v>
      </c>
      <c r="AR9" s="548">
        <v>0</v>
      </c>
      <c r="AS9" s="548">
        <v>0</v>
      </c>
      <c r="AT9" s="548">
        <v>0</v>
      </c>
      <c r="AU9" s="548"/>
      <c r="AV9" s="548"/>
      <c r="AW9" s="548"/>
    </row>
    <row r="10" spans="1:49" ht="18">
      <c r="A10" s="557">
        <v>9</v>
      </c>
      <c r="B10" s="529" t="s">
        <v>346</v>
      </c>
      <c r="C10" s="499" t="s">
        <v>290</v>
      </c>
      <c r="D10" s="510" t="s">
        <v>412</v>
      </c>
      <c r="E10" s="536" t="s">
        <v>424</v>
      </c>
      <c r="F10" s="531" t="s">
        <v>438</v>
      </c>
      <c r="G10" s="558" t="s">
        <v>291</v>
      </c>
      <c r="H10" s="558" t="s">
        <v>415</v>
      </c>
      <c r="I10" s="518" t="s">
        <v>69</v>
      </c>
      <c r="J10" s="515" t="s">
        <v>69</v>
      </c>
      <c r="K10" s="516" t="s">
        <v>108</v>
      </c>
      <c r="L10" s="517" t="s">
        <v>69</v>
      </c>
      <c r="M10" s="517" t="s">
        <v>69</v>
      </c>
      <c r="N10" s="517" t="s">
        <v>69</v>
      </c>
      <c r="O10" s="517" t="s">
        <v>69</v>
      </c>
      <c r="P10" s="517" t="s">
        <v>69</v>
      </c>
      <c r="Q10" s="518" t="s">
        <v>69</v>
      </c>
      <c r="R10" s="540" t="s">
        <v>108</v>
      </c>
      <c r="S10" s="517" t="s">
        <v>69</v>
      </c>
      <c r="T10" s="517" t="s">
        <v>69</v>
      </c>
      <c r="U10" s="517" t="s">
        <v>69</v>
      </c>
      <c r="V10" s="517" t="s">
        <v>69</v>
      </c>
      <c r="W10" s="517" t="s">
        <v>69</v>
      </c>
      <c r="X10" s="517" t="s">
        <v>69</v>
      </c>
      <c r="Y10" s="516" t="s">
        <v>108</v>
      </c>
      <c r="Z10" s="517" t="s">
        <v>69</v>
      </c>
      <c r="AA10" s="517" t="s">
        <v>69</v>
      </c>
      <c r="AB10" s="517" t="s">
        <v>69</v>
      </c>
      <c r="AC10" s="517" t="s">
        <v>69</v>
      </c>
      <c r="AD10" s="517" t="s">
        <v>69</v>
      </c>
      <c r="AE10" s="517" t="s">
        <v>69</v>
      </c>
      <c r="AF10" s="516" t="s">
        <v>108</v>
      </c>
      <c r="AG10" s="517" t="s">
        <v>69</v>
      </c>
      <c r="AH10" s="517" t="s">
        <v>69</v>
      </c>
      <c r="AI10" s="517" t="s">
        <v>69</v>
      </c>
      <c r="AJ10" s="517" t="s">
        <v>69</v>
      </c>
      <c r="AK10" s="517" t="s">
        <v>69</v>
      </c>
      <c r="AL10" s="517" t="s">
        <v>69</v>
      </c>
      <c r="AM10" s="516" t="s">
        <v>108</v>
      </c>
      <c r="AN10" s="548">
        <v>0</v>
      </c>
      <c r="AO10" s="548">
        <v>0</v>
      </c>
      <c r="AP10" s="548">
        <v>0</v>
      </c>
      <c r="AQ10" s="548">
        <v>0</v>
      </c>
      <c r="AR10" s="548">
        <v>0</v>
      </c>
      <c r="AS10" s="548">
        <v>0</v>
      </c>
      <c r="AT10" s="548">
        <v>0</v>
      </c>
      <c r="AU10" s="548"/>
      <c r="AV10" s="548"/>
      <c r="AW10" s="548"/>
    </row>
    <row r="11" spans="1:49" ht="18">
      <c r="A11" s="557">
        <v>10</v>
      </c>
      <c r="B11" s="529" t="s">
        <v>376</v>
      </c>
      <c r="C11" s="499" t="s">
        <v>237</v>
      </c>
      <c r="D11" s="510" t="s">
        <v>412</v>
      </c>
      <c r="E11" s="536" t="s">
        <v>424</v>
      </c>
      <c r="F11" s="531" t="s">
        <v>439</v>
      </c>
      <c r="G11" s="564" t="s">
        <v>292</v>
      </c>
      <c r="H11" s="558" t="s">
        <v>415</v>
      </c>
      <c r="I11" s="518" t="s">
        <v>69</v>
      </c>
      <c r="J11" s="515" t="s">
        <v>69</v>
      </c>
      <c r="K11" s="516" t="s">
        <v>108</v>
      </c>
      <c r="L11" s="517" t="s">
        <v>69</v>
      </c>
      <c r="M11" s="517" t="s">
        <v>69</v>
      </c>
      <c r="N11" s="517" t="s">
        <v>69</v>
      </c>
      <c r="O11" s="519" t="s">
        <v>416</v>
      </c>
      <c r="P11" s="517" t="s">
        <v>69</v>
      </c>
      <c r="Q11" s="518" t="s">
        <v>69</v>
      </c>
      <c r="R11" s="540" t="s">
        <v>108</v>
      </c>
      <c r="S11" s="517" t="s">
        <v>69</v>
      </c>
      <c r="T11" s="517" t="s">
        <v>69</v>
      </c>
      <c r="U11" s="522" t="s">
        <v>267</v>
      </c>
      <c r="V11" s="517" t="s">
        <v>69</v>
      </c>
      <c r="W11" s="517" t="s">
        <v>69</v>
      </c>
      <c r="X11" s="519" t="s">
        <v>416</v>
      </c>
      <c r="Y11" s="516" t="s">
        <v>108</v>
      </c>
      <c r="Z11" s="517" t="s">
        <v>69</v>
      </c>
      <c r="AA11" s="517" t="s">
        <v>69</v>
      </c>
      <c r="AB11" s="517" t="s">
        <v>69</v>
      </c>
      <c r="AC11" s="517" t="s">
        <v>69</v>
      </c>
      <c r="AD11" s="517" t="s">
        <v>69</v>
      </c>
      <c r="AE11" s="521" t="s">
        <v>426</v>
      </c>
      <c r="AF11" s="516" t="s">
        <v>108</v>
      </c>
      <c r="AG11" s="517" t="s">
        <v>69</v>
      </c>
      <c r="AH11" s="517" t="s">
        <v>69</v>
      </c>
      <c r="AI11" s="517" t="s">
        <v>69</v>
      </c>
      <c r="AJ11" s="517" t="s">
        <v>69</v>
      </c>
      <c r="AK11" s="517" t="s">
        <v>69</v>
      </c>
      <c r="AL11" s="517" t="s">
        <v>69</v>
      </c>
      <c r="AM11" s="516" t="s">
        <v>108</v>
      </c>
      <c r="AN11" s="548">
        <v>2</v>
      </c>
      <c r="AO11" s="548">
        <v>0</v>
      </c>
      <c r="AP11" s="548">
        <v>0.5</v>
      </c>
      <c r="AQ11" s="548">
        <v>0</v>
      </c>
      <c r="AR11" s="548">
        <v>1</v>
      </c>
      <c r="AS11" s="548">
        <v>0</v>
      </c>
      <c r="AT11" s="548">
        <v>2.5</v>
      </c>
      <c r="AU11" s="548"/>
      <c r="AV11" s="548"/>
      <c r="AW11" s="548"/>
    </row>
    <row r="12" spans="1:49" ht="18">
      <c r="A12" s="557">
        <v>11</v>
      </c>
      <c r="B12" s="529" t="s">
        <v>328</v>
      </c>
      <c r="C12" s="499" t="s">
        <v>13</v>
      </c>
      <c r="D12" s="510" t="s">
        <v>412</v>
      </c>
      <c r="E12" s="536" t="s">
        <v>436</v>
      </c>
      <c r="F12" s="531" t="s">
        <v>440</v>
      </c>
      <c r="G12" s="558" t="s">
        <v>133</v>
      </c>
      <c r="H12" s="558" t="s">
        <v>415</v>
      </c>
      <c r="I12" s="518" t="s">
        <v>69</v>
      </c>
      <c r="J12" s="515" t="s">
        <v>69</v>
      </c>
      <c r="K12" s="516" t="s">
        <v>108</v>
      </c>
      <c r="L12" s="517" t="s">
        <v>69</v>
      </c>
      <c r="M12" s="517" t="s">
        <v>69</v>
      </c>
      <c r="N12" s="517" t="s">
        <v>69</v>
      </c>
      <c r="O12" s="517" t="s">
        <v>69</v>
      </c>
      <c r="P12" s="517" t="s">
        <v>69</v>
      </c>
      <c r="Q12" s="518" t="s">
        <v>69</v>
      </c>
      <c r="R12" s="540" t="s">
        <v>108</v>
      </c>
      <c r="S12" s="517" t="s">
        <v>69</v>
      </c>
      <c r="T12" s="517" t="s">
        <v>69</v>
      </c>
      <c r="U12" s="517" t="s">
        <v>69</v>
      </c>
      <c r="V12" s="517" t="s">
        <v>69</v>
      </c>
      <c r="W12" s="517" t="s">
        <v>69</v>
      </c>
      <c r="X12" s="517" t="s">
        <v>69</v>
      </c>
      <c r="Y12" s="516" t="s">
        <v>108</v>
      </c>
      <c r="Z12" s="517" t="s">
        <v>69</v>
      </c>
      <c r="AA12" s="519" t="s">
        <v>416</v>
      </c>
      <c r="AB12" s="517" t="s">
        <v>69</v>
      </c>
      <c r="AC12" s="517" t="s">
        <v>69</v>
      </c>
      <c r="AD12" s="517" t="s">
        <v>69</v>
      </c>
      <c r="AE12" s="517" t="s">
        <v>69</v>
      </c>
      <c r="AF12" s="516" t="s">
        <v>108</v>
      </c>
      <c r="AG12" s="517" t="s">
        <v>69</v>
      </c>
      <c r="AH12" s="517" t="s">
        <v>69</v>
      </c>
      <c r="AI12" s="517" t="s">
        <v>69</v>
      </c>
      <c r="AJ12" s="517" t="s">
        <v>69</v>
      </c>
      <c r="AK12" s="517" t="s">
        <v>69</v>
      </c>
      <c r="AL12" s="517" t="s">
        <v>69</v>
      </c>
      <c r="AM12" s="516" t="s">
        <v>108</v>
      </c>
      <c r="AN12" s="548">
        <v>1</v>
      </c>
      <c r="AO12" s="548">
        <v>0</v>
      </c>
      <c r="AP12" s="548">
        <v>0</v>
      </c>
      <c r="AQ12" s="548">
        <v>0</v>
      </c>
      <c r="AR12" s="548">
        <v>0</v>
      </c>
      <c r="AS12" s="548">
        <v>0</v>
      </c>
      <c r="AT12" s="548">
        <v>1</v>
      </c>
      <c r="AU12" s="548"/>
      <c r="AV12" s="548"/>
      <c r="AW12" s="548"/>
    </row>
    <row r="13" spans="1:49" ht="18">
      <c r="A13" s="557">
        <v>12</v>
      </c>
      <c r="B13" s="529" t="s">
        <v>360</v>
      </c>
      <c r="C13" s="499" t="s">
        <v>194</v>
      </c>
      <c r="D13" s="510" t="s">
        <v>412</v>
      </c>
      <c r="E13" s="536" t="s">
        <v>418</v>
      </c>
      <c r="F13" s="531" t="s">
        <v>441</v>
      </c>
      <c r="G13" s="558" t="s">
        <v>292</v>
      </c>
      <c r="H13" s="558" t="s">
        <v>415</v>
      </c>
      <c r="I13" s="518" t="s">
        <v>69</v>
      </c>
      <c r="J13" s="515" t="s">
        <v>69</v>
      </c>
      <c r="K13" s="516" t="s">
        <v>108</v>
      </c>
      <c r="L13" s="517" t="s">
        <v>69</v>
      </c>
      <c r="M13" s="517" t="s">
        <v>69</v>
      </c>
      <c r="N13" s="517" t="s">
        <v>69</v>
      </c>
      <c r="O13" s="517" t="s">
        <v>69</v>
      </c>
      <c r="P13" s="517" t="s">
        <v>69</v>
      </c>
      <c r="Q13" s="518" t="s">
        <v>69</v>
      </c>
      <c r="R13" s="540" t="s">
        <v>108</v>
      </c>
      <c r="S13" s="517" t="s">
        <v>69</v>
      </c>
      <c r="T13" s="517" t="s">
        <v>69</v>
      </c>
      <c r="U13" s="517" t="s">
        <v>69</v>
      </c>
      <c r="V13" s="517" t="s">
        <v>69</v>
      </c>
      <c r="W13" s="517" t="s">
        <v>69</v>
      </c>
      <c r="X13" s="517" t="s">
        <v>69</v>
      </c>
      <c r="Y13" s="516" t="s">
        <v>108</v>
      </c>
      <c r="Z13" s="517" t="s">
        <v>69</v>
      </c>
      <c r="AA13" s="517" t="s">
        <v>69</v>
      </c>
      <c r="AB13" s="517" t="s">
        <v>69</v>
      </c>
      <c r="AC13" s="517" t="s">
        <v>69</v>
      </c>
      <c r="AD13" s="517" t="s">
        <v>69</v>
      </c>
      <c r="AE13" s="519" t="s">
        <v>416</v>
      </c>
      <c r="AF13" s="516" t="s">
        <v>108</v>
      </c>
      <c r="AG13" s="517" t="s">
        <v>69</v>
      </c>
      <c r="AH13" s="517" t="s">
        <v>69</v>
      </c>
      <c r="AI13" s="517" t="s">
        <v>69</v>
      </c>
      <c r="AJ13" s="517" t="s">
        <v>69</v>
      </c>
      <c r="AK13" s="517" t="s">
        <v>69</v>
      </c>
      <c r="AL13" s="517" t="s">
        <v>69</v>
      </c>
      <c r="AM13" s="516" t="s">
        <v>108</v>
      </c>
      <c r="AN13" s="548">
        <v>1</v>
      </c>
      <c r="AO13" s="548">
        <v>0</v>
      </c>
      <c r="AP13" s="548">
        <v>0</v>
      </c>
      <c r="AQ13" s="548">
        <v>0</v>
      </c>
      <c r="AR13" s="548">
        <v>0</v>
      </c>
      <c r="AS13" s="548">
        <v>0</v>
      </c>
      <c r="AT13" s="548">
        <v>1</v>
      </c>
      <c r="AU13" s="548"/>
      <c r="AV13" s="548"/>
      <c r="AW13" s="548"/>
    </row>
    <row r="14" spans="1:49" ht="18">
      <c r="A14" s="557">
        <v>13</v>
      </c>
      <c r="B14" s="529" t="s">
        <v>357</v>
      </c>
      <c r="C14" s="499" t="s">
        <v>177</v>
      </c>
      <c r="D14" s="510" t="s">
        <v>412</v>
      </c>
      <c r="E14" s="536" t="s">
        <v>424</v>
      </c>
      <c r="F14" s="531" t="s">
        <v>442</v>
      </c>
      <c r="G14" s="558" t="s">
        <v>293</v>
      </c>
      <c r="H14" s="558" t="s">
        <v>415</v>
      </c>
      <c r="I14" s="520" t="s">
        <v>426</v>
      </c>
      <c r="J14" s="515" t="s">
        <v>69</v>
      </c>
      <c r="K14" s="516" t="s">
        <v>108</v>
      </c>
      <c r="L14" s="517" t="s">
        <v>69</v>
      </c>
      <c r="M14" s="517" t="s">
        <v>69</v>
      </c>
      <c r="N14" s="517" t="s">
        <v>69</v>
      </c>
      <c r="O14" s="517" t="s">
        <v>69</v>
      </c>
      <c r="P14" s="517" t="s">
        <v>69</v>
      </c>
      <c r="Q14" s="514" t="s">
        <v>416</v>
      </c>
      <c r="R14" s="540" t="s">
        <v>108</v>
      </c>
      <c r="S14" s="517" t="s">
        <v>69</v>
      </c>
      <c r="T14" s="517" t="s">
        <v>69</v>
      </c>
      <c r="U14" s="517" t="s">
        <v>69</v>
      </c>
      <c r="V14" s="517" t="s">
        <v>69</v>
      </c>
      <c r="W14" s="517" t="s">
        <v>69</v>
      </c>
      <c r="X14" s="517" t="s">
        <v>69</v>
      </c>
      <c r="Y14" s="516" t="s">
        <v>108</v>
      </c>
      <c r="Z14" s="517" t="s">
        <v>69</v>
      </c>
      <c r="AA14" s="517" t="s">
        <v>69</v>
      </c>
      <c r="AB14" s="517" t="s">
        <v>69</v>
      </c>
      <c r="AC14" s="517" t="s">
        <v>69</v>
      </c>
      <c r="AD14" s="517" t="s">
        <v>69</v>
      </c>
      <c r="AE14" s="517" t="s">
        <v>69</v>
      </c>
      <c r="AF14" s="516" t="s">
        <v>108</v>
      </c>
      <c r="AG14" s="517" t="s">
        <v>69</v>
      </c>
      <c r="AH14" s="517" t="s">
        <v>69</v>
      </c>
      <c r="AI14" s="517" t="s">
        <v>69</v>
      </c>
      <c r="AJ14" s="517" t="s">
        <v>69</v>
      </c>
      <c r="AK14" s="517" t="s">
        <v>69</v>
      </c>
      <c r="AL14" s="517" t="s">
        <v>69</v>
      </c>
      <c r="AM14" s="516" t="s">
        <v>108</v>
      </c>
      <c r="AN14" s="548">
        <v>1</v>
      </c>
      <c r="AO14" s="548">
        <v>0</v>
      </c>
      <c r="AP14" s="548">
        <v>0.5</v>
      </c>
      <c r="AQ14" s="548">
        <v>0</v>
      </c>
      <c r="AR14" s="548">
        <v>0</v>
      </c>
      <c r="AS14" s="548">
        <v>0</v>
      </c>
      <c r="AT14" s="548">
        <v>1.5</v>
      </c>
      <c r="AU14" s="548"/>
      <c r="AV14" s="548"/>
      <c r="AW14" s="548"/>
    </row>
    <row r="15" spans="1:49" ht="18">
      <c r="A15" s="557">
        <v>14</v>
      </c>
      <c r="B15" s="529" t="s">
        <v>354</v>
      </c>
      <c r="C15" s="499" t="s">
        <v>294</v>
      </c>
      <c r="D15" s="510" t="s">
        <v>412</v>
      </c>
      <c r="E15" s="536" t="s">
        <v>443</v>
      </c>
      <c r="F15" s="531" t="s">
        <v>444</v>
      </c>
      <c r="G15" s="558" t="s">
        <v>295</v>
      </c>
      <c r="H15" s="558" t="s">
        <v>415</v>
      </c>
      <c r="I15" s="518" t="s">
        <v>69</v>
      </c>
      <c r="J15" s="515" t="s">
        <v>69</v>
      </c>
      <c r="K15" s="516" t="s">
        <v>108</v>
      </c>
      <c r="L15" s="517" t="s">
        <v>69</v>
      </c>
      <c r="M15" s="522" t="s">
        <v>267</v>
      </c>
      <c r="N15" s="517" t="s">
        <v>69</v>
      </c>
      <c r="O15" s="517" t="s">
        <v>69</v>
      </c>
      <c r="P15" s="524" t="s">
        <v>267</v>
      </c>
      <c r="Q15" s="518" t="s">
        <v>69</v>
      </c>
      <c r="R15" s="540" t="s">
        <v>108</v>
      </c>
      <c r="S15" s="517" t="s">
        <v>69</v>
      </c>
      <c r="T15" s="517" t="s">
        <v>69</v>
      </c>
      <c r="U15" s="519" t="s">
        <v>416</v>
      </c>
      <c r="V15" s="519" t="s">
        <v>416</v>
      </c>
      <c r="W15" s="519" t="s">
        <v>416</v>
      </c>
      <c r="X15" s="519" t="s">
        <v>416</v>
      </c>
      <c r="Y15" s="516" t="s">
        <v>108</v>
      </c>
      <c r="Z15" s="517" t="s">
        <v>69</v>
      </c>
      <c r="AA15" s="517" t="s">
        <v>69</v>
      </c>
      <c r="AB15" s="517" t="s">
        <v>69</v>
      </c>
      <c r="AC15" s="517" t="s">
        <v>69</v>
      </c>
      <c r="AD15" s="517" t="s">
        <v>69</v>
      </c>
      <c r="AE15" s="517" t="s">
        <v>69</v>
      </c>
      <c r="AF15" s="516" t="s">
        <v>108</v>
      </c>
      <c r="AG15" s="522" t="s">
        <v>267</v>
      </c>
      <c r="AH15" s="517" t="s">
        <v>69</v>
      </c>
      <c r="AI15" s="517" t="s">
        <v>69</v>
      </c>
      <c r="AJ15" s="517" t="s">
        <v>69</v>
      </c>
      <c r="AK15" s="517" t="s">
        <v>69</v>
      </c>
      <c r="AL15" s="522" t="s">
        <v>267</v>
      </c>
      <c r="AM15" s="516" t="s">
        <v>108</v>
      </c>
      <c r="AN15" s="548">
        <v>4</v>
      </c>
      <c r="AO15" s="548">
        <v>0</v>
      </c>
      <c r="AP15" s="548">
        <v>0</v>
      </c>
      <c r="AQ15" s="548">
        <v>0</v>
      </c>
      <c r="AR15" s="548">
        <v>4</v>
      </c>
      <c r="AS15" s="548">
        <v>0</v>
      </c>
      <c r="AT15" s="548">
        <v>5</v>
      </c>
      <c r="AU15" s="548"/>
      <c r="AV15" s="548"/>
      <c r="AW15" s="548"/>
    </row>
    <row r="16" spans="1:49" ht="18">
      <c r="A16" s="557">
        <v>15</v>
      </c>
      <c r="B16" s="529" t="s">
        <v>312</v>
      </c>
      <c r="C16" s="499" t="s">
        <v>17</v>
      </c>
      <c r="D16" s="510" t="s">
        <v>412</v>
      </c>
      <c r="E16" s="536" t="s">
        <v>445</v>
      </c>
      <c r="F16" s="531" t="s">
        <v>446</v>
      </c>
      <c r="G16" s="558" t="s">
        <v>291</v>
      </c>
      <c r="H16" s="558" t="s">
        <v>415</v>
      </c>
      <c r="I16" s="518" t="s">
        <v>69</v>
      </c>
      <c r="J16" s="515" t="s">
        <v>69</v>
      </c>
      <c r="K16" s="516" t="s">
        <v>108</v>
      </c>
      <c r="L16" s="517" t="s">
        <v>69</v>
      </c>
      <c r="M16" s="517" t="s">
        <v>69</v>
      </c>
      <c r="N16" s="517" t="s">
        <v>69</v>
      </c>
      <c r="O16" s="517" t="s">
        <v>69</v>
      </c>
      <c r="P16" s="519" t="s">
        <v>416</v>
      </c>
      <c r="Q16" s="518" t="s">
        <v>69</v>
      </c>
      <c r="R16" s="540" t="s">
        <v>108</v>
      </c>
      <c r="S16" s="517" t="s">
        <v>69</v>
      </c>
      <c r="T16" s="517" t="s">
        <v>69</v>
      </c>
      <c r="U16" s="517" t="s">
        <v>69</v>
      </c>
      <c r="V16" s="517" t="s">
        <v>69</v>
      </c>
      <c r="W16" s="517" t="s">
        <v>69</v>
      </c>
      <c r="X16" s="517" t="s">
        <v>69</v>
      </c>
      <c r="Y16" s="516" t="s">
        <v>108</v>
      </c>
      <c r="Z16" s="517" t="s">
        <v>69</v>
      </c>
      <c r="AA16" s="517" t="s">
        <v>69</v>
      </c>
      <c r="AB16" s="517" t="s">
        <v>69</v>
      </c>
      <c r="AC16" s="517" t="s">
        <v>69</v>
      </c>
      <c r="AD16" s="517" t="s">
        <v>69</v>
      </c>
      <c r="AE16" s="517" t="s">
        <v>69</v>
      </c>
      <c r="AF16" s="516" t="s">
        <v>108</v>
      </c>
      <c r="AG16" s="517" t="s">
        <v>69</v>
      </c>
      <c r="AH16" s="517" t="s">
        <v>69</v>
      </c>
      <c r="AI16" s="519" t="s">
        <v>416</v>
      </c>
      <c r="AJ16" s="517" t="s">
        <v>69</v>
      </c>
      <c r="AK16" s="517" t="s">
        <v>69</v>
      </c>
      <c r="AL16" s="517" t="s">
        <v>69</v>
      </c>
      <c r="AM16" s="516" t="s">
        <v>108</v>
      </c>
      <c r="AN16" s="548">
        <v>2</v>
      </c>
      <c r="AO16" s="548">
        <v>0</v>
      </c>
      <c r="AP16" s="548">
        <v>0</v>
      </c>
      <c r="AQ16" s="548">
        <v>0</v>
      </c>
      <c r="AR16" s="548">
        <v>0</v>
      </c>
      <c r="AS16" s="548">
        <v>0</v>
      </c>
      <c r="AT16" s="548">
        <v>2</v>
      </c>
      <c r="AU16" s="548"/>
      <c r="AV16" s="548"/>
      <c r="AW16" s="548"/>
    </row>
    <row r="17" spans="1:49" ht="18">
      <c r="A17" s="557">
        <v>16</v>
      </c>
      <c r="B17" s="529" t="s">
        <v>368</v>
      </c>
      <c r="C17" s="499" t="s">
        <v>18</v>
      </c>
      <c r="D17" s="510" t="s">
        <v>412</v>
      </c>
      <c r="E17" s="536" t="s">
        <v>418</v>
      </c>
      <c r="F17" s="531" t="s">
        <v>447</v>
      </c>
      <c r="G17" s="558" t="s">
        <v>286</v>
      </c>
      <c r="H17" s="558" t="s">
        <v>415</v>
      </c>
      <c r="I17" s="518" t="s">
        <v>69</v>
      </c>
      <c r="J17" s="515" t="s">
        <v>69</v>
      </c>
      <c r="K17" s="525" t="s">
        <v>108</v>
      </c>
      <c r="L17" s="517" t="s">
        <v>69</v>
      </c>
      <c r="M17" s="517" t="s">
        <v>69</v>
      </c>
      <c r="N17" s="517" t="s">
        <v>69</v>
      </c>
      <c r="O17" s="517" t="s">
        <v>69</v>
      </c>
      <c r="P17" s="517" t="s">
        <v>69</v>
      </c>
      <c r="Q17" s="518" t="s">
        <v>69</v>
      </c>
      <c r="R17" s="540" t="s">
        <v>108</v>
      </c>
      <c r="S17" s="519" t="s">
        <v>416</v>
      </c>
      <c r="T17" s="517" t="s">
        <v>69</v>
      </c>
      <c r="U17" s="517" t="s">
        <v>69</v>
      </c>
      <c r="V17" s="517" t="s">
        <v>69</v>
      </c>
      <c r="W17" s="517" t="s">
        <v>69</v>
      </c>
      <c r="X17" s="517" t="s">
        <v>69</v>
      </c>
      <c r="Y17" s="516" t="s">
        <v>108</v>
      </c>
      <c r="Z17" s="517" t="s">
        <v>69</v>
      </c>
      <c r="AA17" s="517" t="s">
        <v>69</v>
      </c>
      <c r="AB17" s="517" t="s">
        <v>69</v>
      </c>
      <c r="AC17" s="517" t="s">
        <v>69</v>
      </c>
      <c r="AD17" s="517" t="s">
        <v>69</v>
      </c>
      <c r="AE17" s="517" t="s">
        <v>69</v>
      </c>
      <c r="AF17" s="516" t="s">
        <v>108</v>
      </c>
      <c r="AG17" s="517" t="s">
        <v>69</v>
      </c>
      <c r="AH17" s="517" t="s">
        <v>69</v>
      </c>
      <c r="AI17" s="517" t="s">
        <v>69</v>
      </c>
      <c r="AJ17" s="517" t="s">
        <v>69</v>
      </c>
      <c r="AK17" s="517" t="s">
        <v>69</v>
      </c>
      <c r="AL17" s="517" t="s">
        <v>69</v>
      </c>
      <c r="AM17" s="516" t="s">
        <v>108</v>
      </c>
      <c r="AN17" s="548">
        <v>1</v>
      </c>
      <c r="AO17" s="548">
        <v>0</v>
      </c>
      <c r="AP17" s="548">
        <v>0</v>
      </c>
      <c r="AQ17" s="548">
        <v>0</v>
      </c>
      <c r="AR17" s="548">
        <v>0</v>
      </c>
      <c r="AS17" s="548">
        <v>0</v>
      </c>
      <c r="AT17" s="548">
        <v>1</v>
      </c>
      <c r="AU17" s="548"/>
      <c r="AV17" s="548"/>
      <c r="AW17" s="548"/>
    </row>
    <row r="18" spans="1:49" ht="15.75">
      <c r="A18" s="557">
        <v>17</v>
      </c>
      <c r="B18" s="565" t="s">
        <v>448</v>
      </c>
      <c r="C18" s="565" t="s">
        <v>449</v>
      </c>
      <c r="D18" s="526" t="s">
        <v>412</v>
      </c>
      <c r="E18" s="536" t="s">
        <v>418</v>
      </c>
      <c r="F18" s="531" t="s">
        <v>450</v>
      </c>
      <c r="G18" s="558" t="s">
        <v>296</v>
      </c>
      <c r="H18" s="558" t="s">
        <v>415</v>
      </c>
      <c r="I18" s="514" t="s">
        <v>410</v>
      </c>
      <c r="J18" s="527" t="s">
        <v>410</v>
      </c>
      <c r="K18" s="528" t="s">
        <v>410</v>
      </c>
      <c r="L18" s="527" t="s">
        <v>410</v>
      </c>
      <c r="M18" s="527" t="s">
        <v>410</v>
      </c>
      <c r="N18" s="527" t="s">
        <v>410</v>
      </c>
      <c r="O18" s="527" t="s">
        <v>410</v>
      </c>
      <c r="P18" s="527" t="s">
        <v>410</v>
      </c>
      <c r="Q18" s="527" t="s">
        <v>410</v>
      </c>
      <c r="R18" s="527" t="s">
        <v>410</v>
      </c>
      <c r="S18" s="527" t="s">
        <v>410</v>
      </c>
      <c r="T18" s="527" t="s">
        <v>410</v>
      </c>
      <c r="U18" s="527" t="s">
        <v>410</v>
      </c>
      <c r="V18" s="527" t="s">
        <v>410</v>
      </c>
      <c r="W18" s="527" t="s">
        <v>410</v>
      </c>
      <c r="X18" s="527" t="s">
        <v>410</v>
      </c>
      <c r="Y18" s="527" t="s">
        <v>410</v>
      </c>
      <c r="Z18" s="527" t="s">
        <v>410</v>
      </c>
      <c r="AA18" s="527" t="s">
        <v>410</v>
      </c>
      <c r="AB18" s="527" t="s">
        <v>410</v>
      </c>
      <c r="AC18" s="527" t="s">
        <v>410</v>
      </c>
      <c r="AD18" s="527" t="s">
        <v>410</v>
      </c>
      <c r="AE18" s="527" t="s">
        <v>410</v>
      </c>
      <c r="AF18" s="527" t="s">
        <v>410</v>
      </c>
      <c r="AG18" s="515" t="s">
        <v>69</v>
      </c>
      <c r="AH18" s="517" t="s">
        <v>69</v>
      </c>
      <c r="AI18" s="517" t="s">
        <v>69</v>
      </c>
      <c r="AJ18" s="566" t="s">
        <v>111</v>
      </c>
      <c r="AK18" s="517" t="s">
        <v>69</v>
      </c>
      <c r="AL18" s="517" t="s">
        <v>69</v>
      </c>
      <c r="AM18" s="516" t="s">
        <v>108</v>
      </c>
      <c r="AN18" s="548">
        <v>0</v>
      </c>
      <c r="AO18" s="548">
        <v>1</v>
      </c>
      <c r="AP18" s="548">
        <v>0</v>
      </c>
      <c r="AQ18" s="548">
        <v>0</v>
      </c>
      <c r="AR18" s="548">
        <v>0</v>
      </c>
      <c r="AS18" s="548">
        <v>24</v>
      </c>
      <c r="AT18" s="548">
        <v>0</v>
      </c>
      <c r="AU18" s="548"/>
      <c r="AV18" s="548"/>
      <c r="AW18" s="548"/>
    </row>
    <row r="19" spans="1:49" ht="18">
      <c r="A19" s="557">
        <v>18</v>
      </c>
      <c r="B19" s="529" t="s">
        <v>375</v>
      </c>
      <c r="C19" s="499" t="s">
        <v>238</v>
      </c>
      <c r="D19" s="510" t="s">
        <v>412</v>
      </c>
      <c r="E19" s="536" t="s">
        <v>424</v>
      </c>
      <c r="F19" s="531" t="s">
        <v>451</v>
      </c>
      <c r="G19" s="564" t="s">
        <v>297</v>
      </c>
      <c r="H19" s="558" t="s">
        <v>415</v>
      </c>
      <c r="I19" s="518" t="s">
        <v>69</v>
      </c>
      <c r="J19" s="515" t="s">
        <v>69</v>
      </c>
      <c r="K19" s="516" t="s">
        <v>108</v>
      </c>
      <c r="L19" s="517" t="s">
        <v>69</v>
      </c>
      <c r="M19" s="517" t="s">
        <v>69</v>
      </c>
      <c r="N19" s="517" t="s">
        <v>69</v>
      </c>
      <c r="O19" s="517" t="s">
        <v>69</v>
      </c>
      <c r="P19" s="517" t="s">
        <v>69</v>
      </c>
      <c r="Q19" s="518" t="s">
        <v>69</v>
      </c>
      <c r="R19" s="540" t="s">
        <v>108</v>
      </c>
      <c r="S19" s="517" t="s">
        <v>69</v>
      </c>
      <c r="T19" s="517" t="s">
        <v>69</v>
      </c>
      <c r="U19" s="517" t="s">
        <v>69</v>
      </c>
      <c r="V19" s="517" t="s">
        <v>69</v>
      </c>
      <c r="W19" s="517" t="s">
        <v>69</v>
      </c>
      <c r="X19" s="517" t="s">
        <v>69</v>
      </c>
      <c r="Y19" s="516" t="s">
        <v>108</v>
      </c>
      <c r="Z19" s="517" t="s">
        <v>69</v>
      </c>
      <c r="AA19" s="517" t="s">
        <v>69</v>
      </c>
      <c r="AB19" s="517" t="s">
        <v>69</v>
      </c>
      <c r="AC19" s="517" t="s">
        <v>69</v>
      </c>
      <c r="AD19" s="517" t="s">
        <v>69</v>
      </c>
      <c r="AE19" s="517" t="s">
        <v>69</v>
      </c>
      <c r="AF19" s="516" t="s">
        <v>108</v>
      </c>
      <c r="AG19" s="517" t="s">
        <v>69</v>
      </c>
      <c r="AH19" s="517" t="s">
        <v>69</v>
      </c>
      <c r="AI19" s="517" t="s">
        <v>69</v>
      </c>
      <c r="AJ19" s="517" t="s">
        <v>69</v>
      </c>
      <c r="AK19" s="517" t="s">
        <v>69</v>
      </c>
      <c r="AL19" s="517" t="s">
        <v>69</v>
      </c>
      <c r="AM19" s="516" t="s">
        <v>108</v>
      </c>
      <c r="AN19" s="548">
        <v>0</v>
      </c>
      <c r="AO19" s="548">
        <v>0</v>
      </c>
      <c r="AP19" s="548">
        <v>0</v>
      </c>
      <c r="AQ19" s="548">
        <v>0</v>
      </c>
      <c r="AR19" s="548">
        <v>0</v>
      </c>
      <c r="AS19" s="548">
        <v>0</v>
      </c>
      <c r="AT19" s="548">
        <v>0</v>
      </c>
      <c r="AU19" s="548"/>
      <c r="AV19" s="548"/>
      <c r="AW19" s="548"/>
    </row>
    <row r="20" spans="1:49" ht="18">
      <c r="A20" s="557">
        <v>19</v>
      </c>
      <c r="B20" s="529" t="s">
        <v>335</v>
      </c>
      <c r="C20" s="499" t="s">
        <v>22</v>
      </c>
      <c r="D20" s="510" t="s">
        <v>412</v>
      </c>
      <c r="E20" s="536" t="s">
        <v>418</v>
      </c>
      <c r="F20" s="531" t="s">
        <v>452</v>
      </c>
      <c r="G20" s="558" t="s">
        <v>285</v>
      </c>
      <c r="H20" s="558" t="s">
        <v>415</v>
      </c>
      <c r="I20" s="514" t="s">
        <v>416</v>
      </c>
      <c r="J20" s="515" t="s">
        <v>69</v>
      </c>
      <c r="K20" s="516" t="s">
        <v>108</v>
      </c>
      <c r="L20" s="517" t="s">
        <v>69</v>
      </c>
      <c r="M20" s="517" t="s">
        <v>69</v>
      </c>
      <c r="N20" s="517" t="s">
        <v>69</v>
      </c>
      <c r="O20" s="517" t="s">
        <v>69</v>
      </c>
      <c r="P20" s="517" t="s">
        <v>69</v>
      </c>
      <c r="Q20" s="518" t="s">
        <v>69</v>
      </c>
      <c r="R20" s="540" t="s">
        <v>108</v>
      </c>
      <c r="S20" s="517" t="s">
        <v>69</v>
      </c>
      <c r="T20" s="517" t="s">
        <v>69</v>
      </c>
      <c r="U20" s="517" t="s">
        <v>69</v>
      </c>
      <c r="V20" s="517" t="s">
        <v>69</v>
      </c>
      <c r="W20" s="517" t="s">
        <v>69</v>
      </c>
      <c r="X20" s="517" t="s">
        <v>69</v>
      </c>
      <c r="Y20" s="516" t="s">
        <v>108</v>
      </c>
      <c r="Z20" s="517" t="s">
        <v>69</v>
      </c>
      <c r="AA20" s="517" t="s">
        <v>69</v>
      </c>
      <c r="AB20" s="517" t="s">
        <v>69</v>
      </c>
      <c r="AC20" s="517" t="s">
        <v>69</v>
      </c>
      <c r="AD20" s="517" t="s">
        <v>69</v>
      </c>
      <c r="AE20" s="517" t="s">
        <v>69</v>
      </c>
      <c r="AF20" s="516" t="s">
        <v>108</v>
      </c>
      <c r="AG20" s="517" t="s">
        <v>69</v>
      </c>
      <c r="AH20" s="517" t="s">
        <v>69</v>
      </c>
      <c r="AI20" s="517" t="s">
        <v>69</v>
      </c>
      <c r="AJ20" s="517" t="s">
        <v>69</v>
      </c>
      <c r="AK20" s="517" t="s">
        <v>69</v>
      </c>
      <c r="AL20" s="517" t="s">
        <v>69</v>
      </c>
      <c r="AM20" s="516" t="s">
        <v>108</v>
      </c>
      <c r="AN20" s="548">
        <v>1</v>
      </c>
      <c r="AO20" s="548">
        <v>0</v>
      </c>
      <c r="AP20" s="548">
        <v>0</v>
      </c>
      <c r="AQ20" s="548">
        <v>0</v>
      </c>
      <c r="AR20" s="548">
        <v>0</v>
      </c>
      <c r="AS20" s="548">
        <v>0</v>
      </c>
      <c r="AT20" s="548">
        <v>1</v>
      </c>
      <c r="AU20" s="548"/>
      <c r="AV20" s="548"/>
      <c r="AW20" s="548"/>
    </row>
    <row r="21" spans="1:49" ht="18">
      <c r="A21" s="557">
        <v>20</v>
      </c>
      <c r="B21" s="529" t="s">
        <v>359</v>
      </c>
      <c r="C21" s="499" t="s">
        <v>179</v>
      </c>
      <c r="D21" s="510" t="s">
        <v>412</v>
      </c>
      <c r="E21" s="536" t="s">
        <v>424</v>
      </c>
      <c r="F21" s="531" t="s">
        <v>453</v>
      </c>
      <c r="G21" s="558" t="s">
        <v>289</v>
      </c>
      <c r="H21" s="558" t="s">
        <v>415</v>
      </c>
      <c r="I21" s="518" t="s">
        <v>69</v>
      </c>
      <c r="J21" s="527" t="s">
        <v>416</v>
      </c>
      <c r="K21" s="516" t="s">
        <v>108</v>
      </c>
      <c r="L21" s="517" t="s">
        <v>69</v>
      </c>
      <c r="M21" s="517" t="s">
        <v>69</v>
      </c>
      <c r="N21" s="517" t="s">
        <v>69</v>
      </c>
      <c r="O21" s="517" t="s">
        <v>69</v>
      </c>
      <c r="P21" s="517" t="s">
        <v>69</v>
      </c>
      <c r="Q21" s="518" t="s">
        <v>69</v>
      </c>
      <c r="R21" s="540" t="s">
        <v>108</v>
      </c>
      <c r="S21" s="517" t="s">
        <v>69</v>
      </c>
      <c r="T21" s="517" t="s">
        <v>69</v>
      </c>
      <c r="U21" s="517" t="s">
        <v>69</v>
      </c>
      <c r="V21" s="517" t="s">
        <v>69</v>
      </c>
      <c r="W21" s="517" t="s">
        <v>69</v>
      </c>
      <c r="X21" s="517" t="s">
        <v>69</v>
      </c>
      <c r="Y21" s="516" t="s">
        <v>108</v>
      </c>
      <c r="Z21" s="517" t="s">
        <v>69</v>
      </c>
      <c r="AA21" s="517" t="s">
        <v>69</v>
      </c>
      <c r="AB21" s="517" t="s">
        <v>69</v>
      </c>
      <c r="AC21" s="517" t="s">
        <v>69</v>
      </c>
      <c r="AD21" s="517" t="s">
        <v>69</v>
      </c>
      <c r="AE21" s="517" t="s">
        <v>69</v>
      </c>
      <c r="AF21" s="516" t="s">
        <v>108</v>
      </c>
      <c r="AG21" s="517" t="s">
        <v>69</v>
      </c>
      <c r="AH21" s="517" t="s">
        <v>69</v>
      </c>
      <c r="AI21" s="517" t="s">
        <v>69</v>
      </c>
      <c r="AJ21" s="519" t="s">
        <v>416</v>
      </c>
      <c r="AK21" s="517" t="s">
        <v>69</v>
      </c>
      <c r="AL21" s="517" t="s">
        <v>69</v>
      </c>
      <c r="AM21" s="516" t="s">
        <v>108</v>
      </c>
      <c r="AN21" s="548">
        <v>2</v>
      </c>
      <c r="AO21" s="548">
        <v>0</v>
      </c>
      <c r="AP21" s="548">
        <v>0</v>
      </c>
      <c r="AQ21" s="548">
        <v>0</v>
      </c>
      <c r="AR21" s="548">
        <v>0</v>
      </c>
      <c r="AS21" s="548">
        <v>0</v>
      </c>
      <c r="AT21" s="548">
        <v>2</v>
      </c>
      <c r="AU21" s="548"/>
      <c r="AV21" s="548"/>
      <c r="AW21" s="548"/>
    </row>
    <row r="22" spans="1:49" ht="18">
      <c r="A22" s="557">
        <v>21</v>
      </c>
      <c r="B22" s="529" t="s">
        <v>401</v>
      </c>
      <c r="C22" s="499" t="s">
        <v>298</v>
      </c>
      <c r="D22" s="510" t="s">
        <v>412</v>
      </c>
      <c r="E22" s="530" t="s">
        <v>424</v>
      </c>
      <c r="F22" s="531" t="s">
        <v>454</v>
      </c>
      <c r="G22" s="532" t="s">
        <v>303</v>
      </c>
      <c r="H22" s="558" t="s">
        <v>415</v>
      </c>
      <c r="I22" s="518" t="s">
        <v>69</v>
      </c>
      <c r="J22" s="515" t="s">
        <v>69</v>
      </c>
      <c r="K22" s="516" t="s">
        <v>108</v>
      </c>
      <c r="L22" s="517" t="s">
        <v>69</v>
      </c>
      <c r="M22" s="517" t="s">
        <v>69</v>
      </c>
      <c r="N22" s="517" t="s">
        <v>69</v>
      </c>
      <c r="O22" s="517" t="s">
        <v>69</v>
      </c>
      <c r="P22" s="517" t="s">
        <v>69</v>
      </c>
      <c r="Q22" s="518" t="s">
        <v>69</v>
      </c>
      <c r="R22" s="540" t="s">
        <v>108</v>
      </c>
      <c r="S22" s="517" t="s">
        <v>69</v>
      </c>
      <c r="T22" s="517" t="s">
        <v>69</v>
      </c>
      <c r="U22" s="517" t="s">
        <v>69</v>
      </c>
      <c r="V22" s="517" t="s">
        <v>69</v>
      </c>
      <c r="W22" s="517" t="s">
        <v>69</v>
      </c>
      <c r="X22" s="517" t="s">
        <v>69</v>
      </c>
      <c r="Y22" s="516" t="s">
        <v>108</v>
      </c>
      <c r="Z22" s="517" t="s">
        <v>69</v>
      </c>
      <c r="AA22" s="517" t="s">
        <v>69</v>
      </c>
      <c r="AB22" s="517" t="s">
        <v>69</v>
      </c>
      <c r="AC22" s="517" t="s">
        <v>69</v>
      </c>
      <c r="AD22" s="517" t="s">
        <v>69</v>
      </c>
      <c r="AE22" s="517" t="s">
        <v>69</v>
      </c>
      <c r="AF22" s="516" t="s">
        <v>108</v>
      </c>
      <c r="AG22" s="517" t="s">
        <v>69</v>
      </c>
      <c r="AH22" s="517" t="s">
        <v>69</v>
      </c>
      <c r="AI22" s="567" t="s">
        <v>111</v>
      </c>
      <c r="AJ22" s="517" t="s">
        <v>69</v>
      </c>
      <c r="AK22" s="517" t="s">
        <v>69</v>
      </c>
      <c r="AL22" s="517" t="s">
        <v>69</v>
      </c>
      <c r="AM22" s="516" t="s">
        <v>108</v>
      </c>
      <c r="AN22" s="548">
        <v>0</v>
      </c>
      <c r="AO22" s="548">
        <v>1</v>
      </c>
      <c r="AP22" s="548">
        <v>0</v>
      </c>
      <c r="AQ22" s="548">
        <v>0</v>
      </c>
      <c r="AR22" s="548">
        <v>0</v>
      </c>
      <c r="AS22" s="548">
        <v>0</v>
      </c>
      <c r="AT22" s="548">
        <v>0</v>
      </c>
      <c r="AU22" s="548"/>
      <c r="AV22" s="548"/>
      <c r="AW22" s="548"/>
    </row>
    <row r="23" spans="1:49" ht="18">
      <c r="A23" s="557">
        <v>22</v>
      </c>
      <c r="B23" s="529" t="s">
        <v>392</v>
      </c>
      <c r="C23" s="499" t="s">
        <v>299</v>
      </c>
      <c r="D23" s="510" t="s">
        <v>412</v>
      </c>
      <c r="E23" s="551" t="s">
        <v>424</v>
      </c>
      <c r="F23" s="531" t="s">
        <v>455</v>
      </c>
      <c r="G23" s="532" t="s">
        <v>295</v>
      </c>
      <c r="H23" s="558" t="s">
        <v>415</v>
      </c>
      <c r="I23" s="518" t="s">
        <v>69</v>
      </c>
      <c r="J23" s="515" t="s">
        <v>69</v>
      </c>
      <c r="K23" s="516" t="s">
        <v>108</v>
      </c>
      <c r="L23" s="517" t="s">
        <v>69</v>
      </c>
      <c r="M23" s="517" t="s">
        <v>69</v>
      </c>
      <c r="N23" s="517" t="s">
        <v>69</v>
      </c>
      <c r="O23" s="517" t="s">
        <v>69</v>
      </c>
      <c r="P23" s="517" t="s">
        <v>69</v>
      </c>
      <c r="Q23" s="518" t="s">
        <v>69</v>
      </c>
      <c r="R23" s="540" t="s">
        <v>108</v>
      </c>
      <c r="S23" s="517" t="s">
        <v>69</v>
      </c>
      <c r="T23" s="517" t="s">
        <v>69</v>
      </c>
      <c r="U23" s="517" t="s">
        <v>69</v>
      </c>
      <c r="V23" s="517" t="s">
        <v>69</v>
      </c>
      <c r="W23" s="517" t="s">
        <v>69</v>
      </c>
      <c r="X23" s="517" t="s">
        <v>69</v>
      </c>
      <c r="Y23" s="516" t="s">
        <v>108</v>
      </c>
      <c r="Z23" s="517" t="s">
        <v>69</v>
      </c>
      <c r="AA23" s="517" t="s">
        <v>69</v>
      </c>
      <c r="AB23" s="517" t="s">
        <v>69</v>
      </c>
      <c r="AC23" s="517" t="s">
        <v>69</v>
      </c>
      <c r="AD23" s="517" t="s">
        <v>69</v>
      </c>
      <c r="AE23" s="517" t="s">
        <v>69</v>
      </c>
      <c r="AF23" s="516" t="s">
        <v>108</v>
      </c>
      <c r="AG23" s="517" t="s">
        <v>69</v>
      </c>
      <c r="AH23" s="517" t="s">
        <v>69</v>
      </c>
      <c r="AI23" s="517" t="s">
        <v>69</v>
      </c>
      <c r="AJ23" s="517" t="s">
        <v>69</v>
      </c>
      <c r="AK23" s="517" t="s">
        <v>69</v>
      </c>
      <c r="AL23" s="517" t="s">
        <v>69</v>
      </c>
      <c r="AM23" s="516" t="s">
        <v>108</v>
      </c>
      <c r="AN23" s="548">
        <v>0</v>
      </c>
      <c r="AO23" s="548">
        <v>0</v>
      </c>
      <c r="AP23" s="548">
        <v>0</v>
      </c>
      <c r="AQ23" s="548">
        <v>0</v>
      </c>
      <c r="AR23" s="548">
        <v>0</v>
      </c>
      <c r="AS23" s="548">
        <v>0</v>
      </c>
      <c r="AT23" s="548">
        <v>0</v>
      </c>
      <c r="AU23" s="548"/>
      <c r="AV23" s="548"/>
      <c r="AW23" s="548"/>
    </row>
    <row r="24" spans="1:49" ht="18">
      <c r="A24" s="557">
        <v>23</v>
      </c>
      <c r="B24" s="529" t="s">
        <v>324</v>
      </c>
      <c r="C24" s="499" t="s">
        <v>140</v>
      </c>
      <c r="D24" s="510" t="s">
        <v>412</v>
      </c>
      <c r="E24" s="536" t="s">
        <v>456</v>
      </c>
      <c r="F24" s="531" t="s">
        <v>457</v>
      </c>
      <c r="G24" s="558" t="s">
        <v>300</v>
      </c>
      <c r="H24" s="558" t="s">
        <v>415</v>
      </c>
      <c r="I24" s="518" t="s">
        <v>69</v>
      </c>
      <c r="J24" s="515" t="s">
        <v>69</v>
      </c>
      <c r="K24" s="516" t="s">
        <v>108</v>
      </c>
      <c r="L24" s="517" t="s">
        <v>69</v>
      </c>
      <c r="M24" s="517" t="s">
        <v>69</v>
      </c>
      <c r="N24" s="517" t="s">
        <v>69</v>
      </c>
      <c r="O24" s="517" t="s">
        <v>69</v>
      </c>
      <c r="P24" s="517" t="s">
        <v>69</v>
      </c>
      <c r="Q24" s="518" t="s">
        <v>69</v>
      </c>
      <c r="R24" s="540" t="s">
        <v>108</v>
      </c>
      <c r="S24" s="517" t="s">
        <v>69</v>
      </c>
      <c r="T24" s="517" t="s">
        <v>69</v>
      </c>
      <c r="U24" s="517" t="s">
        <v>69</v>
      </c>
      <c r="V24" s="517" t="s">
        <v>69</v>
      </c>
      <c r="W24" s="517" t="s">
        <v>69</v>
      </c>
      <c r="X24" s="519" t="s">
        <v>416</v>
      </c>
      <c r="Y24" s="516" t="s">
        <v>108</v>
      </c>
      <c r="Z24" s="519" t="s">
        <v>416</v>
      </c>
      <c r="AA24" s="517" t="s">
        <v>69</v>
      </c>
      <c r="AB24" s="517" t="s">
        <v>69</v>
      </c>
      <c r="AC24" s="517" t="s">
        <v>69</v>
      </c>
      <c r="AD24" s="517" t="s">
        <v>69</v>
      </c>
      <c r="AE24" s="517" t="s">
        <v>69</v>
      </c>
      <c r="AF24" s="516" t="s">
        <v>108</v>
      </c>
      <c r="AG24" s="517" t="s">
        <v>69</v>
      </c>
      <c r="AH24" s="517" t="s">
        <v>69</v>
      </c>
      <c r="AI24" s="517" t="s">
        <v>69</v>
      </c>
      <c r="AJ24" s="517" t="s">
        <v>69</v>
      </c>
      <c r="AK24" s="517" t="s">
        <v>69</v>
      </c>
      <c r="AL24" s="517" t="s">
        <v>69</v>
      </c>
      <c r="AM24" s="516" t="s">
        <v>108</v>
      </c>
      <c r="AN24" s="548">
        <v>2</v>
      </c>
      <c r="AO24" s="548">
        <v>0</v>
      </c>
      <c r="AP24" s="548">
        <v>0</v>
      </c>
      <c r="AQ24" s="548">
        <v>0</v>
      </c>
      <c r="AR24" s="548">
        <v>0</v>
      </c>
      <c r="AS24" s="548">
        <v>0</v>
      </c>
      <c r="AT24" s="548">
        <v>2</v>
      </c>
      <c r="AU24" s="548"/>
      <c r="AV24" s="548"/>
      <c r="AW24" s="548"/>
    </row>
    <row r="25" spans="1:49" ht="18">
      <c r="A25" s="557">
        <v>24</v>
      </c>
      <c r="B25" s="529" t="s">
        <v>372</v>
      </c>
      <c r="C25" s="499" t="s">
        <v>222</v>
      </c>
      <c r="D25" s="510" t="s">
        <v>412</v>
      </c>
      <c r="E25" s="536" t="s">
        <v>418</v>
      </c>
      <c r="F25" s="531" t="s">
        <v>458</v>
      </c>
      <c r="G25" s="558" t="s">
        <v>296</v>
      </c>
      <c r="H25" s="558" t="s">
        <v>415</v>
      </c>
      <c r="I25" s="518" t="s">
        <v>69</v>
      </c>
      <c r="J25" s="527" t="s">
        <v>416</v>
      </c>
      <c r="K25" s="516" t="s">
        <v>108</v>
      </c>
      <c r="L25" s="519" t="s">
        <v>416</v>
      </c>
      <c r="M25" s="517" t="s">
        <v>69</v>
      </c>
      <c r="N25" s="517" t="s">
        <v>69</v>
      </c>
      <c r="O25" s="517" t="s">
        <v>69</v>
      </c>
      <c r="P25" s="517" t="s">
        <v>69</v>
      </c>
      <c r="Q25" s="518" t="s">
        <v>69</v>
      </c>
      <c r="R25" s="540" t="s">
        <v>108</v>
      </c>
      <c r="S25" s="519" t="s">
        <v>416</v>
      </c>
      <c r="T25" s="517" t="s">
        <v>69</v>
      </c>
      <c r="U25" s="517" t="s">
        <v>69</v>
      </c>
      <c r="V25" s="517" t="s">
        <v>69</v>
      </c>
      <c r="W25" s="517" t="s">
        <v>69</v>
      </c>
      <c r="X25" s="517" t="s">
        <v>69</v>
      </c>
      <c r="Y25" s="516" t="s">
        <v>108</v>
      </c>
      <c r="Z25" s="517" t="s">
        <v>69</v>
      </c>
      <c r="AA25" s="517" t="s">
        <v>69</v>
      </c>
      <c r="AB25" s="517" t="s">
        <v>69</v>
      </c>
      <c r="AC25" s="517" t="s">
        <v>69</v>
      </c>
      <c r="AD25" s="517" t="s">
        <v>69</v>
      </c>
      <c r="AE25" s="517" t="s">
        <v>69</v>
      </c>
      <c r="AF25" s="516" t="s">
        <v>108</v>
      </c>
      <c r="AG25" s="517" t="s">
        <v>69</v>
      </c>
      <c r="AH25" s="517" t="s">
        <v>69</v>
      </c>
      <c r="AI25" s="566" t="s">
        <v>111</v>
      </c>
      <c r="AJ25" s="517" t="s">
        <v>69</v>
      </c>
      <c r="AK25" s="517" t="s">
        <v>69</v>
      </c>
      <c r="AL25" s="517" t="s">
        <v>69</v>
      </c>
      <c r="AM25" s="516" t="s">
        <v>108</v>
      </c>
      <c r="AN25" s="548">
        <v>3</v>
      </c>
      <c r="AO25" s="548">
        <v>1</v>
      </c>
      <c r="AP25" s="548">
        <v>0</v>
      </c>
      <c r="AQ25" s="548">
        <v>0</v>
      </c>
      <c r="AR25" s="548">
        <v>0</v>
      </c>
      <c r="AS25" s="548">
        <v>0</v>
      </c>
      <c r="AT25" s="548">
        <v>3</v>
      </c>
      <c r="AU25" s="548"/>
      <c r="AV25" s="548"/>
      <c r="AW25" s="548"/>
    </row>
    <row r="26" spans="1:49" ht="18">
      <c r="A26" s="557">
        <v>25</v>
      </c>
      <c r="B26" s="529" t="s">
        <v>348</v>
      </c>
      <c r="C26" s="499" t="s">
        <v>114</v>
      </c>
      <c r="D26" s="510" t="s">
        <v>412</v>
      </c>
      <c r="E26" s="536" t="s">
        <v>418</v>
      </c>
      <c r="F26" s="531" t="s">
        <v>459</v>
      </c>
      <c r="G26" s="558" t="s">
        <v>301</v>
      </c>
      <c r="H26" s="558" t="s">
        <v>415</v>
      </c>
      <c r="I26" s="518" t="s">
        <v>69</v>
      </c>
      <c r="J26" s="515" t="s">
        <v>69</v>
      </c>
      <c r="K26" s="516" t="s">
        <v>108</v>
      </c>
      <c r="L26" s="517" t="s">
        <v>69</v>
      </c>
      <c r="M26" s="517" t="s">
        <v>69</v>
      </c>
      <c r="N26" s="517" t="s">
        <v>69</v>
      </c>
      <c r="O26" s="517" t="s">
        <v>69</v>
      </c>
      <c r="P26" s="517" t="s">
        <v>69</v>
      </c>
      <c r="Q26" s="518" t="s">
        <v>69</v>
      </c>
      <c r="R26" s="540" t="s">
        <v>108</v>
      </c>
      <c r="S26" s="517" t="s">
        <v>69</v>
      </c>
      <c r="T26" s="517" t="s">
        <v>69</v>
      </c>
      <c r="U26" s="517" t="s">
        <v>69</v>
      </c>
      <c r="V26" s="517" t="s">
        <v>69</v>
      </c>
      <c r="W26" s="517" t="s">
        <v>69</v>
      </c>
      <c r="X26" s="517" t="s">
        <v>69</v>
      </c>
      <c r="Y26" s="516" t="s">
        <v>108</v>
      </c>
      <c r="Z26" s="517" t="s">
        <v>69</v>
      </c>
      <c r="AA26" s="517" t="s">
        <v>69</v>
      </c>
      <c r="AB26" s="517" t="s">
        <v>69</v>
      </c>
      <c r="AC26" s="517" t="s">
        <v>69</v>
      </c>
      <c r="AD26" s="517" t="s">
        <v>69</v>
      </c>
      <c r="AE26" s="517" t="s">
        <v>69</v>
      </c>
      <c r="AF26" s="516" t="s">
        <v>108</v>
      </c>
      <c r="AG26" s="517" t="s">
        <v>69</v>
      </c>
      <c r="AH26" s="517" t="s">
        <v>69</v>
      </c>
      <c r="AI26" s="517" t="s">
        <v>69</v>
      </c>
      <c r="AJ26" s="517" t="s">
        <v>69</v>
      </c>
      <c r="AK26" s="517" t="s">
        <v>69</v>
      </c>
      <c r="AL26" s="517" t="s">
        <v>69</v>
      </c>
      <c r="AM26" s="516" t="s">
        <v>108</v>
      </c>
      <c r="AN26" s="548">
        <v>0</v>
      </c>
      <c r="AO26" s="548">
        <v>0</v>
      </c>
      <c r="AP26" s="548">
        <v>0</v>
      </c>
      <c r="AQ26" s="548">
        <v>0</v>
      </c>
      <c r="AR26" s="548">
        <v>0</v>
      </c>
      <c r="AS26" s="548">
        <v>0</v>
      </c>
      <c r="AT26" s="548">
        <v>0</v>
      </c>
      <c r="AU26" s="548"/>
      <c r="AV26" s="548"/>
      <c r="AW26" s="548"/>
    </row>
    <row r="27" spans="1:49" ht="18">
      <c r="A27" s="557">
        <v>26</v>
      </c>
      <c r="B27" s="529" t="s">
        <v>385</v>
      </c>
      <c r="C27" s="499" t="s">
        <v>253</v>
      </c>
      <c r="D27" s="510" t="s">
        <v>412</v>
      </c>
      <c r="E27" s="536" t="s">
        <v>460</v>
      </c>
      <c r="F27" s="531" t="s">
        <v>414</v>
      </c>
      <c r="G27" s="558" t="s">
        <v>284</v>
      </c>
      <c r="H27" s="558" t="s">
        <v>415</v>
      </c>
      <c r="I27" s="514" t="s">
        <v>416</v>
      </c>
      <c r="J27" s="527" t="s">
        <v>416</v>
      </c>
      <c r="K27" s="516" t="s">
        <v>108</v>
      </c>
      <c r="L27" s="517" t="s">
        <v>69</v>
      </c>
      <c r="M27" s="517" t="s">
        <v>69</v>
      </c>
      <c r="N27" s="517" t="s">
        <v>69</v>
      </c>
      <c r="O27" s="517" t="s">
        <v>69</v>
      </c>
      <c r="P27" s="517" t="s">
        <v>69</v>
      </c>
      <c r="Q27" s="518" t="s">
        <v>69</v>
      </c>
      <c r="R27" s="540" t="s">
        <v>108</v>
      </c>
      <c r="S27" s="519" t="s">
        <v>416</v>
      </c>
      <c r="T27" s="517" t="s">
        <v>69</v>
      </c>
      <c r="U27" s="517" t="s">
        <v>69</v>
      </c>
      <c r="V27" s="517" t="s">
        <v>69</v>
      </c>
      <c r="W27" s="517" t="s">
        <v>69</v>
      </c>
      <c r="X27" s="517" t="s">
        <v>69</v>
      </c>
      <c r="Y27" s="516" t="s">
        <v>108</v>
      </c>
      <c r="Z27" s="517" t="s">
        <v>69</v>
      </c>
      <c r="AA27" s="519" t="s">
        <v>416</v>
      </c>
      <c r="AB27" s="517" t="s">
        <v>69</v>
      </c>
      <c r="AC27" s="517" t="s">
        <v>69</v>
      </c>
      <c r="AD27" s="517" t="s">
        <v>69</v>
      </c>
      <c r="AE27" s="517" t="s">
        <v>69</v>
      </c>
      <c r="AF27" s="516" t="s">
        <v>108</v>
      </c>
      <c r="AG27" s="517" t="s">
        <v>69</v>
      </c>
      <c r="AH27" s="517" t="s">
        <v>69</v>
      </c>
      <c r="AI27" s="522" t="s">
        <v>267</v>
      </c>
      <c r="AJ27" s="517" t="s">
        <v>69</v>
      </c>
      <c r="AK27" s="517" t="s">
        <v>69</v>
      </c>
      <c r="AL27" s="517" t="s">
        <v>69</v>
      </c>
      <c r="AM27" s="516" t="s">
        <v>108</v>
      </c>
      <c r="AN27" s="548">
        <v>4</v>
      </c>
      <c r="AO27" s="548">
        <v>0</v>
      </c>
      <c r="AP27" s="548">
        <v>0</v>
      </c>
      <c r="AQ27" s="548">
        <v>0</v>
      </c>
      <c r="AR27" s="548">
        <v>1</v>
      </c>
      <c r="AS27" s="548">
        <v>0</v>
      </c>
      <c r="AT27" s="548">
        <v>4</v>
      </c>
      <c r="AU27" s="548"/>
      <c r="AV27" s="548"/>
      <c r="AW27" s="548"/>
    </row>
    <row r="28" spans="1:49" ht="18">
      <c r="A28" s="557">
        <v>27</v>
      </c>
      <c r="B28" s="529" t="s">
        <v>314</v>
      </c>
      <c r="C28" s="499" t="s">
        <v>26</v>
      </c>
      <c r="D28" s="510" t="s">
        <v>412</v>
      </c>
      <c r="E28" s="536" t="s">
        <v>461</v>
      </c>
      <c r="F28" s="531" t="s">
        <v>457</v>
      </c>
      <c r="G28" s="558" t="s">
        <v>300</v>
      </c>
      <c r="H28" s="558" t="s">
        <v>415</v>
      </c>
      <c r="I28" s="518" t="s">
        <v>69</v>
      </c>
      <c r="J28" s="515" t="s">
        <v>69</v>
      </c>
      <c r="K28" s="516" t="s">
        <v>108</v>
      </c>
      <c r="L28" s="517" t="s">
        <v>69</v>
      </c>
      <c r="M28" s="517" t="s">
        <v>69</v>
      </c>
      <c r="N28" s="517" t="s">
        <v>69</v>
      </c>
      <c r="O28" s="519" t="s">
        <v>416</v>
      </c>
      <c r="P28" s="517" t="s">
        <v>69</v>
      </c>
      <c r="Q28" s="518" t="s">
        <v>69</v>
      </c>
      <c r="R28" s="540" t="s">
        <v>108</v>
      </c>
      <c r="S28" s="517" t="s">
        <v>69</v>
      </c>
      <c r="T28" s="517" t="s">
        <v>69</v>
      </c>
      <c r="U28" s="517" t="s">
        <v>69</v>
      </c>
      <c r="V28" s="517" t="s">
        <v>69</v>
      </c>
      <c r="W28" s="517" t="s">
        <v>69</v>
      </c>
      <c r="X28" s="517" t="s">
        <v>69</v>
      </c>
      <c r="Y28" s="516" t="s">
        <v>108</v>
      </c>
      <c r="Z28" s="517" t="s">
        <v>69</v>
      </c>
      <c r="AA28" s="517" t="s">
        <v>69</v>
      </c>
      <c r="AB28" s="517" t="s">
        <v>69</v>
      </c>
      <c r="AC28" s="517" t="s">
        <v>69</v>
      </c>
      <c r="AD28" s="517" t="s">
        <v>69</v>
      </c>
      <c r="AE28" s="517" t="s">
        <v>69</v>
      </c>
      <c r="AF28" s="516" t="s">
        <v>108</v>
      </c>
      <c r="AG28" s="517" t="s">
        <v>69</v>
      </c>
      <c r="AH28" s="517" t="s">
        <v>69</v>
      </c>
      <c r="AI28" s="517" t="s">
        <v>69</v>
      </c>
      <c r="AJ28" s="517" t="s">
        <v>69</v>
      </c>
      <c r="AK28" s="519" t="s">
        <v>416</v>
      </c>
      <c r="AL28" s="517" t="s">
        <v>69</v>
      </c>
      <c r="AM28" s="516" t="s">
        <v>108</v>
      </c>
      <c r="AN28" s="548">
        <v>2</v>
      </c>
      <c r="AO28" s="548">
        <v>0</v>
      </c>
      <c r="AP28" s="548">
        <v>0</v>
      </c>
      <c r="AQ28" s="548">
        <v>0</v>
      </c>
      <c r="AR28" s="548">
        <v>0</v>
      </c>
      <c r="AS28" s="548">
        <v>0</v>
      </c>
      <c r="AT28" s="548">
        <v>2</v>
      </c>
      <c r="AU28" s="548"/>
      <c r="AV28" s="548"/>
      <c r="AW28" s="548"/>
    </row>
    <row r="29" spans="1:49" ht="18">
      <c r="A29" s="557">
        <v>28</v>
      </c>
      <c r="B29" s="529" t="s">
        <v>331</v>
      </c>
      <c r="C29" s="499" t="s">
        <v>27</v>
      </c>
      <c r="D29" s="510" t="s">
        <v>412</v>
      </c>
      <c r="E29" s="536" t="s">
        <v>462</v>
      </c>
      <c r="F29" s="531" t="s">
        <v>457</v>
      </c>
      <c r="G29" s="558" t="s">
        <v>300</v>
      </c>
      <c r="H29" s="558" t="s">
        <v>415</v>
      </c>
      <c r="I29" s="514" t="s">
        <v>416</v>
      </c>
      <c r="J29" s="515" t="s">
        <v>69</v>
      </c>
      <c r="K29" s="516" t="s">
        <v>108</v>
      </c>
      <c r="L29" s="517" t="s">
        <v>69</v>
      </c>
      <c r="M29" s="517" t="s">
        <v>69</v>
      </c>
      <c r="N29" s="517" t="s">
        <v>69</v>
      </c>
      <c r="O29" s="517" t="s">
        <v>69</v>
      </c>
      <c r="P29" s="517" t="s">
        <v>69</v>
      </c>
      <c r="Q29" s="514" t="s">
        <v>416</v>
      </c>
      <c r="R29" s="540" t="s">
        <v>108</v>
      </c>
      <c r="S29" s="517" t="s">
        <v>69</v>
      </c>
      <c r="T29" s="522" t="s">
        <v>267</v>
      </c>
      <c r="U29" s="517" t="s">
        <v>69</v>
      </c>
      <c r="V29" s="517" t="s">
        <v>69</v>
      </c>
      <c r="W29" s="517" t="s">
        <v>69</v>
      </c>
      <c r="X29" s="517" t="s">
        <v>69</v>
      </c>
      <c r="Y29" s="516" t="s">
        <v>108</v>
      </c>
      <c r="Z29" s="517" t="s">
        <v>69</v>
      </c>
      <c r="AA29" s="517" t="s">
        <v>69</v>
      </c>
      <c r="AB29" s="517" t="s">
        <v>69</v>
      </c>
      <c r="AC29" s="517" t="s">
        <v>69</v>
      </c>
      <c r="AD29" s="517" t="s">
        <v>69</v>
      </c>
      <c r="AE29" s="519" t="s">
        <v>416</v>
      </c>
      <c r="AF29" s="516" t="s">
        <v>108</v>
      </c>
      <c r="AG29" s="517" t="s">
        <v>69</v>
      </c>
      <c r="AH29" s="517" t="s">
        <v>69</v>
      </c>
      <c r="AI29" s="517" t="s">
        <v>69</v>
      </c>
      <c r="AJ29" s="517" t="s">
        <v>69</v>
      </c>
      <c r="AK29" s="517" t="s">
        <v>69</v>
      </c>
      <c r="AL29" s="517" t="s">
        <v>69</v>
      </c>
      <c r="AM29" s="516" t="s">
        <v>108</v>
      </c>
      <c r="AN29" s="548">
        <v>3</v>
      </c>
      <c r="AO29" s="548">
        <v>0</v>
      </c>
      <c r="AP29" s="548">
        <v>0</v>
      </c>
      <c r="AQ29" s="548">
        <v>0</v>
      </c>
      <c r="AR29" s="548">
        <v>1</v>
      </c>
      <c r="AS29" s="548">
        <v>0</v>
      </c>
      <c r="AT29" s="548">
        <v>3</v>
      </c>
      <c r="AU29" s="548"/>
      <c r="AV29" s="548"/>
      <c r="AW29" s="548"/>
    </row>
    <row r="30" spans="1:49" ht="18">
      <c r="A30" s="557">
        <v>29</v>
      </c>
      <c r="B30" s="529" t="s">
        <v>330</v>
      </c>
      <c r="C30" s="499" t="s">
        <v>28</v>
      </c>
      <c r="D30" s="510" t="s">
        <v>412</v>
      </c>
      <c r="E30" s="536" t="s">
        <v>443</v>
      </c>
      <c r="F30" s="531" t="s">
        <v>421</v>
      </c>
      <c r="G30" s="558" t="s">
        <v>286</v>
      </c>
      <c r="H30" s="558" t="s">
        <v>415</v>
      </c>
      <c r="I30" s="518" t="s">
        <v>69</v>
      </c>
      <c r="J30" s="515" t="s">
        <v>69</v>
      </c>
      <c r="K30" s="516" t="s">
        <v>108</v>
      </c>
      <c r="L30" s="517" t="s">
        <v>69</v>
      </c>
      <c r="M30" s="517" t="s">
        <v>69</v>
      </c>
      <c r="N30" s="517" t="s">
        <v>69</v>
      </c>
      <c r="O30" s="517" t="s">
        <v>69</v>
      </c>
      <c r="P30" s="517" t="s">
        <v>69</v>
      </c>
      <c r="Q30" s="518" t="s">
        <v>69</v>
      </c>
      <c r="R30" s="540" t="s">
        <v>108</v>
      </c>
      <c r="S30" s="517" t="s">
        <v>69</v>
      </c>
      <c r="T30" s="517" t="s">
        <v>69</v>
      </c>
      <c r="U30" s="517" t="s">
        <v>69</v>
      </c>
      <c r="V30" s="517" t="s">
        <v>69</v>
      </c>
      <c r="W30" s="517" t="s">
        <v>69</v>
      </c>
      <c r="X30" s="517" t="s">
        <v>69</v>
      </c>
      <c r="Y30" s="516" t="s">
        <v>108</v>
      </c>
      <c r="Z30" s="517" t="s">
        <v>69</v>
      </c>
      <c r="AA30" s="517" t="s">
        <v>69</v>
      </c>
      <c r="AB30" s="517" t="s">
        <v>69</v>
      </c>
      <c r="AC30" s="519" t="s">
        <v>416</v>
      </c>
      <c r="AD30" s="517" t="s">
        <v>69</v>
      </c>
      <c r="AE30" s="517" t="s">
        <v>69</v>
      </c>
      <c r="AF30" s="516" t="s">
        <v>108</v>
      </c>
      <c r="AG30" s="517" t="s">
        <v>69</v>
      </c>
      <c r="AH30" s="517" t="s">
        <v>69</v>
      </c>
      <c r="AI30" s="517" t="s">
        <v>69</v>
      </c>
      <c r="AJ30" s="517" t="s">
        <v>69</v>
      </c>
      <c r="AK30" s="517" t="s">
        <v>69</v>
      </c>
      <c r="AL30" s="517" t="s">
        <v>69</v>
      </c>
      <c r="AM30" s="516" t="s">
        <v>108</v>
      </c>
      <c r="AN30" s="548">
        <v>1</v>
      </c>
      <c r="AO30" s="548">
        <v>0</v>
      </c>
      <c r="AP30" s="548">
        <v>0</v>
      </c>
      <c r="AQ30" s="548">
        <v>0</v>
      </c>
      <c r="AR30" s="548">
        <v>0</v>
      </c>
      <c r="AS30" s="548">
        <v>0</v>
      </c>
      <c r="AT30" s="548">
        <v>1</v>
      </c>
      <c r="AU30" s="548"/>
      <c r="AV30" s="548"/>
      <c r="AW30" s="548"/>
    </row>
    <row r="31" spans="1:49" ht="18">
      <c r="A31" s="557">
        <v>30</v>
      </c>
      <c r="B31" s="529" t="s">
        <v>332</v>
      </c>
      <c r="C31" s="499" t="s">
        <v>29</v>
      </c>
      <c r="D31" s="510" t="s">
        <v>412</v>
      </c>
      <c r="E31" s="536" t="s">
        <v>413</v>
      </c>
      <c r="F31" s="531" t="s">
        <v>463</v>
      </c>
      <c r="G31" s="558" t="s">
        <v>303</v>
      </c>
      <c r="H31" s="558" t="s">
        <v>415</v>
      </c>
      <c r="I31" s="518" t="s">
        <v>69</v>
      </c>
      <c r="J31" s="515" t="s">
        <v>69</v>
      </c>
      <c r="K31" s="516" t="s">
        <v>108</v>
      </c>
      <c r="L31" s="517" t="s">
        <v>69</v>
      </c>
      <c r="M31" s="517" t="s">
        <v>69</v>
      </c>
      <c r="N31" s="517" t="s">
        <v>69</v>
      </c>
      <c r="O31" s="517" t="s">
        <v>69</v>
      </c>
      <c r="P31" s="517" t="s">
        <v>69</v>
      </c>
      <c r="Q31" s="518" t="s">
        <v>69</v>
      </c>
      <c r="R31" s="540" t="s">
        <v>108</v>
      </c>
      <c r="S31" s="517" t="s">
        <v>69</v>
      </c>
      <c r="T31" s="517" t="s">
        <v>69</v>
      </c>
      <c r="U31" s="517" t="s">
        <v>69</v>
      </c>
      <c r="V31" s="519" t="s">
        <v>416</v>
      </c>
      <c r="W31" s="517" t="s">
        <v>69</v>
      </c>
      <c r="X31" s="517" t="s">
        <v>69</v>
      </c>
      <c r="Y31" s="516" t="s">
        <v>108</v>
      </c>
      <c r="Z31" s="517" t="s">
        <v>69</v>
      </c>
      <c r="AA31" s="517" t="s">
        <v>69</v>
      </c>
      <c r="AB31" s="517" t="s">
        <v>69</v>
      </c>
      <c r="AC31" s="517" t="s">
        <v>69</v>
      </c>
      <c r="AD31" s="517" t="s">
        <v>69</v>
      </c>
      <c r="AE31" s="517" t="s">
        <v>69</v>
      </c>
      <c r="AF31" s="516" t="s">
        <v>108</v>
      </c>
      <c r="AG31" s="522" t="s">
        <v>267</v>
      </c>
      <c r="AH31" s="517" t="s">
        <v>69</v>
      </c>
      <c r="AI31" s="566" t="s">
        <v>111</v>
      </c>
      <c r="AJ31" s="517" t="s">
        <v>69</v>
      </c>
      <c r="AK31" s="517" t="s">
        <v>69</v>
      </c>
      <c r="AL31" s="517" t="s">
        <v>69</v>
      </c>
      <c r="AM31" s="516" t="s">
        <v>108</v>
      </c>
      <c r="AN31" s="548">
        <v>1</v>
      </c>
      <c r="AO31" s="548">
        <v>1</v>
      </c>
      <c r="AP31" s="548">
        <v>0</v>
      </c>
      <c r="AQ31" s="548">
        <v>0</v>
      </c>
      <c r="AR31" s="548">
        <v>1</v>
      </c>
      <c r="AS31" s="548">
        <v>0</v>
      </c>
      <c r="AT31" s="548">
        <v>1</v>
      </c>
      <c r="AU31" s="548"/>
      <c r="AV31" s="548"/>
      <c r="AW31" s="548"/>
    </row>
    <row r="32" spans="1:49" ht="18">
      <c r="A32" s="557">
        <v>31</v>
      </c>
      <c r="B32" s="529" t="s">
        <v>355</v>
      </c>
      <c r="C32" s="499" t="s">
        <v>181</v>
      </c>
      <c r="D32" s="510" t="s">
        <v>412</v>
      </c>
      <c r="E32" s="536" t="s">
        <v>443</v>
      </c>
      <c r="F32" s="531" t="s">
        <v>464</v>
      </c>
      <c r="G32" s="558" t="s">
        <v>293</v>
      </c>
      <c r="H32" s="558" t="s">
        <v>415</v>
      </c>
      <c r="I32" s="518" t="s">
        <v>69</v>
      </c>
      <c r="J32" s="515" t="s">
        <v>69</v>
      </c>
      <c r="K32" s="516" t="s">
        <v>108</v>
      </c>
      <c r="L32" s="533" t="s">
        <v>111</v>
      </c>
      <c r="M32" s="515" t="s">
        <v>69</v>
      </c>
      <c r="N32" s="517" t="s">
        <v>69</v>
      </c>
      <c r="O32" s="517" t="s">
        <v>69</v>
      </c>
      <c r="P32" s="519" t="s">
        <v>416</v>
      </c>
      <c r="Q32" s="518" t="s">
        <v>69</v>
      </c>
      <c r="R32" s="540" t="s">
        <v>108</v>
      </c>
      <c r="S32" s="517" t="s">
        <v>69</v>
      </c>
      <c r="T32" s="517" t="s">
        <v>69</v>
      </c>
      <c r="U32" s="517" t="s">
        <v>69</v>
      </c>
      <c r="V32" s="517" t="s">
        <v>69</v>
      </c>
      <c r="W32" s="517" t="s">
        <v>69</v>
      </c>
      <c r="X32" s="517" t="s">
        <v>69</v>
      </c>
      <c r="Y32" s="516" t="s">
        <v>108</v>
      </c>
      <c r="Z32" s="517" t="s">
        <v>69</v>
      </c>
      <c r="AA32" s="517" t="s">
        <v>69</v>
      </c>
      <c r="AB32" s="517" t="s">
        <v>69</v>
      </c>
      <c r="AC32" s="517" t="s">
        <v>69</v>
      </c>
      <c r="AD32" s="517" t="s">
        <v>69</v>
      </c>
      <c r="AE32" s="517" t="s">
        <v>69</v>
      </c>
      <c r="AF32" s="516" t="s">
        <v>108</v>
      </c>
      <c r="AG32" s="521" t="s">
        <v>426</v>
      </c>
      <c r="AH32" s="517" t="s">
        <v>69</v>
      </c>
      <c r="AI32" s="517" t="s">
        <v>69</v>
      </c>
      <c r="AJ32" s="517" t="s">
        <v>69</v>
      </c>
      <c r="AK32" s="517" t="s">
        <v>69</v>
      </c>
      <c r="AL32" s="517" t="s">
        <v>69</v>
      </c>
      <c r="AM32" s="516" t="s">
        <v>108</v>
      </c>
      <c r="AN32" s="548">
        <v>1</v>
      </c>
      <c r="AO32" s="548">
        <v>1</v>
      </c>
      <c r="AP32" s="548">
        <v>0.5</v>
      </c>
      <c r="AQ32" s="548">
        <v>0</v>
      </c>
      <c r="AR32" s="548">
        <v>0</v>
      </c>
      <c r="AS32" s="548">
        <v>0</v>
      </c>
      <c r="AT32" s="548">
        <v>1.5</v>
      </c>
      <c r="AU32" s="548"/>
      <c r="AV32" s="548"/>
      <c r="AW32" s="548"/>
    </row>
    <row r="33" spans="1:49" ht="18">
      <c r="A33" s="557">
        <v>32</v>
      </c>
      <c r="B33" s="529" t="s">
        <v>315</v>
      </c>
      <c r="C33" s="499" t="s">
        <v>30</v>
      </c>
      <c r="D33" s="510" t="s">
        <v>412</v>
      </c>
      <c r="E33" s="536" t="s">
        <v>443</v>
      </c>
      <c r="F33" s="531" t="s">
        <v>459</v>
      </c>
      <c r="G33" s="558" t="s">
        <v>301</v>
      </c>
      <c r="H33" s="558" t="s">
        <v>415</v>
      </c>
      <c r="I33" s="518" t="s">
        <v>69</v>
      </c>
      <c r="J33" s="515" t="s">
        <v>69</v>
      </c>
      <c r="K33" s="516" t="s">
        <v>108</v>
      </c>
      <c r="L33" s="518" t="s">
        <v>69</v>
      </c>
      <c r="M33" s="534" t="s">
        <v>69</v>
      </c>
      <c r="N33" s="515" t="s">
        <v>69</v>
      </c>
      <c r="O33" s="517" t="s">
        <v>69</v>
      </c>
      <c r="P33" s="519" t="s">
        <v>416</v>
      </c>
      <c r="Q33" s="518" t="s">
        <v>69</v>
      </c>
      <c r="R33" s="540" t="s">
        <v>108</v>
      </c>
      <c r="S33" s="517" t="s">
        <v>69</v>
      </c>
      <c r="T33" s="517" t="s">
        <v>69</v>
      </c>
      <c r="U33" s="517" t="s">
        <v>69</v>
      </c>
      <c r="V33" s="519" t="s">
        <v>416</v>
      </c>
      <c r="W33" s="519" t="s">
        <v>416</v>
      </c>
      <c r="X33" s="517" t="s">
        <v>69</v>
      </c>
      <c r="Y33" s="516" t="s">
        <v>108</v>
      </c>
      <c r="Z33" s="517" t="s">
        <v>69</v>
      </c>
      <c r="AA33" s="517" t="s">
        <v>69</v>
      </c>
      <c r="AB33" s="517" t="s">
        <v>69</v>
      </c>
      <c r="AC33" s="517" t="s">
        <v>69</v>
      </c>
      <c r="AD33" s="517" t="s">
        <v>69</v>
      </c>
      <c r="AE33" s="517" t="s">
        <v>69</v>
      </c>
      <c r="AF33" s="516" t="s">
        <v>108</v>
      </c>
      <c r="AG33" s="517" t="s">
        <v>69</v>
      </c>
      <c r="AH33" s="517" t="s">
        <v>69</v>
      </c>
      <c r="AI33" s="517" t="s">
        <v>69</v>
      </c>
      <c r="AJ33" s="517" t="s">
        <v>69</v>
      </c>
      <c r="AK33" s="517" t="s">
        <v>69</v>
      </c>
      <c r="AL33" s="517" t="s">
        <v>69</v>
      </c>
      <c r="AM33" s="516" t="s">
        <v>108</v>
      </c>
      <c r="AN33" s="548">
        <v>3</v>
      </c>
      <c r="AO33" s="548">
        <v>0</v>
      </c>
      <c r="AP33" s="548">
        <v>0</v>
      </c>
      <c r="AQ33" s="548">
        <v>0</v>
      </c>
      <c r="AR33" s="548">
        <v>0</v>
      </c>
      <c r="AS33" s="548">
        <v>0</v>
      </c>
      <c r="AT33" s="548">
        <v>3</v>
      </c>
      <c r="AU33" s="548"/>
      <c r="AV33" s="548"/>
      <c r="AW33" s="548"/>
    </row>
    <row r="34" spans="1:49" ht="18">
      <c r="A34" s="557">
        <v>33</v>
      </c>
      <c r="B34" s="529" t="s">
        <v>340</v>
      </c>
      <c r="C34" s="499" t="s">
        <v>31</v>
      </c>
      <c r="D34" s="510" t="s">
        <v>412</v>
      </c>
      <c r="E34" s="536" t="s">
        <v>461</v>
      </c>
      <c r="F34" s="531" t="s">
        <v>441</v>
      </c>
      <c r="G34" s="558" t="s">
        <v>292</v>
      </c>
      <c r="H34" s="558" t="s">
        <v>415</v>
      </c>
      <c r="I34" s="518" t="s">
        <v>69</v>
      </c>
      <c r="J34" s="515" t="s">
        <v>69</v>
      </c>
      <c r="K34" s="516" t="s">
        <v>108</v>
      </c>
      <c r="L34" s="519" t="s">
        <v>416</v>
      </c>
      <c r="M34" s="517" t="s">
        <v>69</v>
      </c>
      <c r="N34" s="517" t="s">
        <v>69</v>
      </c>
      <c r="O34" s="517" t="s">
        <v>69</v>
      </c>
      <c r="P34" s="517" t="s">
        <v>69</v>
      </c>
      <c r="Q34" s="518" t="s">
        <v>69</v>
      </c>
      <c r="R34" s="540" t="s">
        <v>108</v>
      </c>
      <c r="S34" s="517" t="s">
        <v>69</v>
      </c>
      <c r="T34" s="517" t="s">
        <v>69</v>
      </c>
      <c r="U34" s="519" t="s">
        <v>416</v>
      </c>
      <c r="V34" s="517" t="s">
        <v>69</v>
      </c>
      <c r="W34" s="517" t="s">
        <v>69</v>
      </c>
      <c r="X34" s="517" t="s">
        <v>69</v>
      </c>
      <c r="Y34" s="516" t="s">
        <v>108</v>
      </c>
      <c r="Z34" s="517" t="s">
        <v>69</v>
      </c>
      <c r="AA34" s="517" t="s">
        <v>69</v>
      </c>
      <c r="AB34" s="517" t="s">
        <v>69</v>
      </c>
      <c r="AC34" s="517" t="s">
        <v>69</v>
      </c>
      <c r="AD34" s="517" t="s">
        <v>69</v>
      </c>
      <c r="AE34" s="517" t="s">
        <v>69</v>
      </c>
      <c r="AF34" s="516" t="s">
        <v>108</v>
      </c>
      <c r="AG34" s="517" t="s">
        <v>69</v>
      </c>
      <c r="AH34" s="517" t="s">
        <v>69</v>
      </c>
      <c r="AI34" s="517" t="s">
        <v>69</v>
      </c>
      <c r="AJ34" s="517" t="s">
        <v>69</v>
      </c>
      <c r="AK34" s="517" t="s">
        <v>69</v>
      </c>
      <c r="AL34" s="517" t="s">
        <v>70</v>
      </c>
      <c r="AM34" s="516" t="s">
        <v>108</v>
      </c>
      <c r="AN34" s="548">
        <v>2</v>
      </c>
      <c r="AO34" s="548">
        <v>0</v>
      </c>
      <c r="AP34" s="548">
        <v>0</v>
      </c>
      <c r="AQ34" s="548">
        <v>0</v>
      </c>
      <c r="AR34" s="548">
        <v>0</v>
      </c>
      <c r="AS34" s="548">
        <v>0</v>
      </c>
      <c r="AT34" s="548">
        <v>2</v>
      </c>
      <c r="AU34" s="548"/>
      <c r="AV34" s="548"/>
      <c r="AW34" s="548"/>
    </row>
    <row r="35" spans="1:49" ht="18">
      <c r="A35" s="557">
        <v>34</v>
      </c>
      <c r="B35" s="529" t="s">
        <v>350</v>
      </c>
      <c r="C35" s="499" t="s">
        <v>142</v>
      </c>
      <c r="D35" s="510" t="s">
        <v>412</v>
      </c>
      <c r="E35" s="536" t="s">
        <v>462</v>
      </c>
      <c r="F35" s="531" t="s">
        <v>441</v>
      </c>
      <c r="G35" s="558" t="s">
        <v>292</v>
      </c>
      <c r="H35" s="558" t="s">
        <v>415</v>
      </c>
      <c r="I35" s="514" t="s">
        <v>416</v>
      </c>
      <c r="J35" s="527" t="s">
        <v>416</v>
      </c>
      <c r="K35" s="516" t="s">
        <v>108</v>
      </c>
      <c r="L35" s="519" t="s">
        <v>416</v>
      </c>
      <c r="M35" s="519" t="s">
        <v>416</v>
      </c>
      <c r="N35" s="519" t="s">
        <v>416</v>
      </c>
      <c r="O35" s="517" t="s">
        <v>69</v>
      </c>
      <c r="P35" s="517" t="s">
        <v>69</v>
      </c>
      <c r="Q35" s="518" t="s">
        <v>69</v>
      </c>
      <c r="R35" s="540" t="s">
        <v>108</v>
      </c>
      <c r="S35" s="517" t="s">
        <v>69</v>
      </c>
      <c r="T35" s="522" t="s">
        <v>267</v>
      </c>
      <c r="U35" s="517" t="s">
        <v>69</v>
      </c>
      <c r="V35" s="517" t="s">
        <v>69</v>
      </c>
      <c r="W35" s="517" t="s">
        <v>69</v>
      </c>
      <c r="X35" s="517" t="s">
        <v>69</v>
      </c>
      <c r="Y35" s="516" t="s">
        <v>108</v>
      </c>
      <c r="Z35" s="519" t="s">
        <v>416</v>
      </c>
      <c r="AA35" s="519" t="s">
        <v>416</v>
      </c>
      <c r="AB35" s="517" t="s">
        <v>69</v>
      </c>
      <c r="AC35" s="517" t="s">
        <v>69</v>
      </c>
      <c r="AD35" s="517" t="s">
        <v>69</v>
      </c>
      <c r="AE35" s="517" t="s">
        <v>69</v>
      </c>
      <c r="AF35" s="516" t="s">
        <v>108</v>
      </c>
      <c r="AG35" s="517" t="s">
        <v>69</v>
      </c>
      <c r="AH35" s="522" t="s">
        <v>267</v>
      </c>
      <c r="AI35" s="517" t="s">
        <v>69</v>
      </c>
      <c r="AJ35" s="517" t="s">
        <v>69</v>
      </c>
      <c r="AK35" s="517" t="s">
        <v>69</v>
      </c>
      <c r="AL35" s="517" t="s">
        <v>69</v>
      </c>
      <c r="AM35" s="516" t="s">
        <v>108</v>
      </c>
      <c r="AN35" s="548">
        <v>7</v>
      </c>
      <c r="AO35" s="548">
        <v>0</v>
      </c>
      <c r="AP35" s="548">
        <v>0</v>
      </c>
      <c r="AQ35" s="548">
        <v>0</v>
      </c>
      <c r="AR35" s="548">
        <v>2</v>
      </c>
      <c r="AS35" s="548">
        <v>0</v>
      </c>
      <c r="AT35" s="548">
        <v>7</v>
      </c>
      <c r="AU35" s="548"/>
      <c r="AV35" s="548"/>
      <c r="AW35" s="548"/>
    </row>
    <row r="36" spans="1:49" ht="18">
      <c r="A36" s="557">
        <v>35</v>
      </c>
      <c r="B36" s="529" t="s">
        <v>342</v>
      </c>
      <c r="C36" s="499" t="s">
        <v>33</v>
      </c>
      <c r="D36" s="510" t="s">
        <v>412</v>
      </c>
      <c r="E36" s="536" t="s">
        <v>413</v>
      </c>
      <c r="F36" s="531" t="s">
        <v>465</v>
      </c>
      <c r="G36" s="558" t="s">
        <v>300</v>
      </c>
      <c r="H36" s="558" t="s">
        <v>415</v>
      </c>
      <c r="I36" s="518" t="s">
        <v>69</v>
      </c>
      <c r="J36" s="527" t="s">
        <v>416</v>
      </c>
      <c r="K36" s="516" t="s">
        <v>108</v>
      </c>
      <c r="L36" s="519" t="s">
        <v>416</v>
      </c>
      <c r="M36" s="519" t="s">
        <v>416</v>
      </c>
      <c r="N36" s="519" t="s">
        <v>416</v>
      </c>
      <c r="O36" s="517" t="s">
        <v>69</v>
      </c>
      <c r="P36" s="517" t="s">
        <v>69</v>
      </c>
      <c r="Q36" s="518" t="s">
        <v>69</v>
      </c>
      <c r="R36" s="540" t="s">
        <v>108</v>
      </c>
      <c r="S36" s="517" t="s">
        <v>69</v>
      </c>
      <c r="T36" s="517" t="s">
        <v>69</v>
      </c>
      <c r="U36" s="517" t="s">
        <v>69</v>
      </c>
      <c r="V36" s="517" t="s">
        <v>69</v>
      </c>
      <c r="W36" s="517" t="s">
        <v>69</v>
      </c>
      <c r="X36" s="517" t="s">
        <v>69</v>
      </c>
      <c r="Y36" s="516" t="s">
        <v>108</v>
      </c>
      <c r="Z36" s="517" t="s">
        <v>69</v>
      </c>
      <c r="AA36" s="517" t="s">
        <v>69</v>
      </c>
      <c r="AB36" s="517" t="s">
        <v>69</v>
      </c>
      <c r="AC36" s="517" t="s">
        <v>69</v>
      </c>
      <c r="AD36" s="517" t="s">
        <v>69</v>
      </c>
      <c r="AE36" s="517" t="s">
        <v>69</v>
      </c>
      <c r="AF36" s="516" t="s">
        <v>108</v>
      </c>
      <c r="AG36" s="517" t="s">
        <v>69</v>
      </c>
      <c r="AH36" s="517" t="s">
        <v>69</v>
      </c>
      <c r="AI36" s="517" t="s">
        <v>69</v>
      </c>
      <c r="AJ36" s="517" t="s">
        <v>69</v>
      </c>
      <c r="AK36" s="517" t="s">
        <v>69</v>
      </c>
      <c r="AL36" s="517" t="s">
        <v>69</v>
      </c>
      <c r="AM36" s="516" t="s">
        <v>108</v>
      </c>
      <c r="AN36" s="548">
        <v>4</v>
      </c>
      <c r="AO36" s="548">
        <v>0</v>
      </c>
      <c r="AP36" s="548">
        <v>0</v>
      </c>
      <c r="AQ36" s="548">
        <v>0</v>
      </c>
      <c r="AR36" s="548">
        <v>0</v>
      </c>
      <c r="AS36" s="548">
        <v>0</v>
      </c>
      <c r="AT36" s="548">
        <v>4</v>
      </c>
      <c r="AU36" s="548"/>
      <c r="AV36" s="548"/>
      <c r="AW36" s="548"/>
    </row>
    <row r="37" spans="1:49" ht="18">
      <c r="A37" s="557">
        <v>36</v>
      </c>
      <c r="B37" s="529" t="s">
        <v>391</v>
      </c>
      <c r="C37" s="499" t="s">
        <v>271</v>
      </c>
      <c r="D37" s="510" t="s">
        <v>412</v>
      </c>
      <c r="E37" s="536" t="s">
        <v>462</v>
      </c>
      <c r="F37" s="531" t="s">
        <v>444</v>
      </c>
      <c r="G37" s="558" t="s">
        <v>295</v>
      </c>
      <c r="H37" s="558" t="s">
        <v>415</v>
      </c>
      <c r="I37" s="518" t="s">
        <v>69</v>
      </c>
      <c r="J37" s="515" t="s">
        <v>69</v>
      </c>
      <c r="K37" s="516" t="s">
        <v>108</v>
      </c>
      <c r="L37" s="517" t="s">
        <v>69</v>
      </c>
      <c r="M37" s="517" t="s">
        <v>69</v>
      </c>
      <c r="N37" s="517" t="s">
        <v>69</v>
      </c>
      <c r="O37" s="517" t="s">
        <v>69</v>
      </c>
      <c r="P37" s="519" t="s">
        <v>416</v>
      </c>
      <c r="Q37" s="518" t="s">
        <v>69</v>
      </c>
      <c r="R37" s="540" t="s">
        <v>108</v>
      </c>
      <c r="S37" s="517" t="s">
        <v>69</v>
      </c>
      <c r="T37" s="522" t="s">
        <v>267</v>
      </c>
      <c r="U37" s="517" t="s">
        <v>69</v>
      </c>
      <c r="V37" s="517" t="s">
        <v>69</v>
      </c>
      <c r="W37" s="517" t="s">
        <v>69</v>
      </c>
      <c r="X37" s="519" t="s">
        <v>416</v>
      </c>
      <c r="Y37" s="516" t="s">
        <v>108</v>
      </c>
      <c r="Z37" s="517" t="s">
        <v>69</v>
      </c>
      <c r="AA37" s="517" t="s">
        <v>69</v>
      </c>
      <c r="AB37" s="517" t="s">
        <v>69</v>
      </c>
      <c r="AC37" s="517" t="s">
        <v>69</v>
      </c>
      <c r="AD37" s="517" t="s">
        <v>69</v>
      </c>
      <c r="AE37" s="517" t="s">
        <v>69</v>
      </c>
      <c r="AF37" s="516" t="s">
        <v>108</v>
      </c>
      <c r="AG37" s="517" t="s">
        <v>69</v>
      </c>
      <c r="AH37" s="517" t="s">
        <v>69</v>
      </c>
      <c r="AI37" s="517" t="s">
        <v>69</v>
      </c>
      <c r="AJ37" s="517" t="s">
        <v>69</v>
      </c>
      <c r="AK37" s="517" t="s">
        <v>69</v>
      </c>
      <c r="AL37" s="517" t="s">
        <v>69</v>
      </c>
      <c r="AM37" s="516" t="s">
        <v>108</v>
      </c>
      <c r="AN37" s="548">
        <v>2</v>
      </c>
      <c r="AO37" s="548">
        <v>0</v>
      </c>
      <c r="AP37" s="548">
        <v>0</v>
      </c>
      <c r="AQ37" s="548">
        <v>0</v>
      </c>
      <c r="AR37" s="548">
        <v>1</v>
      </c>
      <c r="AS37" s="548">
        <v>0</v>
      </c>
      <c r="AT37" s="548">
        <v>2</v>
      </c>
      <c r="AU37" s="548"/>
      <c r="AV37" s="548"/>
      <c r="AW37" s="548"/>
    </row>
    <row r="38" spans="1:49" ht="18">
      <c r="A38" s="557">
        <v>37</v>
      </c>
      <c r="B38" s="529" t="s">
        <v>343</v>
      </c>
      <c r="C38" s="499" t="s">
        <v>35</v>
      </c>
      <c r="D38" s="510" t="s">
        <v>412</v>
      </c>
      <c r="E38" s="536" t="s">
        <v>466</v>
      </c>
      <c r="F38" s="531" t="s">
        <v>463</v>
      </c>
      <c r="G38" s="558" t="s">
        <v>303</v>
      </c>
      <c r="H38" s="558" t="s">
        <v>415</v>
      </c>
      <c r="I38" s="518" t="s">
        <v>69</v>
      </c>
      <c r="J38" s="515" t="s">
        <v>69</v>
      </c>
      <c r="K38" s="516" t="s">
        <v>108</v>
      </c>
      <c r="L38" s="517" t="s">
        <v>69</v>
      </c>
      <c r="M38" s="517" t="s">
        <v>69</v>
      </c>
      <c r="N38" s="517" t="s">
        <v>69</v>
      </c>
      <c r="O38" s="517" t="s">
        <v>69</v>
      </c>
      <c r="P38" s="517" t="s">
        <v>69</v>
      </c>
      <c r="Q38" s="518" t="s">
        <v>69</v>
      </c>
      <c r="R38" s="540" t="s">
        <v>108</v>
      </c>
      <c r="S38" s="517" t="s">
        <v>69</v>
      </c>
      <c r="T38" s="517" t="s">
        <v>69</v>
      </c>
      <c r="U38" s="517" t="s">
        <v>69</v>
      </c>
      <c r="V38" s="517" t="s">
        <v>69</v>
      </c>
      <c r="W38" s="519" t="s">
        <v>416</v>
      </c>
      <c r="X38" s="517" t="s">
        <v>69</v>
      </c>
      <c r="Y38" s="516" t="s">
        <v>108</v>
      </c>
      <c r="Z38" s="517" t="s">
        <v>69</v>
      </c>
      <c r="AA38" s="517" t="s">
        <v>69</v>
      </c>
      <c r="AB38" s="517" t="s">
        <v>69</v>
      </c>
      <c r="AC38" s="517" t="s">
        <v>69</v>
      </c>
      <c r="AD38" s="517" t="s">
        <v>69</v>
      </c>
      <c r="AE38" s="517" t="s">
        <v>69</v>
      </c>
      <c r="AF38" s="516" t="s">
        <v>108</v>
      </c>
      <c r="AG38" s="517" t="s">
        <v>69</v>
      </c>
      <c r="AH38" s="517" t="s">
        <v>69</v>
      </c>
      <c r="AI38" s="566" t="s">
        <v>111</v>
      </c>
      <c r="AJ38" s="519" t="s">
        <v>416</v>
      </c>
      <c r="AK38" s="517" t="s">
        <v>69</v>
      </c>
      <c r="AL38" s="517" t="s">
        <v>69</v>
      </c>
      <c r="AM38" s="516" t="s">
        <v>108</v>
      </c>
      <c r="AN38" s="548">
        <v>2</v>
      </c>
      <c r="AO38" s="548">
        <v>1</v>
      </c>
      <c r="AP38" s="548">
        <v>0</v>
      </c>
      <c r="AQ38" s="548">
        <v>0</v>
      </c>
      <c r="AR38" s="548">
        <v>0</v>
      </c>
      <c r="AS38" s="548">
        <v>0</v>
      </c>
      <c r="AT38" s="548">
        <v>2</v>
      </c>
      <c r="AU38" s="548"/>
      <c r="AV38" s="548"/>
      <c r="AW38" s="548"/>
    </row>
    <row r="39" spans="1:49" ht="18">
      <c r="A39" s="557">
        <v>38</v>
      </c>
      <c r="B39" s="529" t="s">
        <v>347</v>
      </c>
      <c r="C39" s="499" t="s">
        <v>118</v>
      </c>
      <c r="D39" s="510" t="s">
        <v>412</v>
      </c>
      <c r="E39" s="536" t="s">
        <v>418</v>
      </c>
      <c r="F39" s="531" t="s">
        <v>467</v>
      </c>
      <c r="G39" s="558" t="s">
        <v>296</v>
      </c>
      <c r="H39" s="558" t="s">
        <v>415</v>
      </c>
      <c r="I39" s="518" t="s">
        <v>69</v>
      </c>
      <c r="J39" s="527" t="s">
        <v>416</v>
      </c>
      <c r="K39" s="516" t="s">
        <v>108</v>
      </c>
      <c r="L39" s="517" t="s">
        <v>69</v>
      </c>
      <c r="M39" s="517" t="s">
        <v>69</v>
      </c>
      <c r="N39" s="517" t="s">
        <v>69</v>
      </c>
      <c r="O39" s="517" t="s">
        <v>69</v>
      </c>
      <c r="P39" s="517" t="s">
        <v>69</v>
      </c>
      <c r="Q39" s="518" t="s">
        <v>69</v>
      </c>
      <c r="R39" s="540" t="s">
        <v>108</v>
      </c>
      <c r="S39" s="517" t="s">
        <v>69</v>
      </c>
      <c r="T39" s="517" t="s">
        <v>69</v>
      </c>
      <c r="U39" s="517" t="s">
        <v>69</v>
      </c>
      <c r="V39" s="517" t="s">
        <v>69</v>
      </c>
      <c r="W39" s="517" t="s">
        <v>69</v>
      </c>
      <c r="X39" s="517" t="s">
        <v>69</v>
      </c>
      <c r="Y39" s="516" t="s">
        <v>108</v>
      </c>
      <c r="Z39" s="517" t="s">
        <v>69</v>
      </c>
      <c r="AA39" s="517" t="s">
        <v>69</v>
      </c>
      <c r="AB39" s="517" t="s">
        <v>69</v>
      </c>
      <c r="AC39" s="517" t="s">
        <v>69</v>
      </c>
      <c r="AD39" s="517" t="s">
        <v>69</v>
      </c>
      <c r="AE39" s="517" t="s">
        <v>69</v>
      </c>
      <c r="AF39" s="516" t="s">
        <v>108</v>
      </c>
      <c r="AG39" s="517" t="s">
        <v>69</v>
      </c>
      <c r="AH39" s="517" t="s">
        <v>69</v>
      </c>
      <c r="AI39" s="517" t="s">
        <v>69</v>
      </c>
      <c r="AJ39" s="566" t="s">
        <v>111</v>
      </c>
      <c r="AK39" s="517" t="s">
        <v>69</v>
      </c>
      <c r="AL39" s="517" t="s">
        <v>69</v>
      </c>
      <c r="AM39" s="516" t="s">
        <v>108</v>
      </c>
      <c r="AN39" s="548">
        <v>1</v>
      </c>
      <c r="AO39" s="548">
        <v>1</v>
      </c>
      <c r="AP39" s="548">
        <v>0</v>
      </c>
      <c r="AQ39" s="548">
        <v>0</v>
      </c>
      <c r="AR39" s="548">
        <v>0</v>
      </c>
      <c r="AS39" s="548">
        <v>0</v>
      </c>
      <c r="AT39" s="548">
        <v>1</v>
      </c>
      <c r="AU39" s="548"/>
      <c r="AV39" s="548"/>
      <c r="AW39" s="548"/>
    </row>
    <row r="40" spans="1:49" ht="18">
      <c r="A40" s="557">
        <v>39</v>
      </c>
      <c r="B40" s="529" t="s">
        <v>373</v>
      </c>
      <c r="C40" s="499" t="s">
        <v>223</v>
      </c>
      <c r="D40" s="510" t="s">
        <v>412</v>
      </c>
      <c r="E40" s="536" t="s">
        <v>462</v>
      </c>
      <c r="F40" s="531" t="s">
        <v>453</v>
      </c>
      <c r="G40" s="558" t="s">
        <v>289</v>
      </c>
      <c r="H40" s="558" t="s">
        <v>415</v>
      </c>
      <c r="I40" s="514" t="s">
        <v>416</v>
      </c>
      <c r="J40" s="527" t="s">
        <v>416</v>
      </c>
      <c r="K40" s="516" t="s">
        <v>108</v>
      </c>
      <c r="L40" s="517" t="s">
        <v>69</v>
      </c>
      <c r="M40" s="517" t="s">
        <v>69</v>
      </c>
      <c r="N40" s="517" t="s">
        <v>69</v>
      </c>
      <c r="O40" s="517" t="s">
        <v>69</v>
      </c>
      <c r="P40" s="517" t="s">
        <v>69</v>
      </c>
      <c r="Q40" s="518" t="s">
        <v>69</v>
      </c>
      <c r="R40" s="540" t="s">
        <v>108</v>
      </c>
      <c r="S40" s="519" t="s">
        <v>416</v>
      </c>
      <c r="T40" s="517" t="s">
        <v>69</v>
      </c>
      <c r="U40" s="517" t="s">
        <v>69</v>
      </c>
      <c r="V40" s="517" t="s">
        <v>69</v>
      </c>
      <c r="W40" s="517" t="s">
        <v>69</v>
      </c>
      <c r="X40" s="517" t="s">
        <v>69</v>
      </c>
      <c r="Y40" s="516" t="s">
        <v>108</v>
      </c>
      <c r="Z40" s="517" t="s">
        <v>69</v>
      </c>
      <c r="AA40" s="517" t="s">
        <v>69</v>
      </c>
      <c r="AB40" s="517" t="s">
        <v>69</v>
      </c>
      <c r="AC40" s="517" t="s">
        <v>70</v>
      </c>
      <c r="AD40" s="517" t="s">
        <v>69</v>
      </c>
      <c r="AE40" s="519" t="s">
        <v>416</v>
      </c>
      <c r="AF40" s="516" t="s">
        <v>108</v>
      </c>
      <c r="AG40" s="517" t="s">
        <v>69</v>
      </c>
      <c r="AH40" s="517" t="s">
        <v>69</v>
      </c>
      <c r="AI40" s="517" t="s">
        <v>69</v>
      </c>
      <c r="AJ40" s="517" t="s">
        <v>69</v>
      </c>
      <c r="AK40" s="517" t="s">
        <v>69</v>
      </c>
      <c r="AL40" s="517" t="s">
        <v>69</v>
      </c>
      <c r="AM40" s="516" t="s">
        <v>108</v>
      </c>
      <c r="AN40" s="548">
        <v>4</v>
      </c>
      <c r="AO40" s="548">
        <v>0</v>
      </c>
      <c r="AP40" s="548">
        <v>0</v>
      </c>
      <c r="AQ40" s="548">
        <v>0</v>
      </c>
      <c r="AR40" s="548">
        <v>0</v>
      </c>
      <c r="AS40" s="548">
        <v>0</v>
      </c>
      <c r="AT40" s="548">
        <v>4</v>
      </c>
      <c r="AU40" s="548"/>
      <c r="AV40" s="548"/>
      <c r="AW40" s="548"/>
    </row>
    <row r="41" spans="1:49" ht="18">
      <c r="A41" s="557">
        <v>40</v>
      </c>
      <c r="B41" s="529" t="s">
        <v>339</v>
      </c>
      <c r="C41" s="499" t="s">
        <v>36</v>
      </c>
      <c r="D41" s="510" t="s">
        <v>412</v>
      </c>
      <c r="E41" s="536" t="s">
        <v>436</v>
      </c>
      <c r="F41" s="531" t="s">
        <v>459</v>
      </c>
      <c r="G41" s="558" t="s">
        <v>301</v>
      </c>
      <c r="H41" s="558" t="s">
        <v>415</v>
      </c>
      <c r="I41" s="518" t="s">
        <v>69</v>
      </c>
      <c r="J41" s="515" t="s">
        <v>69</v>
      </c>
      <c r="K41" s="516" t="s">
        <v>108</v>
      </c>
      <c r="L41" s="517" t="s">
        <v>69</v>
      </c>
      <c r="M41" s="517" t="s">
        <v>69</v>
      </c>
      <c r="N41" s="517" t="s">
        <v>69</v>
      </c>
      <c r="O41" s="517" t="s">
        <v>69</v>
      </c>
      <c r="P41" s="517" t="s">
        <v>69</v>
      </c>
      <c r="Q41" s="518" t="s">
        <v>69</v>
      </c>
      <c r="R41" s="540" t="s">
        <v>108</v>
      </c>
      <c r="S41" s="517" t="s">
        <v>69</v>
      </c>
      <c r="T41" s="517" t="s">
        <v>69</v>
      </c>
      <c r="U41" s="517" t="s">
        <v>69</v>
      </c>
      <c r="V41" s="517" t="s">
        <v>69</v>
      </c>
      <c r="W41" s="517" t="s">
        <v>69</v>
      </c>
      <c r="X41" s="517" t="s">
        <v>69</v>
      </c>
      <c r="Y41" s="516" t="s">
        <v>108</v>
      </c>
      <c r="Z41" s="517" t="s">
        <v>69</v>
      </c>
      <c r="AA41" s="517" t="s">
        <v>69</v>
      </c>
      <c r="AB41" s="517" t="s">
        <v>69</v>
      </c>
      <c r="AC41" s="519" t="s">
        <v>416</v>
      </c>
      <c r="AD41" s="517" t="s">
        <v>69</v>
      </c>
      <c r="AE41" s="517" t="s">
        <v>69</v>
      </c>
      <c r="AF41" s="516" t="s">
        <v>108</v>
      </c>
      <c r="AG41" s="517" t="s">
        <v>69</v>
      </c>
      <c r="AH41" s="517" t="s">
        <v>69</v>
      </c>
      <c r="AI41" s="517" t="s">
        <v>69</v>
      </c>
      <c r="AJ41" s="517" t="s">
        <v>69</v>
      </c>
      <c r="AK41" s="517" t="s">
        <v>69</v>
      </c>
      <c r="AL41" s="517" t="s">
        <v>69</v>
      </c>
      <c r="AM41" s="516" t="s">
        <v>108</v>
      </c>
      <c r="AN41" s="548">
        <v>1</v>
      </c>
      <c r="AO41" s="548">
        <v>0</v>
      </c>
      <c r="AP41" s="548">
        <v>0</v>
      </c>
      <c r="AQ41" s="548">
        <v>0</v>
      </c>
      <c r="AR41" s="548">
        <v>0</v>
      </c>
      <c r="AS41" s="548">
        <v>0</v>
      </c>
      <c r="AT41" s="548">
        <v>1</v>
      </c>
      <c r="AU41" s="548"/>
      <c r="AV41" s="548"/>
      <c r="AW41" s="548"/>
    </row>
    <row r="42" spans="1:49" ht="18">
      <c r="A42" s="557">
        <v>41</v>
      </c>
      <c r="B42" s="529" t="s">
        <v>349</v>
      </c>
      <c r="C42" s="499" t="s">
        <v>143</v>
      </c>
      <c r="D42" s="510" t="s">
        <v>412</v>
      </c>
      <c r="E42" s="536" t="s">
        <v>413</v>
      </c>
      <c r="F42" s="531" t="s">
        <v>457</v>
      </c>
      <c r="G42" s="558" t="s">
        <v>300</v>
      </c>
      <c r="H42" s="558" t="s">
        <v>415</v>
      </c>
      <c r="I42" s="518" t="s">
        <v>69</v>
      </c>
      <c r="J42" s="515" t="s">
        <v>69</v>
      </c>
      <c r="K42" s="516" t="s">
        <v>108</v>
      </c>
      <c r="L42" s="517" t="s">
        <v>69</v>
      </c>
      <c r="M42" s="517" t="s">
        <v>69</v>
      </c>
      <c r="N42" s="517" t="s">
        <v>69</v>
      </c>
      <c r="O42" s="517" t="s">
        <v>69</v>
      </c>
      <c r="P42" s="517" t="s">
        <v>69</v>
      </c>
      <c r="Q42" s="518" t="s">
        <v>69</v>
      </c>
      <c r="R42" s="540" t="s">
        <v>108</v>
      </c>
      <c r="S42" s="517" t="s">
        <v>69</v>
      </c>
      <c r="T42" s="517" t="s">
        <v>69</v>
      </c>
      <c r="U42" s="517" t="s">
        <v>69</v>
      </c>
      <c r="V42" s="517" t="s">
        <v>69</v>
      </c>
      <c r="W42" s="517" t="s">
        <v>69</v>
      </c>
      <c r="X42" s="517" t="s">
        <v>69</v>
      </c>
      <c r="Y42" s="516" t="s">
        <v>108</v>
      </c>
      <c r="Z42" s="517" t="s">
        <v>69</v>
      </c>
      <c r="AA42" s="517" t="s">
        <v>69</v>
      </c>
      <c r="AB42" s="517" t="s">
        <v>69</v>
      </c>
      <c r="AC42" s="517" t="s">
        <v>69</v>
      </c>
      <c r="AD42" s="517" t="s">
        <v>69</v>
      </c>
      <c r="AE42" s="517" t="s">
        <v>69</v>
      </c>
      <c r="AF42" s="516" t="s">
        <v>108</v>
      </c>
      <c r="AG42" s="517" t="s">
        <v>69</v>
      </c>
      <c r="AH42" s="517" t="s">
        <v>69</v>
      </c>
      <c r="AI42" s="517" t="s">
        <v>69</v>
      </c>
      <c r="AJ42" s="517" t="s">
        <v>69</v>
      </c>
      <c r="AK42" s="517" t="s">
        <v>69</v>
      </c>
      <c r="AL42" s="517" t="s">
        <v>69</v>
      </c>
      <c r="AM42" s="516" t="s">
        <v>108</v>
      </c>
      <c r="AN42" s="548">
        <v>0</v>
      </c>
      <c r="AO42" s="548">
        <v>0</v>
      </c>
      <c r="AP42" s="548">
        <v>0</v>
      </c>
      <c r="AQ42" s="548">
        <v>0</v>
      </c>
      <c r="AR42" s="548">
        <v>0</v>
      </c>
      <c r="AS42" s="548">
        <v>0</v>
      </c>
      <c r="AT42" s="548">
        <v>0</v>
      </c>
      <c r="AU42" s="548"/>
      <c r="AV42" s="548"/>
      <c r="AW42" s="548"/>
    </row>
    <row r="43" spans="1:49" ht="18">
      <c r="A43" s="557">
        <v>42</v>
      </c>
      <c r="B43" s="529" t="s">
        <v>341</v>
      </c>
      <c r="C43" s="499" t="s">
        <v>38</v>
      </c>
      <c r="D43" s="510" t="s">
        <v>412</v>
      </c>
      <c r="E43" s="536" t="s">
        <v>418</v>
      </c>
      <c r="F43" s="531" t="s">
        <v>468</v>
      </c>
      <c r="G43" s="558" t="s">
        <v>133</v>
      </c>
      <c r="H43" s="558" t="s">
        <v>415</v>
      </c>
      <c r="I43" s="518" t="s">
        <v>69</v>
      </c>
      <c r="J43" s="515" t="s">
        <v>69</v>
      </c>
      <c r="K43" s="516" t="s">
        <v>108</v>
      </c>
      <c r="L43" s="517" t="s">
        <v>69</v>
      </c>
      <c r="M43" s="517" t="s">
        <v>69</v>
      </c>
      <c r="N43" s="517" t="s">
        <v>69</v>
      </c>
      <c r="O43" s="517" t="s">
        <v>69</v>
      </c>
      <c r="P43" s="517" t="s">
        <v>69</v>
      </c>
      <c r="Q43" s="518" t="s">
        <v>69</v>
      </c>
      <c r="R43" s="540" t="s">
        <v>108</v>
      </c>
      <c r="S43" s="517" t="s">
        <v>69</v>
      </c>
      <c r="T43" s="517" t="s">
        <v>69</v>
      </c>
      <c r="U43" s="517" t="s">
        <v>69</v>
      </c>
      <c r="V43" s="517" t="s">
        <v>69</v>
      </c>
      <c r="W43" s="517" t="s">
        <v>69</v>
      </c>
      <c r="X43" s="517" t="s">
        <v>69</v>
      </c>
      <c r="Y43" s="516" t="s">
        <v>108</v>
      </c>
      <c r="Z43" s="517" t="s">
        <v>69</v>
      </c>
      <c r="AA43" s="517" t="s">
        <v>69</v>
      </c>
      <c r="AB43" s="517" t="s">
        <v>69</v>
      </c>
      <c r="AC43" s="517" t="s">
        <v>69</v>
      </c>
      <c r="AD43" s="517" t="s">
        <v>69</v>
      </c>
      <c r="AE43" s="517" t="s">
        <v>69</v>
      </c>
      <c r="AF43" s="516" t="s">
        <v>108</v>
      </c>
      <c r="AG43" s="517" t="s">
        <v>69</v>
      </c>
      <c r="AH43" s="517" t="s">
        <v>69</v>
      </c>
      <c r="AI43" s="517" t="s">
        <v>69</v>
      </c>
      <c r="AJ43" s="517" t="s">
        <v>69</v>
      </c>
      <c r="AK43" s="517" t="s">
        <v>69</v>
      </c>
      <c r="AL43" s="521" t="s">
        <v>426</v>
      </c>
      <c r="AM43" s="516" t="s">
        <v>108</v>
      </c>
      <c r="AN43" s="548">
        <v>0</v>
      </c>
      <c r="AO43" s="548">
        <v>0</v>
      </c>
      <c r="AP43" s="548">
        <v>0.5</v>
      </c>
      <c r="AQ43" s="548">
        <v>0</v>
      </c>
      <c r="AR43" s="548">
        <v>0</v>
      </c>
      <c r="AS43" s="548">
        <v>0</v>
      </c>
      <c r="AT43" s="548">
        <v>0.5</v>
      </c>
      <c r="AU43" s="548"/>
      <c r="AV43" s="548"/>
      <c r="AW43" s="548"/>
    </row>
    <row r="44" spans="1:49" ht="18">
      <c r="A44" s="557">
        <v>43</v>
      </c>
      <c r="B44" s="529" t="s">
        <v>334</v>
      </c>
      <c r="C44" s="499" t="s">
        <v>39</v>
      </c>
      <c r="D44" s="510" t="s">
        <v>412</v>
      </c>
      <c r="E44" s="536" t="s">
        <v>424</v>
      </c>
      <c r="F44" s="531" t="s">
        <v>469</v>
      </c>
      <c r="G44" s="558" t="s">
        <v>285</v>
      </c>
      <c r="H44" s="558" t="s">
        <v>415</v>
      </c>
      <c r="I44" s="514" t="s">
        <v>416</v>
      </c>
      <c r="J44" s="515" t="s">
        <v>69</v>
      </c>
      <c r="K44" s="516" t="s">
        <v>108</v>
      </c>
      <c r="L44" s="517" t="s">
        <v>69</v>
      </c>
      <c r="M44" s="517" t="s">
        <v>69</v>
      </c>
      <c r="N44" s="517" t="s">
        <v>69</v>
      </c>
      <c r="O44" s="517" t="s">
        <v>69</v>
      </c>
      <c r="P44" s="517" t="s">
        <v>69</v>
      </c>
      <c r="Q44" s="518" t="s">
        <v>69</v>
      </c>
      <c r="R44" s="540" t="s">
        <v>108</v>
      </c>
      <c r="S44" s="517" t="s">
        <v>69</v>
      </c>
      <c r="T44" s="517" t="s">
        <v>69</v>
      </c>
      <c r="U44" s="517" t="s">
        <v>69</v>
      </c>
      <c r="V44" s="519" t="s">
        <v>416</v>
      </c>
      <c r="W44" s="517" t="s">
        <v>69</v>
      </c>
      <c r="X44" s="517" t="s">
        <v>69</v>
      </c>
      <c r="Y44" s="516" t="s">
        <v>108</v>
      </c>
      <c r="Z44" s="517" t="s">
        <v>69</v>
      </c>
      <c r="AA44" s="517" t="s">
        <v>69</v>
      </c>
      <c r="AB44" s="517" t="s">
        <v>69</v>
      </c>
      <c r="AC44" s="517" t="s">
        <v>69</v>
      </c>
      <c r="AD44" s="517" t="s">
        <v>69</v>
      </c>
      <c r="AE44" s="517" t="s">
        <v>69</v>
      </c>
      <c r="AF44" s="516" t="s">
        <v>108</v>
      </c>
      <c r="AG44" s="517" t="s">
        <v>69</v>
      </c>
      <c r="AH44" s="517" t="s">
        <v>69</v>
      </c>
      <c r="AI44" s="517" t="s">
        <v>69</v>
      </c>
      <c r="AJ44" s="517" t="s">
        <v>69</v>
      </c>
      <c r="AK44" s="517" t="s">
        <v>69</v>
      </c>
      <c r="AL44" s="517" t="s">
        <v>69</v>
      </c>
      <c r="AM44" s="516" t="s">
        <v>108</v>
      </c>
      <c r="AN44" s="548">
        <v>2</v>
      </c>
      <c r="AO44" s="548">
        <v>0</v>
      </c>
      <c r="AP44" s="548">
        <v>0</v>
      </c>
      <c r="AQ44" s="548">
        <v>0</v>
      </c>
      <c r="AR44" s="548">
        <v>0</v>
      </c>
      <c r="AS44" s="548">
        <v>0</v>
      </c>
      <c r="AT44" s="548">
        <v>2</v>
      </c>
      <c r="AU44" s="548"/>
      <c r="AV44" s="548"/>
      <c r="AW44" s="548"/>
    </row>
    <row r="45" spans="1:49" ht="18">
      <c r="A45" s="557">
        <v>44</v>
      </c>
      <c r="B45" s="529" t="s">
        <v>325</v>
      </c>
      <c r="C45" s="499" t="s">
        <v>40</v>
      </c>
      <c r="D45" s="510" t="s">
        <v>412</v>
      </c>
      <c r="E45" s="536" t="s">
        <v>466</v>
      </c>
      <c r="F45" s="531" t="s">
        <v>452</v>
      </c>
      <c r="G45" s="558" t="s">
        <v>285</v>
      </c>
      <c r="H45" s="558" t="s">
        <v>415</v>
      </c>
      <c r="I45" s="514" t="s">
        <v>416</v>
      </c>
      <c r="J45" s="515" t="s">
        <v>69</v>
      </c>
      <c r="K45" s="516" t="s">
        <v>108</v>
      </c>
      <c r="L45" s="517" t="s">
        <v>69</v>
      </c>
      <c r="M45" s="517" t="s">
        <v>69</v>
      </c>
      <c r="N45" s="517" t="s">
        <v>69</v>
      </c>
      <c r="O45" s="519" t="s">
        <v>416</v>
      </c>
      <c r="P45" s="517" t="s">
        <v>69</v>
      </c>
      <c r="Q45" s="518" t="s">
        <v>69</v>
      </c>
      <c r="R45" s="540" t="s">
        <v>108</v>
      </c>
      <c r="S45" s="519" t="s">
        <v>416</v>
      </c>
      <c r="T45" s="517" t="s">
        <v>69</v>
      </c>
      <c r="U45" s="517" t="s">
        <v>69</v>
      </c>
      <c r="V45" s="517" t="s">
        <v>69</v>
      </c>
      <c r="W45" s="517" t="s">
        <v>69</v>
      </c>
      <c r="X45" s="517" t="s">
        <v>69</v>
      </c>
      <c r="Y45" s="516" t="s">
        <v>108</v>
      </c>
      <c r="Z45" s="517" t="s">
        <v>69</v>
      </c>
      <c r="AA45" s="517" t="s">
        <v>69</v>
      </c>
      <c r="AB45" s="517" t="s">
        <v>69</v>
      </c>
      <c r="AC45" s="517" t="s">
        <v>69</v>
      </c>
      <c r="AD45" s="517" t="s">
        <v>69</v>
      </c>
      <c r="AE45" s="517" t="s">
        <v>69</v>
      </c>
      <c r="AF45" s="516" t="s">
        <v>108</v>
      </c>
      <c r="AG45" s="517" t="s">
        <v>69</v>
      </c>
      <c r="AH45" s="517" t="s">
        <v>69</v>
      </c>
      <c r="AI45" s="517" t="s">
        <v>69</v>
      </c>
      <c r="AJ45" s="517" t="s">
        <v>69</v>
      </c>
      <c r="AK45" s="517" t="s">
        <v>69</v>
      </c>
      <c r="AL45" s="517" t="s">
        <v>69</v>
      </c>
      <c r="AM45" s="516" t="s">
        <v>108</v>
      </c>
      <c r="AN45" s="548">
        <v>3</v>
      </c>
      <c r="AO45" s="548">
        <v>0</v>
      </c>
      <c r="AP45" s="548">
        <v>0</v>
      </c>
      <c r="AQ45" s="548">
        <v>0</v>
      </c>
      <c r="AR45" s="548">
        <v>0</v>
      </c>
      <c r="AS45" s="548">
        <v>0</v>
      </c>
      <c r="AT45" s="548">
        <v>3</v>
      </c>
      <c r="AU45" s="548"/>
      <c r="AV45" s="548"/>
      <c r="AW45" s="548"/>
    </row>
    <row r="46" spans="1:49" ht="18">
      <c r="A46" s="557">
        <v>45</v>
      </c>
      <c r="B46" s="529" t="s">
        <v>366</v>
      </c>
      <c r="C46" s="535" t="s">
        <v>227</v>
      </c>
      <c r="D46" s="510" t="s">
        <v>412</v>
      </c>
      <c r="E46" s="536" t="s">
        <v>462</v>
      </c>
      <c r="F46" s="531" t="s">
        <v>464</v>
      </c>
      <c r="G46" s="558" t="s">
        <v>293</v>
      </c>
      <c r="H46" s="558" t="s">
        <v>415</v>
      </c>
      <c r="I46" s="518" t="s">
        <v>69</v>
      </c>
      <c r="J46" s="527" t="s">
        <v>416</v>
      </c>
      <c r="K46" s="516" t="s">
        <v>108</v>
      </c>
      <c r="L46" s="533" t="s">
        <v>111</v>
      </c>
      <c r="M46" s="515" t="s">
        <v>69</v>
      </c>
      <c r="N46" s="517" t="s">
        <v>69</v>
      </c>
      <c r="O46" s="517" t="s">
        <v>69</v>
      </c>
      <c r="P46" s="517" t="s">
        <v>69</v>
      </c>
      <c r="Q46" s="518" t="s">
        <v>69</v>
      </c>
      <c r="R46" s="540" t="s">
        <v>108</v>
      </c>
      <c r="S46" s="517" t="s">
        <v>69</v>
      </c>
      <c r="T46" s="517" t="s">
        <v>69</v>
      </c>
      <c r="U46" s="517" t="s">
        <v>69</v>
      </c>
      <c r="V46" s="517" t="s">
        <v>69</v>
      </c>
      <c r="W46" s="517" t="s">
        <v>69</v>
      </c>
      <c r="X46" s="517" t="s">
        <v>69</v>
      </c>
      <c r="Y46" s="516" t="s">
        <v>108</v>
      </c>
      <c r="Z46" s="517" t="s">
        <v>69</v>
      </c>
      <c r="AA46" s="517" t="s">
        <v>69</v>
      </c>
      <c r="AB46" s="517" t="s">
        <v>69</v>
      </c>
      <c r="AC46" s="517" t="s">
        <v>69</v>
      </c>
      <c r="AD46" s="517" t="s">
        <v>69</v>
      </c>
      <c r="AE46" s="517" t="s">
        <v>69</v>
      </c>
      <c r="AF46" s="516" t="s">
        <v>108</v>
      </c>
      <c r="AG46" s="517" t="s">
        <v>69</v>
      </c>
      <c r="AH46" s="517" t="s">
        <v>69</v>
      </c>
      <c r="AI46" s="517" t="s">
        <v>69</v>
      </c>
      <c r="AJ46" s="517" t="s">
        <v>69</v>
      </c>
      <c r="AK46" s="517" t="s">
        <v>69</v>
      </c>
      <c r="AL46" s="517" t="s">
        <v>69</v>
      </c>
      <c r="AM46" s="516" t="s">
        <v>108</v>
      </c>
      <c r="AN46" s="548">
        <v>1</v>
      </c>
      <c r="AO46" s="548">
        <v>1</v>
      </c>
      <c r="AP46" s="548">
        <v>0</v>
      </c>
      <c r="AQ46" s="548">
        <v>0</v>
      </c>
      <c r="AR46" s="548">
        <v>0</v>
      </c>
      <c r="AS46" s="548">
        <v>0</v>
      </c>
      <c r="AT46" s="548">
        <v>1</v>
      </c>
      <c r="AU46" s="548"/>
      <c r="AV46" s="548"/>
      <c r="AW46" s="548"/>
    </row>
    <row r="47" spans="1:49" ht="18">
      <c r="A47" s="557">
        <v>46</v>
      </c>
      <c r="B47" s="529" t="s">
        <v>338</v>
      </c>
      <c r="C47" s="500" t="s">
        <v>41</v>
      </c>
      <c r="D47" s="510" t="s">
        <v>412</v>
      </c>
      <c r="E47" s="536" t="s">
        <v>462</v>
      </c>
      <c r="F47" s="531" t="s">
        <v>457</v>
      </c>
      <c r="G47" s="558" t="s">
        <v>300</v>
      </c>
      <c r="H47" s="558" t="s">
        <v>415</v>
      </c>
      <c r="I47" s="518" t="s">
        <v>69</v>
      </c>
      <c r="J47" s="515" t="s">
        <v>69</v>
      </c>
      <c r="K47" s="516" t="s">
        <v>108</v>
      </c>
      <c r="L47" s="517" t="s">
        <v>69</v>
      </c>
      <c r="M47" s="519" t="s">
        <v>416</v>
      </c>
      <c r="N47" s="519" t="s">
        <v>416</v>
      </c>
      <c r="O47" s="519" t="s">
        <v>416</v>
      </c>
      <c r="P47" s="517" t="s">
        <v>69</v>
      </c>
      <c r="Q47" s="518" t="s">
        <v>69</v>
      </c>
      <c r="R47" s="540" t="s">
        <v>108</v>
      </c>
      <c r="S47" s="517" t="s">
        <v>69</v>
      </c>
      <c r="T47" s="517" t="s">
        <v>69</v>
      </c>
      <c r="U47" s="517" t="s">
        <v>69</v>
      </c>
      <c r="V47" s="517" t="s">
        <v>69</v>
      </c>
      <c r="W47" s="517" t="s">
        <v>69</v>
      </c>
      <c r="X47" s="519" t="s">
        <v>416</v>
      </c>
      <c r="Y47" s="516" t="s">
        <v>108</v>
      </c>
      <c r="Z47" s="517" t="s">
        <v>69</v>
      </c>
      <c r="AA47" s="517" t="s">
        <v>69</v>
      </c>
      <c r="AB47" s="517" t="s">
        <v>69</v>
      </c>
      <c r="AC47" s="517" t="s">
        <v>69</v>
      </c>
      <c r="AD47" s="517" t="s">
        <v>69</v>
      </c>
      <c r="AE47" s="517" t="s">
        <v>69</v>
      </c>
      <c r="AF47" s="516" t="s">
        <v>108</v>
      </c>
      <c r="AG47" s="517" t="s">
        <v>69</v>
      </c>
      <c r="AH47" s="517" t="s">
        <v>69</v>
      </c>
      <c r="AI47" s="517" t="s">
        <v>69</v>
      </c>
      <c r="AJ47" s="517" t="s">
        <v>69</v>
      </c>
      <c r="AK47" s="517" t="s">
        <v>69</v>
      </c>
      <c r="AL47" s="517" t="s">
        <v>69</v>
      </c>
      <c r="AM47" s="516" t="s">
        <v>108</v>
      </c>
      <c r="AN47" s="548">
        <v>4</v>
      </c>
      <c r="AO47" s="548">
        <v>0</v>
      </c>
      <c r="AP47" s="548">
        <v>0</v>
      </c>
      <c r="AQ47" s="548">
        <v>0</v>
      </c>
      <c r="AR47" s="548">
        <v>0</v>
      </c>
      <c r="AS47" s="548">
        <v>0</v>
      </c>
      <c r="AT47" s="548">
        <v>4</v>
      </c>
      <c r="AU47" s="548"/>
      <c r="AV47" s="548"/>
      <c r="AW47" s="548"/>
    </row>
    <row r="48" spans="1:49" ht="18">
      <c r="A48" s="557">
        <v>47</v>
      </c>
      <c r="B48" s="529" t="s">
        <v>470</v>
      </c>
      <c r="C48" s="499" t="s">
        <v>471</v>
      </c>
      <c r="D48" s="510" t="s">
        <v>412</v>
      </c>
      <c r="E48" s="536" t="s">
        <v>424</v>
      </c>
      <c r="F48" s="531" t="s">
        <v>414</v>
      </c>
      <c r="G48" s="558" t="s">
        <v>284</v>
      </c>
      <c r="H48" s="558" t="s">
        <v>415</v>
      </c>
      <c r="I48" s="518" t="s">
        <v>69</v>
      </c>
      <c r="J48" s="534" t="s">
        <v>69</v>
      </c>
      <c r="K48" s="516" t="s">
        <v>108</v>
      </c>
      <c r="L48" s="519" t="s">
        <v>416</v>
      </c>
      <c r="M48" s="517" t="s">
        <v>69</v>
      </c>
      <c r="N48" s="517" t="s">
        <v>69</v>
      </c>
      <c r="O48" s="517" t="s">
        <v>69</v>
      </c>
      <c r="P48" s="517" t="s">
        <v>69</v>
      </c>
      <c r="Q48" s="518" t="s">
        <v>69</v>
      </c>
      <c r="R48" s="540" t="s">
        <v>108</v>
      </c>
      <c r="S48" s="517" t="s">
        <v>69</v>
      </c>
      <c r="T48" s="517" t="s">
        <v>69</v>
      </c>
      <c r="U48" s="517" t="s">
        <v>69</v>
      </c>
      <c r="V48" s="517" t="s">
        <v>69</v>
      </c>
      <c r="W48" s="520" t="s">
        <v>426</v>
      </c>
      <c r="X48" s="537" t="s">
        <v>416</v>
      </c>
      <c r="Y48" s="516" t="s">
        <v>108</v>
      </c>
      <c r="Z48" s="518" t="s">
        <v>69</v>
      </c>
      <c r="AA48" s="515" t="s">
        <v>69</v>
      </c>
      <c r="AB48" s="517" t="s">
        <v>69</v>
      </c>
      <c r="AC48" s="517" t="s">
        <v>69</v>
      </c>
      <c r="AD48" s="517" t="s">
        <v>69</v>
      </c>
      <c r="AE48" s="517" t="s">
        <v>69</v>
      </c>
      <c r="AF48" s="516" t="s">
        <v>108</v>
      </c>
      <c r="AG48" s="517" t="s">
        <v>69</v>
      </c>
      <c r="AH48" s="517" t="s">
        <v>69</v>
      </c>
      <c r="AI48" s="517" t="s">
        <v>69</v>
      </c>
      <c r="AJ48" s="517" t="s">
        <v>69</v>
      </c>
      <c r="AK48" s="517" t="s">
        <v>69</v>
      </c>
      <c r="AL48" s="517" t="s">
        <v>69</v>
      </c>
      <c r="AM48" s="516" t="s">
        <v>108</v>
      </c>
      <c r="AN48" s="548">
        <v>2</v>
      </c>
      <c r="AO48" s="548">
        <v>0</v>
      </c>
      <c r="AP48" s="548">
        <v>0.5</v>
      </c>
      <c r="AQ48" s="548">
        <v>0</v>
      </c>
      <c r="AR48" s="548">
        <v>0</v>
      </c>
      <c r="AS48" s="548">
        <v>0</v>
      </c>
      <c r="AT48" s="548">
        <v>2.5</v>
      </c>
      <c r="AU48" s="548"/>
      <c r="AV48" s="548"/>
      <c r="AW48" s="548"/>
    </row>
    <row r="49" spans="1:49" ht="18">
      <c r="A49" s="557">
        <v>48</v>
      </c>
      <c r="B49" s="529" t="s">
        <v>367</v>
      </c>
      <c r="C49" s="499" t="s">
        <v>228</v>
      </c>
      <c r="D49" s="510" t="s">
        <v>412</v>
      </c>
      <c r="E49" s="536" t="s">
        <v>418</v>
      </c>
      <c r="F49" s="531" t="s">
        <v>472</v>
      </c>
      <c r="G49" s="558" t="s">
        <v>292</v>
      </c>
      <c r="H49" s="558" t="s">
        <v>415</v>
      </c>
      <c r="I49" s="518" t="s">
        <v>69</v>
      </c>
      <c r="J49" s="515" t="s">
        <v>69</v>
      </c>
      <c r="K49" s="516" t="s">
        <v>108</v>
      </c>
      <c r="L49" s="518" t="s">
        <v>69</v>
      </c>
      <c r="M49" s="534" t="s">
        <v>69</v>
      </c>
      <c r="N49" s="515" t="s">
        <v>69</v>
      </c>
      <c r="O49" s="517" t="s">
        <v>69</v>
      </c>
      <c r="P49" s="517" t="s">
        <v>69</v>
      </c>
      <c r="Q49" s="518" t="s">
        <v>69</v>
      </c>
      <c r="R49" s="540" t="s">
        <v>108</v>
      </c>
      <c r="S49" s="517" t="s">
        <v>69</v>
      </c>
      <c r="T49" s="517" t="s">
        <v>69</v>
      </c>
      <c r="U49" s="517" t="s">
        <v>69</v>
      </c>
      <c r="V49" s="517" t="s">
        <v>69</v>
      </c>
      <c r="W49" s="548" t="s">
        <v>69</v>
      </c>
      <c r="X49" s="548" t="s">
        <v>69</v>
      </c>
      <c r="Y49" s="540" t="s">
        <v>108</v>
      </c>
      <c r="Z49" s="518" t="s">
        <v>69</v>
      </c>
      <c r="AA49" s="515" t="s">
        <v>69</v>
      </c>
      <c r="AB49" s="517" t="s">
        <v>69</v>
      </c>
      <c r="AC49" s="517" t="s">
        <v>69</v>
      </c>
      <c r="AD49" s="522" t="s">
        <v>267</v>
      </c>
      <c r="AE49" s="519" t="s">
        <v>416</v>
      </c>
      <c r="AF49" s="516" t="s">
        <v>108</v>
      </c>
      <c r="AG49" s="517" t="s">
        <v>69</v>
      </c>
      <c r="AH49" s="517" t="s">
        <v>69</v>
      </c>
      <c r="AI49" s="517" t="s">
        <v>69</v>
      </c>
      <c r="AJ49" s="517" t="s">
        <v>69</v>
      </c>
      <c r="AK49" s="517" t="s">
        <v>69</v>
      </c>
      <c r="AL49" s="517" t="s">
        <v>69</v>
      </c>
      <c r="AM49" s="516" t="s">
        <v>108</v>
      </c>
      <c r="AN49" s="548">
        <v>1</v>
      </c>
      <c r="AO49" s="548">
        <v>0</v>
      </c>
      <c r="AP49" s="548">
        <v>0</v>
      </c>
      <c r="AQ49" s="548">
        <v>0</v>
      </c>
      <c r="AR49" s="548">
        <v>1</v>
      </c>
      <c r="AS49" s="548">
        <v>0</v>
      </c>
      <c r="AT49" s="548">
        <v>1</v>
      </c>
      <c r="AU49" s="548"/>
      <c r="AV49" s="548"/>
      <c r="AW49" s="548"/>
    </row>
    <row r="50" spans="1:49" ht="18">
      <c r="A50" s="557">
        <v>49</v>
      </c>
      <c r="B50" s="529" t="s">
        <v>310</v>
      </c>
      <c r="C50" s="499" t="s">
        <v>42</v>
      </c>
      <c r="D50" s="510" t="s">
        <v>412</v>
      </c>
      <c r="E50" s="536" t="s">
        <v>473</v>
      </c>
      <c r="F50" s="531" t="s">
        <v>446</v>
      </c>
      <c r="G50" s="558" t="s">
        <v>291</v>
      </c>
      <c r="H50" s="558" t="s">
        <v>415</v>
      </c>
      <c r="I50" s="518" t="s">
        <v>69</v>
      </c>
      <c r="J50" s="534" t="s">
        <v>69</v>
      </c>
      <c r="K50" s="516" t="s">
        <v>108</v>
      </c>
      <c r="L50" s="519" t="s">
        <v>416</v>
      </c>
      <c r="M50" s="517" t="s">
        <v>69</v>
      </c>
      <c r="N50" s="517" t="s">
        <v>69</v>
      </c>
      <c r="O50" s="517" t="s">
        <v>69</v>
      </c>
      <c r="P50" s="517" t="s">
        <v>69</v>
      </c>
      <c r="Q50" s="518" t="s">
        <v>69</v>
      </c>
      <c r="R50" s="540" t="s">
        <v>108</v>
      </c>
      <c r="S50" s="519" t="s">
        <v>416</v>
      </c>
      <c r="T50" s="517" t="s">
        <v>69</v>
      </c>
      <c r="U50" s="517" t="s">
        <v>69</v>
      </c>
      <c r="V50" s="517" t="s">
        <v>69</v>
      </c>
      <c r="W50" s="509" t="s">
        <v>69</v>
      </c>
      <c r="X50" s="509" t="s">
        <v>69</v>
      </c>
      <c r="Y50" s="516" t="s">
        <v>108</v>
      </c>
      <c r="Z50" s="518" t="s">
        <v>69</v>
      </c>
      <c r="AA50" s="515" t="s">
        <v>69</v>
      </c>
      <c r="AB50" s="517" t="s">
        <v>69</v>
      </c>
      <c r="AC50" s="517" t="s">
        <v>69</v>
      </c>
      <c r="AD50" s="517" t="s">
        <v>69</v>
      </c>
      <c r="AE50" s="517" t="s">
        <v>69</v>
      </c>
      <c r="AF50" s="516" t="s">
        <v>108</v>
      </c>
      <c r="AG50" s="517" t="s">
        <v>69</v>
      </c>
      <c r="AH50" s="517" t="s">
        <v>69</v>
      </c>
      <c r="AI50" s="517" t="s">
        <v>69</v>
      </c>
      <c r="AJ50" s="517" t="s">
        <v>69</v>
      </c>
      <c r="AK50" s="517" t="s">
        <v>69</v>
      </c>
      <c r="AL50" s="522" t="s">
        <v>267</v>
      </c>
      <c r="AM50" s="516" t="s">
        <v>108</v>
      </c>
      <c r="AN50" s="548">
        <v>2</v>
      </c>
      <c r="AO50" s="548">
        <v>0</v>
      </c>
      <c r="AP50" s="548">
        <v>0</v>
      </c>
      <c r="AQ50" s="548">
        <v>0</v>
      </c>
      <c r="AR50" s="548">
        <v>1</v>
      </c>
      <c r="AS50" s="548">
        <v>0</v>
      </c>
      <c r="AT50" s="548">
        <v>2</v>
      </c>
      <c r="AU50" s="548"/>
      <c r="AV50" s="548"/>
      <c r="AW50" s="548"/>
    </row>
    <row r="51" spans="1:49" ht="18">
      <c r="A51" s="557">
        <v>50</v>
      </c>
      <c r="B51" s="529" t="s">
        <v>364</v>
      </c>
      <c r="C51" s="499" t="s">
        <v>229</v>
      </c>
      <c r="D51" s="510" t="s">
        <v>412</v>
      </c>
      <c r="E51" s="536" t="s">
        <v>413</v>
      </c>
      <c r="F51" s="531" t="s">
        <v>474</v>
      </c>
      <c r="G51" s="558" t="s">
        <v>284</v>
      </c>
      <c r="H51" s="558" t="s">
        <v>415</v>
      </c>
      <c r="I51" s="514" t="s">
        <v>416</v>
      </c>
      <c r="J51" s="515" t="s">
        <v>69</v>
      </c>
      <c r="K51" s="516" t="s">
        <v>108</v>
      </c>
      <c r="L51" s="517" t="s">
        <v>69</v>
      </c>
      <c r="M51" s="517" t="s">
        <v>69</v>
      </c>
      <c r="N51" s="517" t="s">
        <v>69</v>
      </c>
      <c r="O51" s="517" t="s">
        <v>69</v>
      </c>
      <c r="P51" s="517" t="s">
        <v>69</v>
      </c>
      <c r="Q51" s="518" t="s">
        <v>69</v>
      </c>
      <c r="R51" s="540" t="s">
        <v>108</v>
      </c>
      <c r="S51" s="568" t="s">
        <v>69</v>
      </c>
      <c r="T51" s="568" t="s">
        <v>69</v>
      </c>
      <c r="U51" s="568" t="s">
        <v>69</v>
      </c>
      <c r="V51" s="568" t="s">
        <v>69</v>
      </c>
      <c r="W51" s="517" t="s">
        <v>69</v>
      </c>
      <c r="X51" s="517" t="s">
        <v>69</v>
      </c>
      <c r="Y51" s="516" t="s">
        <v>108</v>
      </c>
      <c r="Z51" s="518" t="s">
        <v>69</v>
      </c>
      <c r="AA51" s="515" t="s">
        <v>69</v>
      </c>
      <c r="AB51" s="517" t="s">
        <v>69</v>
      </c>
      <c r="AC51" s="517" t="s">
        <v>69</v>
      </c>
      <c r="AD51" s="517" t="s">
        <v>69</v>
      </c>
      <c r="AE51" s="517" t="s">
        <v>69</v>
      </c>
      <c r="AF51" s="516" t="s">
        <v>108</v>
      </c>
      <c r="AG51" s="517" t="s">
        <v>69</v>
      </c>
      <c r="AH51" s="517" t="s">
        <v>69</v>
      </c>
      <c r="AI51" s="517" t="s">
        <v>69</v>
      </c>
      <c r="AJ51" s="517" t="s">
        <v>69</v>
      </c>
      <c r="AK51" s="517" t="s">
        <v>69</v>
      </c>
      <c r="AL51" s="517" t="s">
        <v>69</v>
      </c>
      <c r="AM51" s="516" t="s">
        <v>108</v>
      </c>
      <c r="AN51" s="548">
        <v>1</v>
      </c>
      <c r="AO51" s="548">
        <v>0</v>
      </c>
      <c r="AP51" s="548">
        <v>0</v>
      </c>
      <c r="AQ51" s="548">
        <v>0</v>
      </c>
      <c r="AR51" s="548">
        <v>0</v>
      </c>
      <c r="AS51" s="548">
        <v>0</v>
      </c>
      <c r="AT51" s="548">
        <v>1</v>
      </c>
      <c r="AU51" s="548"/>
      <c r="AV51" s="548"/>
      <c r="AW51" s="548"/>
    </row>
    <row r="52" spans="1:49" ht="18">
      <c r="A52" s="557">
        <v>51</v>
      </c>
      <c r="B52" s="529" t="s">
        <v>400</v>
      </c>
      <c r="C52" s="499" t="s">
        <v>230</v>
      </c>
      <c r="D52" s="510" t="s">
        <v>412</v>
      </c>
      <c r="E52" s="536" t="s">
        <v>475</v>
      </c>
      <c r="F52" s="531" t="s">
        <v>464</v>
      </c>
      <c r="G52" s="558" t="s">
        <v>293</v>
      </c>
      <c r="H52" s="558" t="s">
        <v>415</v>
      </c>
      <c r="I52" s="514" t="s">
        <v>416</v>
      </c>
      <c r="J52" s="515" t="s">
        <v>69</v>
      </c>
      <c r="K52" s="516" t="s">
        <v>108</v>
      </c>
      <c r="L52" s="533" t="s">
        <v>111</v>
      </c>
      <c r="M52" s="515" t="s">
        <v>69</v>
      </c>
      <c r="N52" s="517" t="s">
        <v>69</v>
      </c>
      <c r="O52" s="517" t="s">
        <v>69</v>
      </c>
      <c r="P52" s="517" t="s">
        <v>69</v>
      </c>
      <c r="Q52" s="518" t="s">
        <v>69</v>
      </c>
      <c r="R52" s="540" t="s">
        <v>108</v>
      </c>
      <c r="S52" s="568" t="s">
        <v>69</v>
      </c>
      <c r="T52" s="568" t="s">
        <v>69</v>
      </c>
      <c r="U52" s="568" t="s">
        <v>69</v>
      </c>
      <c r="V52" s="568" t="s">
        <v>69</v>
      </c>
      <c r="W52" s="517" t="s">
        <v>69</v>
      </c>
      <c r="X52" s="517" t="s">
        <v>69</v>
      </c>
      <c r="Y52" s="516" t="s">
        <v>108</v>
      </c>
      <c r="Z52" s="518" t="s">
        <v>69</v>
      </c>
      <c r="AA52" s="515" t="s">
        <v>69</v>
      </c>
      <c r="AB52" s="517" t="s">
        <v>69</v>
      </c>
      <c r="AC52" s="517" t="s">
        <v>69</v>
      </c>
      <c r="AD52" s="517" t="s">
        <v>69</v>
      </c>
      <c r="AE52" s="517" t="s">
        <v>69</v>
      </c>
      <c r="AF52" s="516" t="s">
        <v>108</v>
      </c>
      <c r="AG52" s="517" t="s">
        <v>69</v>
      </c>
      <c r="AH52" s="517" t="s">
        <v>69</v>
      </c>
      <c r="AI52" s="517" t="s">
        <v>69</v>
      </c>
      <c r="AJ52" s="517" t="s">
        <v>69</v>
      </c>
      <c r="AK52" s="519" t="s">
        <v>416</v>
      </c>
      <c r="AL52" s="521" t="s">
        <v>426</v>
      </c>
      <c r="AM52" s="516" t="s">
        <v>108</v>
      </c>
      <c r="AN52" s="548">
        <v>2</v>
      </c>
      <c r="AO52" s="548">
        <v>1</v>
      </c>
      <c r="AP52" s="548">
        <v>0.5</v>
      </c>
      <c r="AQ52" s="548">
        <v>0</v>
      </c>
      <c r="AR52" s="548">
        <v>0</v>
      </c>
      <c r="AS52" s="548">
        <v>0</v>
      </c>
      <c r="AT52" s="548">
        <v>2.5</v>
      </c>
      <c r="AU52" s="548"/>
      <c r="AV52" s="548"/>
      <c r="AW52" s="548"/>
    </row>
    <row r="53" spans="1:49" ht="18">
      <c r="A53" s="557">
        <v>52</v>
      </c>
      <c r="B53" s="529" t="s">
        <v>353</v>
      </c>
      <c r="C53" s="499" t="s">
        <v>161</v>
      </c>
      <c r="D53" s="510" t="s">
        <v>412</v>
      </c>
      <c r="E53" s="536" t="s">
        <v>462</v>
      </c>
      <c r="F53" s="531" t="s">
        <v>476</v>
      </c>
      <c r="G53" s="558" t="s">
        <v>291</v>
      </c>
      <c r="H53" s="558" t="s">
        <v>415</v>
      </c>
      <c r="I53" s="518" t="s">
        <v>69</v>
      </c>
      <c r="J53" s="515" t="s">
        <v>69</v>
      </c>
      <c r="K53" s="516" t="s">
        <v>108</v>
      </c>
      <c r="L53" s="517" t="s">
        <v>69</v>
      </c>
      <c r="M53" s="517" t="s">
        <v>69</v>
      </c>
      <c r="N53" s="517" t="s">
        <v>69</v>
      </c>
      <c r="O53" s="517" t="s">
        <v>69</v>
      </c>
      <c r="P53" s="517" t="s">
        <v>69</v>
      </c>
      <c r="Q53" s="518" t="s">
        <v>69</v>
      </c>
      <c r="R53" s="540" t="s">
        <v>108</v>
      </c>
      <c r="S53" s="568" t="s">
        <v>69</v>
      </c>
      <c r="T53" s="568" t="s">
        <v>69</v>
      </c>
      <c r="U53" s="568" t="s">
        <v>69</v>
      </c>
      <c r="V53" s="568" t="s">
        <v>69</v>
      </c>
      <c r="W53" s="517" t="s">
        <v>69</v>
      </c>
      <c r="X53" s="517" t="s">
        <v>69</v>
      </c>
      <c r="Y53" s="516" t="s">
        <v>108</v>
      </c>
      <c r="Z53" s="517" t="s">
        <v>69</v>
      </c>
      <c r="AA53" s="517" t="s">
        <v>69</v>
      </c>
      <c r="AB53" s="517" t="s">
        <v>69</v>
      </c>
      <c r="AC53" s="517" t="s">
        <v>69</v>
      </c>
      <c r="AD53" s="517" t="s">
        <v>69</v>
      </c>
      <c r="AE53" s="517" t="s">
        <v>69</v>
      </c>
      <c r="AF53" s="516" t="s">
        <v>108</v>
      </c>
      <c r="AG53" s="517" t="s">
        <v>69</v>
      </c>
      <c r="AH53" s="517" t="s">
        <v>69</v>
      </c>
      <c r="AI53" s="517" t="s">
        <v>69</v>
      </c>
      <c r="AJ53" s="517" t="s">
        <v>69</v>
      </c>
      <c r="AK53" s="517" t="s">
        <v>69</v>
      </c>
      <c r="AL53" s="519" t="s">
        <v>416</v>
      </c>
      <c r="AM53" s="516" t="s">
        <v>108</v>
      </c>
      <c r="AN53" s="548">
        <v>1</v>
      </c>
      <c r="AO53" s="548">
        <v>0</v>
      </c>
      <c r="AP53" s="548">
        <v>0</v>
      </c>
      <c r="AQ53" s="548">
        <v>0</v>
      </c>
      <c r="AR53" s="548">
        <v>0</v>
      </c>
      <c r="AS53" s="548">
        <v>0</v>
      </c>
      <c r="AT53" s="548">
        <v>1</v>
      </c>
      <c r="AU53" s="548"/>
      <c r="AV53" s="548"/>
      <c r="AW53" s="548"/>
    </row>
    <row r="54" spans="1:49" ht="18">
      <c r="A54" s="557">
        <v>53</v>
      </c>
      <c r="B54" s="529" t="s">
        <v>336</v>
      </c>
      <c r="C54" s="499" t="s">
        <v>47</v>
      </c>
      <c r="D54" s="510" t="s">
        <v>412</v>
      </c>
      <c r="E54" s="536" t="s">
        <v>418</v>
      </c>
      <c r="F54" s="531" t="s">
        <v>457</v>
      </c>
      <c r="G54" s="558" t="s">
        <v>300</v>
      </c>
      <c r="H54" s="558" t="s">
        <v>415</v>
      </c>
      <c r="I54" s="518" t="s">
        <v>69</v>
      </c>
      <c r="J54" s="515" t="s">
        <v>69</v>
      </c>
      <c r="K54" s="516" t="s">
        <v>108</v>
      </c>
      <c r="L54" s="517" t="s">
        <v>69</v>
      </c>
      <c r="M54" s="517" t="s">
        <v>69</v>
      </c>
      <c r="N54" s="517" t="s">
        <v>69</v>
      </c>
      <c r="O54" s="517" t="s">
        <v>69</v>
      </c>
      <c r="P54" s="517" t="s">
        <v>69</v>
      </c>
      <c r="Q54" s="518" t="s">
        <v>69</v>
      </c>
      <c r="R54" s="540" t="s">
        <v>108</v>
      </c>
      <c r="S54" s="568" t="s">
        <v>69</v>
      </c>
      <c r="T54" s="568" t="s">
        <v>69</v>
      </c>
      <c r="U54" s="568" t="s">
        <v>69</v>
      </c>
      <c r="V54" s="568" t="s">
        <v>69</v>
      </c>
      <c r="W54" s="517" t="s">
        <v>69</v>
      </c>
      <c r="X54" s="517" t="s">
        <v>69</v>
      </c>
      <c r="Y54" s="516" t="s">
        <v>108</v>
      </c>
      <c r="Z54" s="517" t="s">
        <v>69</v>
      </c>
      <c r="AA54" s="517" t="s">
        <v>69</v>
      </c>
      <c r="AB54" s="517" t="s">
        <v>69</v>
      </c>
      <c r="AC54" s="517" t="s">
        <v>69</v>
      </c>
      <c r="AD54" s="517" t="s">
        <v>69</v>
      </c>
      <c r="AE54" s="517" t="s">
        <v>69</v>
      </c>
      <c r="AF54" s="516" t="s">
        <v>108</v>
      </c>
      <c r="AG54" s="517" t="s">
        <v>69</v>
      </c>
      <c r="AH54" s="517" t="s">
        <v>69</v>
      </c>
      <c r="AI54" s="517" t="s">
        <v>69</v>
      </c>
      <c r="AJ54" s="517" t="s">
        <v>69</v>
      </c>
      <c r="AK54" s="517" t="s">
        <v>69</v>
      </c>
      <c r="AL54" s="517" t="s">
        <v>69</v>
      </c>
      <c r="AM54" s="516" t="s">
        <v>108</v>
      </c>
      <c r="AN54" s="548">
        <v>0</v>
      </c>
      <c r="AO54" s="548">
        <v>0</v>
      </c>
      <c r="AP54" s="548">
        <v>0</v>
      </c>
      <c r="AQ54" s="548">
        <v>0</v>
      </c>
      <c r="AR54" s="548">
        <v>0</v>
      </c>
      <c r="AS54" s="548">
        <v>0</v>
      </c>
      <c r="AT54" s="548">
        <v>0</v>
      </c>
      <c r="AU54" s="548"/>
      <c r="AV54" s="548"/>
      <c r="AW54" s="548"/>
    </row>
    <row r="55" spans="1:49" ht="18">
      <c r="A55" s="557">
        <v>54</v>
      </c>
      <c r="B55" s="529" t="s">
        <v>317</v>
      </c>
      <c r="C55" s="499" t="s">
        <v>49</v>
      </c>
      <c r="D55" s="510" t="s">
        <v>412</v>
      </c>
      <c r="E55" s="536" t="s">
        <v>443</v>
      </c>
      <c r="F55" s="531" t="s">
        <v>446</v>
      </c>
      <c r="G55" s="558" t="s">
        <v>291</v>
      </c>
      <c r="H55" s="558" t="s">
        <v>415</v>
      </c>
      <c r="I55" s="518" t="s">
        <v>69</v>
      </c>
      <c r="J55" s="515" t="s">
        <v>69</v>
      </c>
      <c r="K55" s="516" t="s">
        <v>108</v>
      </c>
      <c r="L55" s="517" t="s">
        <v>69</v>
      </c>
      <c r="M55" s="517" t="s">
        <v>69</v>
      </c>
      <c r="N55" s="517" t="s">
        <v>69</v>
      </c>
      <c r="O55" s="517" t="s">
        <v>69</v>
      </c>
      <c r="P55" s="517" t="s">
        <v>69</v>
      </c>
      <c r="Q55" s="569" t="s">
        <v>267</v>
      </c>
      <c r="R55" s="540" t="s">
        <v>108</v>
      </c>
      <c r="S55" s="568" t="s">
        <v>69</v>
      </c>
      <c r="T55" s="514" t="s">
        <v>416</v>
      </c>
      <c r="U55" s="515" t="s">
        <v>69</v>
      </c>
      <c r="V55" s="517" t="s">
        <v>69</v>
      </c>
      <c r="W55" s="517" t="s">
        <v>69</v>
      </c>
      <c r="X55" s="517" t="s">
        <v>69</v>
      </c>
      <c r="Y55" s="516" t="s">
        <v>108</v>
      </c>
      <c r="Z55" s="517" t="s">
        <v>69</v>
      </c>
      <c r="AA55" s="517" t="s">
        <v>69</v>
      </c>
      <c r="AB55" s="517" t="s">
        <v>69</v>
      </c>
      <c r="AC55" s="517" t="s">
        <v>69</v>
      </c>
      <c r="AD55" s="517" t="s">
        <v>69</v>
      </c>
      <c r="AE55" s="517" t="s">
        <v>69</v>
      </c>
      <c r="AF55" s="516" t="s">
        <v>108</v>
      </c>
      <c r="AG55" s="517" t="s">
        <v>69</v>
      </c>
      <c r="AH55" s="517" t="s">
        <v>69</v>
      </c>
      <c r="AI55" s="517" t="s">
        <v>69</v>
      </c>
      <c r="AJ55" s="517" t="s">
        <v>69</v>
      </c>
      <c r="AK55" s="517" t="s">
        <v>69</v>
      </c>
      <c r="AL55" s="517" t="s">
        <v>69</v>
      </c>
      <c r="AM55" s="516" t="s">
        <v>108</v>
      </c>
      <c r="AN55" s="548">
        <v>1</v>
      </c>
      <c r="AO55" s="548">
        <v>0</v>
      </c>
      <c r="AP55" s="548">
        <v>0</v>
      </c>
      <c r="AQ55" s="548">
        <v>0</v>
      </c>
      <c r="AR55" s="548">
        <v>1</v>
      </c>
      <c r="AS55" s="548">
        <v>0</v>
      </c>
      <c r="AT55" s="548">
        <v>1</v>
      </c>
      <c r="AU55" s="548"/>
      <c r="AV55" s="548"/>
      <c r="AW55" s="548"/>
    </row>
    <row r="56" spans="1:49" ht="18">
      <c r="A56" s="557">
        <v>55</v>
      </c>
      <c r="B56" s="529" t="s">
        <v>361</v>
      </c>
      <c r="C56" s="499" t="s">
        <v>203</v>
      </c>
      <c r="D56" s="510" t="s">
        <v>412</v>
      </c>
      <c r="E56" s="536" t="s">
        <v>462</v>
      </c>
      <c r="F56" s="531" t="s">
        <v>421</v>
      </c>
      <c r="G56" s="558" t="s">
        <v>286</v>
      </c>
      <c r="H56" s="558" t="s">
        <v>415</v>
      </c>
      <c r="I56" s="518" t="s">
        <v>69</v>
      </c>
      <c r="J56" s="515" t="s">
        <v>69</v>
      </c>
      <c r="K56" s="516" t="s">
        <v>108</v>
      </c>
      <c r="L56" s="517" t="s">
        <v>69</v>
      </c>
      <c r="M56" s="517" t="s">
        <v>69</v>
      </c>
      <c r="N56" s="517" t="s">
        <v>69</v>
      </c>
      <c r="O56" s="517" t="s">
        <v>69</v>
      </c>
      <c r="P56" s="517" t="s">
        <v>69</v>
      </c>
      <c r="Q56" s="518" t="s">
        <v>69</v>
      </c>
      <c r="R56" s="540" t="s">
        <v>108</v>
      </c>
      <c r="S56" s="568" t="s">
        <v>69</v>
      </c>
      <c r="T56" s="568" t="s">
        <v>69</v>
      </c>
      <c r="U56" s="568" t="s">
        <v>69</v>
      </c>
      <c r="V56" s="519" t="s">
        <v>416</v>
      </c>
      <c r="W56" s="519" t="s">
        <v>416</v>
      </c>
      <c r="X56" s="519" t="s">
        <v>416</v>
      </c>
      <c r="Y56" s="516" t="s">
        <v>108</v>
      </c>
      <c r="Z56" s="517" t="s">
        <v>69</v>
      </c>
      <c r="AA56" s="517" t="s">
        <v>69</v>
      </c>
      <c r="AB56" s="517" t="s">
        <v>69</v>
      </c>
      <c r="AC56" s="517" t="s">
        <v>69</v>
      </c>
      <c r="AD56" s="517" t="s">
        <v>69</v>
      </c>
      <c r="AE56" s="517" t="s">
        <v>69</v>
      </c>
      <c r="AF56" s="516" t="s">
        <v>108</v>
      </c>
      <c r="AG56" s="517" t="s">
        <v>69</v>
      </c>
      <c r="AH56" s="517" t="s">
        <v>69</v>
      </c>
      <c r="AI56" s="517" t="s">
        <v>69</v>
      </c>
      <c r="AJ56" s="517" t="s">
        <v>69</v>
      </c>
      <c r="AK56" s="517" t="s">
        <v>69</v>
      </c>
      <c r="AL56" s="517" t="s">
        <v>69</v>
      </c>
      <c r="AM56" s="516" t="s">
        <v>108</v>
      </c>
      <c r="AN56" s="548">
        <v>3</v>
      </c>
      <c r="AO56" s="548">
        <v>0</v>
      </c>
      <c r="AP56" s="548">
        <v>0</v>
      </c>
      <c r="AQ56" s="548">
        <v>0</v>
      </c>
      <c r="AR56" s="548">
        <v>0</v>
      </c>
      <c r="AS56" s="548">
        <v>0</v>
      </c>
      <c r="AT56" s="548">
        <v>3</v>
      </c>
      <c r="AU56" s="548"/>
      <c r="AV56" s="548"/>
      <c r="AW56" s="548"/>
    </row>
    <row r="57" spans="1:49" ht="18">
      <c r="A57" s="557">
        <v>56</v>
      </c>
      <c r="B57" s="529" t="s">
        <v>399</v>
      </c>
      <c r="C57" s="499" t="s">
        <v>185</v>
      </c>
      <c r="D57" s="510" t="s">
        <v>412</v>
      </c>
      <c r="E57" s="536" t="s">
        <v>462</v>
      </c>
      <c r="F57" s="531" t="s">
        <v>477</v>
      </c>
      <c r="G57" s="558" t="s">
        <v>296</v>
      </c>
      <c r="H57" s="558" t="s">
        <v>415</v>
      </c>
      <c r="I57" s="518" t="s">
        <v>69</v>
      </c>
      <c r="J57" s="538" t="s">
        <v>69</v>
      </c>
      <c r="K57" s="516" t="s">
        <v>108</v>
      </c>
      <c r="L57" s="517" t="s">
        <v>69</v>
      </c>
      <c r="M57" s="517" t="s">
        <v>69</v>
      </c>
      <c r="N57" s="519" t="s">
        <v>416</v>
      </c>
      <c r="O57" s="517" t="s">
        <v>69</v>
      </c>
      <c r="P57" s="517" t="s">
        <v>69</v>
      </c>
      <c r="Q57" s="518" t="s">
        <v>69</v>
      </c>
      <c r="R57" s="540" t="s">
        <v>108</v>
      </c>
      <c r="S57" s="568" t="s">
        <v>69</v>
      </c>
      <c r="T57" s="568" t="s">
        <v>69</v>
      </c>
      <c r="U57" s="568" t="s">
        <v>69</v>
      </c>
      <c r="V57" s="568" t="s">
        <v>69</v>
      </c>
      <c r="W57" s="568" t="s">
        <v>69</v>
      </c>
      <c r="X57" s="568" t="s">
        <v>69</v>
      </c>
      <c r="Y57" s="516" t="s">
        <v>108</v>
      </c>
      <c r="Z57" s="517" t="s">
        <v>69</v>
      </c>
      <c r="AA57" s="519" t="s">
        <v>416</v>
      </c>
      <c r="AB57" s="517" t="s">
        <v>69</v>
      </c>
      <c r="AC57" s="517" t="s">
        <v>69</v>
      </c>
      <c r="AD57" s="517" t="s">
        <v>69</v>
      </c>
      <c r="AE57" s="517" t="s">
        <v>69</v>
      </c>
      <c r="AF57" s="516" t="s">
        <v>108</v>
      </c>
      <c r="AG57" s="543" t="s">
        <v>69</v>
      </c>
      <c r="AH57" s="517" t="s">
        <v>69</v>
      </c>
      <c r="AI57" s="517" t="s">
        <v>69</v>
      </c>
      <c r="AJ57" s="566" t="s">
        <v>111</v>
      </c>
      <c r="AK57" s="517" t="s">
        <v>69</v>
      </c>
      <c r="AL57" s="517" t="s">
        <v>69</v>
      </c>
      <c r="AM57" s="516" t="s">
        <v>108</v>
      </c>
      <c r="AN57" s="548">
        <v>2</v>
      </c>
      <c r="AO57" s="548">
        <v>1</v>
      </c>
      <c r="AP57" s="548">
        <v>0</v>
      </c>
      <c r="AQ57" s="548">
        <v>0</v>
      </c>
      <c r="AR57" s="548">
        <v>0</v>
      </c>
      <c r="AS57" s="548">
        <v>0</v>
      </c>
      <c r="AT57" s="548">
        <v>2</v>
      </c>
      <c r="AU57" s="548"/>
      <c r="AV57" s="548"/>
      <c r="AW57" s="548"/>
    </row>
    <row r="58" spans="1:49" ht="18">
      <c r="A58" s="557">
        <v>57</v>
      </c>
      <c r="B58" s="529" t="s">
        <v>374</v>
      </c>
      <c r="C58" s="499" t="s">
        <v>244</v>
      </c>
      <c r="D58" s="510" t="s">
        <v>412</v>
      </c>
      <c r="E58" s="536" t="s">
        <v>418</v>
      </c>
      <c r="F58" s="531" t="s">
        <v>478</v>
      </c>
      <c r="G58" s="558" t="s">
        <v>284</v>
      </c>
      <c r="H58" s="558" t="s">
        <v>415</v>
      </c>
      <c r="I58" s="518" t="s">
        <v>69</v>
      </c>
      <c r="J58" s="507" t="s">
        <v>69</v>
      </c>
      <c r="K58" s="516" t="s">
        <v>108</v>
      </c>
      <c r="L58" s="517" t="s">
        <v>69</v>
      </c>
      <c r="M58" s="517" t="s">
        <v>69</v>
      </c>
      <c r="N58" s="517" t="s">
        <v>69</v>
      </c>
      <c r="O58" s="519" t="s">
        <v>416</v>
      </c>
      <c r="P58" s="517" t="s">
        <v>69</v>
      </c>
      <c r="Q58" s="518" t="s">
        <v>69</v>
      </c>
      <c r="R58" s="540" t="s">
        <v>108</v>
      </c>
      <c r="S58" s="568" t="s">
        <v>69</v>
      </c>
      <c r="T58" s="568" t="s">
        <v>69</v>
      </c>
      <c r="U58" s="568" t="s">
        <v>69</v>
      </c>
      <c r="V58" s="568" t="s">
        <v>69</v>
      </c>
      <c r="W58" s="568" t="s">
        <v>69</v>
      </c>
      <c r="X58" s="519" t="s">
        <v>416</v>
      </c>
      <c r="Y58" s="516" t="s">
        <v>108</v>
      </c>
      <c r="Z58" s="517" t="s">
        <v>69</v>
      </c>
      <c r="AA58" s="517" t="s">
        <v>69</v>
      </c>
      <c r="AB58" s="517" t="s">
        <v>69</v>
      </c>
      <c r="AC58" s="517" t="s">
        <v>69</v>
      </c>
      <c r="AD58" s="517" t="s">
        <v>69</v>
      </c>
      <c r="AE58" s="517" t="s">
        <v>69</v>
      </c>
      <c r="AF58" s="570" t="s">
        <v>108</v>
      </c>
      <c r="AG58" s="507" t="s">
        <v>69</v>
      </c>
      <c r="AH58" s="517" t="s">
        <v>69</v>
      </c>
      <c r="AI58" s="517" t="s">
        <v>69</v>
      </c>
      <c r="AJ58" s="517" t="s">
        <v>69</v>
      </c>
      <c r="AK58" s="517" t="s">
        <v>69</v>
      </c>
      <c r="AL58" s="517" t="s">
        <v>69</v>
      </c>
      <c r="AM58" s="516" t="s">
        <v>108</v>
      </c>
      <c r="AN58" s="548">
        <v>2</v>
      </c>
      <c r="AO58" s="548">
        <v>0</v>
      </c>
      <c r="AP58" s="548">
        <v>0</v>
      </c>
      <c r="AQ58" s="548">
        <v>0</v>
      </c>
      <c r="AR58" s="548">
        <v>0</v>
      </c>
      <c r="AS58" s="548">
        <v>0</v>
      </c>
      <c r="AT58" s="548">
        <v>2</v>
      </c>
      <c r="AU58" s="548"/>
      <c r="AV58" s="548"/>
      <c r="AW58" s="548"/>
    </row>
    <row r="59" spans="1:49" ht="18">
      <c r="A59" s="557">
        <v>58</v>
      </c>
      <c r="B59" s="529" t="s">
        <v>337</v>
      </c>
      <c r="C59" s="499" t="s">
        <v>50</v>
      </c>
      <c r="D59" s="510" t="s">
        <v>412</v>
      </c>
      <c r="E59" s="536" t="s">
        <v>462</v>
      </c>
      <c r="F59" s="531" t="s">
        <v>474</v>
      </c>
      <c r="G59" s="558" t="s">
        <v>284</v>
      </c>
      <c r="H59" s="558" t="s">
        <v>415</v>
      </c>
      <c r="I59" s="514" t="s">
        <v>416</v>
      </c>
      <c r="J59" s="527" t="s">
        <v>416</v>
      </c>
      <c r="K59" s="516" t="s">
        <v>108</v>
      </c>
      <c r="L59" s="519" t="s">
        <v>416</v>
      </c>
      <c r="M59" s="519" t="s">
        <v>416</v>
      </c>
      <c r="N59" s="519" t="s">
        <v>416</v>
      </c>
      <c r="O59" s="519" t="s">
        <v>416</v>
      </c>
      <c r="P59" s="519" t="s">
        <v>416</v>
      </c>
      <c r="Q59" s="518" t="s">
        <v>69</v>
      </c>
      <c r="R59" s="540" t="s">
        <v>108</v>
      </c>
      <c r="S59" s="568" t="s">
        <v>69</v>
      </c>
      <c r="T59" s="568" t="s">
        <v>69</v>
      </c>
      <c r="U59" s="568" t="s">
        <v>69</v>
      </c>
      <c r="V59" s="568" t="s">
        <v>69</v>
      </c>
      <c r="W59" s="568" t="s">
        <v>69</v>
      </c>
      <c r="X59" s="568" t="s">
        <v>69</v>
      </c>
      <c r="Y59" s="516" t="s">
        <v>108</v>
      </c>
      <c r="Z59" s="517" t="s">
        <v>69</v>
      </c>
      <c r="AA59" s="517" t="s">
        <v>69</v>
      </c>
      <c r="AB59" s="517" t="s">
        <v>69</v>
      </c>
      <c r="AC59" s="517" t="s">
        <v>69</v>
      </c>
      <c r="AD59" s="517" t="s">
        <v>69</v>
      </c>
      <c r="AE59" s="517" t="s">
        <v>69</v>
      </c>
      <c r="AF59" s="516" t="s">
        <v>108</v>
      </c>
      <c r="AG59" s="517" t="s">
        <v>69</v>
      </c>
      <c r="AH59" s="517" t="s">
        <v>69</v>
      </c>
      <c r="AI59" s="517" t="s">
        <v>69</v>
      </c>
      <c r="AJ59" s="517" t="s">
        <v>69</v>
      </c>
      <c r="AK59" s="517" t="s">
        <v>69</v>
      </c>
      <c r="AL59" s="517" t="s">
        <v>69</v>
      </c>
      <c r="AM59" s="516" t="s">
        <v>108</v>
      </c>
      <c r="AN59" s="548">
        <v>7</v>
      </c>
      <c r="AO59" s="548">
        <v>0</v>
      </c>
      <c r="AP59" s="548">
        <v>0</v>
      </c>
      <c r="AQ59" s="548">
        <v>0</v>
      </c>
      <c r="AR59" s="548">
        <v>0</v>
      </c>
      <c r="AS59" s="548">
        <v>0</v>
      </c>
      <c r="AT59" s="548">
        <v>7</v>
      </c>
      <c r="AU59" s="548"/>
      <c r="AV59" s="548"/>
      <c r="AW59" s="548"/>
    </row>
    <row r="60" spans="1:49" ht="18">
      <c r="A60" s="557">
        <v>59</v>
      </c>
      <c r="B60" s="529" t="s">
        <v>358</v>
      </c>
      <c r="C60" s="499" t="s">
        <v>479</v>
      </c>
      <c r="D60" s="510" t="s">
        <v>412</v>
      </c>
      <c r="E60" s="536" t="s">
        <v>462</v>
      </c>
      <c r="F60" s="531" t="s">
        <v>446</v>
      </c>
      <c r="G60" s="558" t="s">
        <v>291</v>
      </c>
      <c r="H60" s="558" t="s">
        <v>415</v>
      </c>
      <c r="I60" s="514" t="s">
        <v>416</v>
      </c>
      <c r="J60" s="515" t="s">
        <v>69</v>
      </c>
      <c r="K60" s="516" t="s">
        <v>108</v>
      </c>
      <c r="L60" s="518" t="s">
        <v>69</v>
      </c>
      <c r="M60" s="515" t="s">
        <v>69</v>
      </c>
      <c r="N60" s="517" t="s">
        <v>69</v>
      </c>
      <c r="O60" s="517" t="s">
        <v>69</v>
      </c>
      <c r="P60" s="517" t="s">
        <v>69</v>
      </c>
      <c r="Q60" s="518" t="s">
        <v>69</v>
      </c>
      <c r="R60" s="540" t="s">
        <v>108</v>
      </c>
      <c r="S60" s="568" t="s">
        <v>69</v>
      </c>
      <c r="T60" s="568" t="s">
        <v>69</v>
      </c>
      <c r="U60" s="568" t="s">
        <v>69</v>
      </c>
      <c r="V60" s="568" t="s">
        <v>69</v>
      </c>
      <c r="W60" s="517" t="s">
        <v>69</v>
      </c>
      <c r="X60" s="568" t="s">
        <v>69</v>
      </c>
      <c r="Y60" s="516" t="s">
        <v>108</v>
      </c>
      <c r="Z60" s="517" t="s">
        <v>69</v>
      </c>
      <c r="AA60" s="517" t="s">
        <v>69</v>
      </c>
      <c r="AB60" s="517" t="s">
        <v>69</v>
      </c>
      <c r="AC60" s="517" t="s">
        <v>69</v>
      </c>
      <c r="AD60" s="517" t="s">
        <v>69</v>
      </c>
      <c r="AE60" s="517" t="s">
        <v>69</v>
      </c>
      <c r="AF60" s="516" t="s">
        <v>108</v>
      </c>
      <c r="AG60" s="517" t="s">
        <v>69</v>
      </c>
      <c r="AH60" s="517" t="s">
        <v>69</v>
      </c>
      <c r="AI60" s="517" t="s">
        <v>69</v>
      </c>
      <c r="AJ60" s="517" t="s">
        <v>69</v>
      </c>
      <c r="AK60" s="517" t="s">
        <v>69</v>
      </c>
      <c r="AL60" s="519" t="s">
        <v>416</v>
      </c>
      <c r="AM60" s="516" t="s">
        <v>108</v>
      </c>
      <c r="AN60" s="548">
        <v>2</v>
      </c>
      <c r="AO60" s="548">
        <v>0</v>
      </c>
      <c r="AP60" s="548">
        <v>0</v>
      </c>
      <c r="AQ60" s="548">
        <v>0</v>
      </c>
      <c r="AR60" s="548">
        <v>0</v>
      </c>
      <c r="AS60" s="548">
        <v>0</v>
      </c>
      <c r="AT60" s="548">
        <v>2</v>
      </c>
      <c r="AU60" s="548"/>
      <c r="AV60" s="548"/>
      <c r="AW60" s="548"/>
    </row>
    <row r="61" spans="1:49" ht="18">
      <c r="A61" s="557">
        <v>60</v>
      </c>
      <c r="B61" s="529" t="s">
        <v>369</v>
      </c>
      <c r="C61" s="535" t="s">
        <v>232</v>
      </c>
      <c r="D61" s="510" t="s">
        <v>412</v>
      </c>
      <c r="E61" s="536" t="s">
        <v>413</v>
      </c>
      <c r="F61" s="531" t="s">
        <v>459</v>
      </c>
      <c r="G61" s="558" t="s">
        <v>301</v>
      </c>
      <c r="H61" s="558" t="s">
        <v>415</v>
      </c>
      <c r="I61" s="518" t="s">
        <v>69</v>
      </c>
      <c r="J61" s="515" t="s">
        <v>69</v>
      </c>
      <c r="K61" s="516" t="s">
        <v>108</v>
      </c>
      <c r="L61" s="518" t="s">
        <v>69</v>
      </c>
      <c r="M61" s="534" t="s">
        <v>69</v>
      </c>
      <c r="N61" s="534" t="s">
        <v>69</v>
      </c>
      <c r="O61" s="515" t="s">
        <v>69</v>
      </c>
      <c r="P61" s="517" t="s">
        <v>69</v>
      </c>
      <c r="Q61" s="518" t="s">
        <v>69</v>
      </c>
      <c r="R61" s="540" t="s">
        <v>108</v>
      </c>
      <c r="S61" s="519" t="s">
        <v>416</v>
      </c>
      <c r="T61" s="514" t="s">
        <v>416</v>
      </c>
      <c r="U61" s="515" t="s">
        <v>69</v>
      </c>
      <c r="V61" s="517" t="s">
        <v>69</v>
      </c>
      <c r="W61" s="517" t="s">
        <v>69</v>
      </c>
      <c r="X61" s="568" t="s">
        <v>69</v>
      </c>
      <c r="Y61" s="516" t="s">
        <v>108</v>
      </c>
      <c r="Z61" s="517" t="s">
        <v>69</v>
      </c>
      <c r="AA61" s="517" t="s">
        <v>69</v>
      </c>
      <c r="AB61" s="517" t="s">
        <v>69</v>
      </c>
      <c r="AC61" s="517" t="s">
        <v>69</v>
      </c>
      <c r="AD61" s="517" t="s">
        <v>69</v>
      </c>
      <c r="AE61" s="517" t="s">
        <v>69</v>
      </c>
      <c r="AF61" s="516" t="s">
        <v>108</v>
      </c>
      <c r="AG61" s="517" t="s">
        <v>69</v>
      </c>
      <c r="AH61" s="517" t="s">
        <v>69</v>
      </c>
      <c r="AI61" s="517" t="s">
        <v>69</v>
      </c>
      <c r="AJ61" s="519" t="s">
        <v>416</v>
      </c>
      <c r="AK61" s="517" t="s">
        <v>69</v>
      </c>
      <c r="AL61" s="517" t="s">
        <v>69</v>
      </c>
      <c r="AM61" s="516" t="s">
        <v>108</v>
      </c>
      <c r="AN61" s="548">
        <v>3</v>
      </c>
      <c r="AO61" s="548">
        <v>0</v>
      </c>
      <c r="AP61" s="548">
        <v>0</v>
      </c>
      <c r="AQ61" s="548">
        <v>0</v>
      </c>
      <c r="AR61" s="548">
        <v>0</v>
      </c>
      <c r="AS61" s="548">
        <v>0</v>
      </c>
      <c r="AT61" s="548">
        <v>3</v>
      </c>
      <c r="AU61" s="548"/>
      <c r="AV61" s="548"/>
      <c r="AW61" s="548"/>
    </row>
    <row r="62" spans="1:49" ht="18">
      <c r="A62" s="557">
        <v>61</v>
      </c>
      <c r="B62" s="529" t="s">
        <v>327</v>
      </c>
      <c r="C62" s="500" t="s">
        <v>52</v>
      </c>
      <c r="D62" s="510" t="s">
        <v>412</v>
      </c>
      <c r="E62" s="536" t="s">
        <v>443</v>
      </c>
      <c r="F62" s="531" t="s">
        <v>428</v>
      </c>
      <c r="G62" s="558" t="s">
        <v>133</v>
      </c>
      <c r="H62" s="558" t="s">
        <v>415</v>
      </c>
      <c r="I62" s="518" t="s">
        <v>69</v>
      </c>
      <c r="J62" s="515" t="s">
        <v>69</v>
      </c>
      <c r="K62" s="516" t="s">
        <v>108</v>
      </c>
      <c r="L62" s="518" t="s">
        <v>69</v>
      </c>
      <c r="M62" s="534" t="s">
        <v>69</v>
      </c>
      <c r="N62" s="534" t="s">
        <v>69</v>
      </c>
      <c r="O62" s="515" t="s">
        <v>69</v>
      </c>
      <c r="P62" s="517" t="s">
        <v>69</v>
      </c>
      <c r="Q62" s="518" t="s">
        <v>69</v>
      </c>
      <c r="R62" s="540" t="s">
        <v>108</v>
      </c>
      <c r="S62" s="517" t="s">
        <v>69</v>
      </c>
      <c r="T62" s="517" t="s">
        <v>69</v>
      </c>
      <c r="U62" s="517" t="s">
        <v>69</v>
      </c>
      <c r="V62" s="517" t="s">
        <v>69</v>
      </c>
      <c r="W62" s="517" t="s">
        <v>69</v>
      </c>
      <c r="X62" s="539" t="s">
        <v>426</v>
      </c>
      <c r="Y62" s="516" t="s">
        <v>108</v>
      </c>
      <c r="Z62" s="517" t="s">
        <v>69</v>
      </c>
      <c r="AA62" s="517" t="s">
        <v>69</v>
      </c>
      <c r="AB62" s="517" t="s">
        <v>69</v>
      </c>
      <c r="AC62" s="517" t="s">
        <v>69</v>
      </c>
      <c r="AD62" s="517" t="s">
        <v>69</v>
      </c>
      <c r="AE62" s="517" t="s">
        <v>69</v>
      </c>
      <c r="AF62" s="516" t="s">
        <v>108</v>
      </c>
      <c r="AG62" s="517" t="s">
        <v>69</v>
      </c>
      <c r="AH62" s="517" t="s">
        <v>69</v>
      </c>
      <c r="AI62" s="517" t="s">
        <v>69</v>
      </c>
      <c r="AJ62" s="519" t="s">
        <v>416</v>
      </c>
      <c r="AK62" s="517" t="s">
        <v>69</v>
      </c>
      <c r="AL62" s="517" t="s">
        <v>69</v>
      </c>
      <c r="AM62" s="516" t="s">
        <v>108</v>
      </c>
      <c r="AN62" s="548">
        <v>1</v>
      </c>
      <c r="AO62" s="548">
        <v>0</v>
      </c>
      <c r="AP62" s="548">
        <v>0.5</v>
      </c>
      <c r="AQ62" s="548">
        <v>0</v>
      </c>
      <c r="AR62" s="548">
        <v>0</v>
      </c>
      <c r="AS62" s="548">
        <v>0</v>
      </c>
      <c r="AT62" s="548">
        <v>1.5</v>
      </c>
      <c r="AU62" s="548"/>
      <c r="AV62" s="548"/>
      <c r="AW62" s="548"/>
    </row>
    <row r="63" spans="1:49" ht="18">
      <c r="A63" s="557">
        <v>62</v>
      </c>
      <c r="B63" s="529" t="s">
        <v>311</v>
      </c>
      <c r="C63" s="499" t="s">
        <v>53</v>
      </c>
      <c r="D63" s="510" t="s">
        <v>412</v>
      </c>
      <c r="E63" s="536" t="s">
        <v>413</v>
      </c>
      <c r="F63" s="531" t="s">
        <v>476</v>
      </c>
      <c r="G63" s="558" t="s">
        <v>291</v>
      </c>
      <c r="H63" s="558" t="s">
        <v>415</v>
      </c>
      <c r="I63" s="518" t="s">
        <v>69</v>
      </c>
      <c r="J63" s="515" t="s">
        <v>69</v>
      </c>
      <c r="K63" s="516" t="s">
        <v>108</v>
      </c>
      <c r="L63" s="543" t="s">
        <v>69</v>
      </c>
      <c r="M63" s="518" t="s">
        <v>69</v>
      </c>
      <c r="N63" s="534" t="s">
        <v>69</v>
      </c>
      <c r="O63" s="515" t="s">
        <v>69</v>
      </c>
      <c r="P63" s="517" t="s">
        <v>69</v>
      </c>
      <c r="Q63" s="518" t="s">
        <v>69</v>
      </c>
      <c r="R63" s="540" t="s">
        <v>108</v>
      </c>
      <c r="S63" s="517" t="s">
        <v>69</v>
      </c>
      <c r="T63" s="517" t="s">
        <v>69</v>
      </c>
      <c r="U63" s="517" t="s">
        <v>69</v>
      </c>
      <c r="V63" s="517" t="s">
        <v>69</v>
      </c>
      <c r="W63" s="517" t="s">
        <v>69</v>
      </c>
      <c r="X63" s="517" t="s">
        <v>69</v>
      </c>
      <c r="Y63" s="516" t="s">
        <v>108</v>
      </c>
      <c r="Z63" s="517" t="s">
        <v>69</v>
      </c>
      <c r="AA63" s="517" t="s">
        <v>69</v>
      </c>
      <c r="AB63" s="517" t="s">
        <v>69</v>
      </c>
      <c r="AC63" s="517" t="s">
        <v>69</v>
      </c>
      <c r="AD63" s="517" t="s">
        <v>69</v>
      </c>
      <c r="AE63" s="519" t="s">
        <v>416</v>
      </c>
      <c r="AF63" s="516" t="s">
        <v>108</v>
      </c>
      <c r="AG63" s="517" t="s">
        <v>69</v>
      </c>
      <c r="AH63" s="517" t="s">
        <v>69</v>
      </c>
      <c r="AI63" s="517" t="s">
        <v>69</v>
      </c>
      <c r="AJ63" s="517" t="s">
        <v>69</v>
      </c>
      <c r="AK63" s="517" t="s">
        <v>69</v>
      </c>
      <c r="AL63" s="517" t="s">
        <v>69</v>
      </c>
      <c r="AM63" s="516" t="s">
        <v>108</v>
      </c>
      <c r="AN63" s="548">
        <v>1</v>
      </c>
      <c r="AO63" s="548">
        <v>0</v>
      </c>
      <c r="AP63" s="548">
        <v>0</v>
      </c>
      <c r="AQ63" s="548">
        <v>0</v>
      </c>
      <c r="AR63" s="548">
        <v>0</v>
      </c>
      <c r="AS63" s="548">
        <v>0</v>
      </c>
      <c r="AT63" s="548">
        <v>1</v>
      </c>
      <c r="AU63" s="548"/>
      <c r="AV63" s="548"/>
      <c r="AW63" s="548"/>
    </row>
    <row r="64" spans="1:49" ht="18">
      <c r="A64" s="557">
        <v>63</v>
      </c>
      <c r="B64" s="529" t="s">
        <v>390</v>
      </c>
      <c r="C64" s="499" t="s">
        <v>274</v>
      </c>
      <c r="D64" s="510" t="s">
        <v>412</v>
      </c>
      <c r="E64" s="536" t="s">
        <v>462</v>
      </c>
      <c r="F64" s="531" t="s">
        <v>480</v>
      </c>
      <c r="G64" s="558" t="s">
        <v>296</v>
      </c>
      <c r="H64" s="558" t="s">
        <v>415</v>
      </c>
      <c r="I64" s="518" t="s">
        <v>69</v>
      </c>
      <c r="J64" s="515" t="s">
        <v>69</v>
      </c>
      <c r="K64" s="516" t="s">
        <v>108</v>
      </c>
      <c r="L64" s="509" t="s">
        <v>69</v>
      </c>
      <c r="M64" s="518" t="s">
        <v>69</v>
      </c>
      <c r="N64" s="534" t="s">
        <v>69</v>
      </c>
      <c r="O64" s="534" t="s">
        <v>69</v>
      </c>
      <c r="P64" s="534" t="s">
        <v>69</v>
      </c>
      <c r="Q64" s="534" t="s">
        <v>69</v>
      </c>
      <c r="R64" s="540" t="s">
        <v>108</v>
      </c>
      <c r="S64" s="517" t="s">
        <v>69</v>
      </c>
      <c r="T64" s="514" t="s">
        <v>416</v>
      </c>
      <c r="U64" s="519" t="s">
        <v>416</v>
      </c>
      <c r="V64" s="519" t="s">
        <v>416</v>
      </c>
      <c r="W64" s="519" t="s">
        <v>416</v>
      </c>
      <c r="X64" s="519" t="s">
        <v>416</v>
      </c>
      <c r="Y64" s="516" t="s">
        <v>108</v>
      </c>
      <c r="Z64" s="517" t="s">
        <v>69</v>
      </c>
      <c r="AA64" s="517" t="s">
        <v>69</v>
      </c>
      <c r="AB64" s="517" t="s">
        <v>69</v>
      </c>
      <c r="AC64" s="519" t="s">
        <v>416</v>
      </c>
      <c r="AD64" s="519" t="s">
        <v>416</v>
      </c>
      <c r="AE64" s="519" t="s">
        <v>416</v>
      </c>
      <c r="AF64" s="516" t="s">
        <v>108</v>
      </c>
      <c r="AG64" s="519" t="s">
        <v>416</v>
      </c>
      <c r="AH64" s="519" t="s">
        <v>416</v>
      </c>
      <c r="AI64" s="519" t="s">
        <v>416</v>
      </c>
      <c r="AJ64" s="519" t="s">
        <v>416</v>
      </c>
      <c r="AK64" s="519" t="s">
        <v>416</v>
      </c>
      <c r="AL64" s="519" t="s">
        <v>416</v>
      </c>
      <c r="AM64" s="516" t="s">
        <v>108</v>
      </c>
      <c r="AN64" s="548">
        <v>14</v>
      </c>
      <c r="AO64" s="548">
        <v>0</v>
      </c>
      <c r="AP64" s="548">
        <v>0</v>
      </c>
      <c r="AQ64" s="548">
        <v>0</v>
      </c>
      <c r="AR64" s="548">
        <v>0</v>
      </c>
      <c r="AS64" s="548">
        <v>0</v>
      </c>
      <c r="AT64" s="548">
        <v>14</v>
      </c>
      <c r="AU64" s="548"/>
      <c r="AV64" s="548"/>
      <c r="AW64" s="548"/>
    </row>
    <row r="65" spans="1:49" ht="18">
      <c r="A65" s="557">
        <v>64</v>
      </c>
      <c r="B65" s="529" t="s">
        <v>397</v>
      </c>
      <c r="C65" s="499" t="s">
        <v>481</v>
      </c>
      <c r="D65" s="510" t="s">
        <v>412</v>
      </c>
      <c r="E65" s="536" t="s">
        <v>418</v>
      </c>
      <c r="F65" s="531" t="s">
        <v>482</v>
      </c>
      <c r="G65" s="558" t="s">
        <v>396</v>
      </c>
      <c r="H65" s="558" t="s">
        <v>415</v>
      </c>
      <c r="I65" s="514" t="s">
        <v>416</v>
      </c>
      <c r="J65" s="527" t="s">
        <v>416</v>
      </c>
      <c r="K65" s="516" t="s">
        <v>108</v>
      </c>
      <c r="L65" s="517" t="s">
        <v>69</v>
      </c>
      <c r="M65" s="518" t="s">
        <v>69</v>
      </c>
      <c r="N65" s="534" t="s">
        <v>69</v>
      </c>
      <c r="O65" s="534" t="s">
        <v>69</v>
      </c>
      <c r="P65" s="534" t="s">
        <v>69</v>
      </c>
      <c r="Q65" s="534" t="s">
        <v>69</v>
      </c>
      <c r="R65" s="540" t="s">
        <v>108</v>
      </c>
      <c r="S65" s="517" t="s">
        <v>69</v>
      </c>
      <c r="T65" s="517" t="s">
        <v>69</v>
      </c>
      <c r="U65" s="519" t="s">
        <v>416</v>
      </c>
      <c r="V65" s="517" t="s">
        <v>69</v>
      </c>
      <c r="W65" s="517" t="s">
        <v>69</v>
      </c>
      <c r="X65" s="517" t="s">
        <v>69</v>
      </c>
      <c r="Y65" s="516" t="s">
        <v>108</v>
      </c>
      <c r="Z65" s="517" t="s">
        <v>69</v>
      </c>
      <c r="AA65" s="517" t="s">
        <v>69</v>
      </c>
      <c r="AB65" s="517" t="s">
        <v>69</v>
      </c>
      <c r="AC65" s="517" t="s">
        <v>69</v>
      </c>
      <c r="AD65" s="517" t="s">
        <v>69</v>
      </c>
      <c r="AE65" s="517" t="s">
        <v>69</v>
      </c>
      <c r="AF65" s="516" t="s">
        <v>108</v>
      </c>
      <c r="AG65" s="517" t="s">
        <v>69</v>
      </c>
      <c r="AH65" s="517" t="s">
        <v>69</v>
      </c>
      <c r="AI65" s="517" t="s">
        <v>69</v>
      </c>
      <c r="AJ65" s="517" t="s">
        <v>69</v>
      </c>
      <c r="AK65" s="517" t="s">
        <v>69</v>
      </c>
      <c r="AL65" s="517" t="s">
        <v>69</v>
      </c>
      <c r="AM65" s="516" t="s">
        <v>108</v>
      </c>
      <c r="AN65" s="548">
        <v>3</v>
      </c>
      <c r="AO65" s="548">
        <v>0</v>
      </c>
      <c r="AP65" s="548">
        <v>0</v>
      </c>
      <c r="AQ65" s="548">
        <v>0</v>
      </c>
      <c r="AR65" s="548">
        <v>0</v>
      </c>
      <c r="AS65" s="548">
        <v>0</v>
      </c>
      <c r="AT65" s="548">
        <v>3</v>
      </c>
      <c r="AU65" s="548"/>
      <c r="AV65" s="548"/>
      <c r="AW65" s="548"/>
    </row>
    <row r="66" spans="1:49" ht="18">
      <c r="A66" s="557">
        <v>65</v>
      </c>
      <c r="B66" s="529" t="s">
        <v>483</v>
      </c>
      <c r="C66" s="499" t="s">
        <v>484</v>
      </c>
      <c r="D66" s="510" t="s">
        <v>412</v>
      </c>
      <c r="E66" s="536" t="s">
        <v>418</v>
      </c>
      <c r="F66" s="531" t="s">
        <v>485</v>
      </c>
      <c r="G66" s="558" t="s">
        <v>286</v>
      </c>
      <c r="H66" s="558" t="s">
        <v>415</v>
      </c>
      <c r="I66" s="514" t="s">
        <v>410</v>
      </c>
      <c r="J66" s="527" t="s">
        <v>410</v>
      </c>
      <c r="K66" s="527" t="s">
        <v>410</v>
      </c>
      <c r="L66" s="527" t="s">
        <v>410</v>
      </c>
      <c r="M66" s="527" t="s">
        <v>410</v>
      </c>
      <c r="N66" s="527" t="s">
        <v>410</v>
      </c>
      <c r="O66" s="527" t="s">
        <v>410</v>
      </c>
      <c r="P66" s="527" t="s">
        <v>410</v>
      </c>
      <c r="Q66" s="527" t="s">
        <v>410</v>
      </c>
      <c r="R66" s="527" t="s">
        <v>410</v>
      </c>
      <c r="S66" s="527" t="s">
        <v>410</v>
      </c>
      <c r="T66" s="527" t="s">
        <v>410</v>
      </c>
      <c r="U66" s="527" t="s">
        <v>410</v>
      </c>
      <c r="V66" s="527" t="s">
        <v>410</v>
      </c>
      <c r="W66" s="527" t="s">
        <v>410</v>
      </c>
      <c r="X66" s="527" t="s">
        <v>410</v>
      </c>
      <c r="Y66" s="527" t="s">
        <v>410</v>
      </c>
      <c r="Z66" s="515" t="s">
        <v>69</v>
      </c>
      <c r="AA66" s="517" t="s">
        <v>69</v>
      </c>
      <c r="AB66" s="517" t="s">
        <v>69</v>
      </c>
      <c r="AC66" s="517" t="s">
        <v>69</v>
      </c>
      <c r="AD66" s="517" t="s">
        <v>69</v>
      </c>
      <c r="AE66" s="518" t="s">
        <v>69</v>
      </c>
      <c r="AF66" s="540" t="s">
        <v>108</v>
      </c>
      <c r="AG66" s="517" t="s">
        <v>69</v>
      </c>
      <c r="AH66" s="517" t="s">
        <v>69</v>
      </c>
      <c r="AI66" s="517" t="s">
        <v>69</v>
      </c>
      <c r="AJ66" s="517" t="s">
        <v>69</v>
      </c>
      <c r="AK66" s="517" t="s">
        <v>69</v>
      </c>
      <c r="AL66" s="517" t="s">
        <v>69</v>
      </c>
      <c r="AM66" s="516" t="s">
        <v>108</v>
      </c>
      <c r="AN66" s="548">
        <v>0</v>
      </c>
      <c r="AO66" s="548">
        <v>0</v>
      </c>
      <c r="AP66" s="548">
        <v>0</v>
      </c>
      <c r="AQ66" s="548">
        <v>0</v>
      </c>
      <c r="AR66" s="548">
        <v>0</v>
      </c>
      <c r="AS66" s="548">
        <v>17</v>
      </c>
      <c r="AT66" s="548">
        <v>0</v>
      </c>
      <c r="AU66" s="548"/>
      <c r="AV66" s="548"/>
      <c r="AW66" s="548"/>
    </row>
    <row r="67" spans="1:49" ht="18">
      <c r="A67" s="557">
        <v>66</v>
      </c>
      <c r="B67" s="529" t="s">
        <v>363</v>
      </c>
      <c r="C67" s="499" t="s">
        <v>260</v>
      </c>
      <c r="D67" s="510" t="s">
        <v>412</v>
      </c>
      <c r="E67" s="536" t="s">
        <v>462</v>
      </c>
      <c r="F67" s="531" t="s">
        <v>474</v>
      </c>
      <c r="G67" s="558" t="s">
        <v>284</v>
      </c>
      <c r="H67" s="558" t="s">
        <v>415</v>
      </c>
      <c r="I67" s="514" t="s">
        <v>416</v>
      </c>
      <c r="J67" s="515" t="s">
        <v>69</v>
      </c>
      <c r="K67" s="516" t="s">
        <v>108</v>
      </c>
      <c r="L67" s="517" t="s">
        <v>69</v>
      </c>
      <c r="M67" s="518" t="s">
        <v>69</v>
      </c>
      <c r="N67" s="534" t="s">
        <v>69</v>
      </c>
      <c r="O67" s="534" t="s">
        <v>69</v>
      </c>
      <c r="P67" s="534" t="s">
        <v>69</v>
      </c>
      <c r="Q67" s="534" t="s">
        <v>69</v>
      </c>
      <c r="R67" s="540" t="s">
        <v>108</v>
      </c>
      <c r="S67" s="517" t="s">
        <v>69</v>
      </c>
      <c r="T67" s="517" t="s">
        <v>69</v>
      </c>
      <c r="U67" s="517" t="s">
        <v>69</v>
      </c>
      <c r="V67" s="517" t="s">
        <v>69</v>
      </c>
      <c r="W67" s="517" t="s">
        <v>69</v>
      </c>
      <c r="X67" s="517" t="s">
        <v>69</v>
      </c>
      <c r="Y67" s="516" t="s">
        <v>108</v>
      </c>
      <c r="Z67" s="517" t="s">
        <v>69</v>
      </c>
      <c r="AA67" s="517" t="s">
        <v>69</v>
      </c>
      <c r="AB67" s="517" t="s">
        <v>69</v>
      </c>
      <c r="AC67" s="517" t="s">
        <v>70</v>
      </c>
      <c r="AD67" s="517" t="s">
        <v>69</v>
      </c>
      <c r="AE67" s="548" t="s">
        <v>69</v>
      </c>
      <c r="AF67" s="540" t="s">
        <v>108</v>
      </c>
      <c r="AG67" s="517" t="s">
        <v>69</v>
      </c>
      <c r="AH67" s="517" t="s">
        <v>69</v>
      </c>
      <c r="AI67" s="517" t="s">
        <v>69</v>
      </c>
      <c r="AJ67" s="517" t="s">
        <v>69</v>
      </c>
      <c r="AK67" s="517" t="s">
        <v>69</v>
      </c>
      <c r="AL67" s="517" t="s">
        <v>69</v>
      </c>
      <c r="AM67" s="516" t="s">
        <v>108</v>
      </c>
      <c r="AN67" s="548">
        <v>1</v>
      </c>
      <c r="AO67" s="548">
        <v>0</v>
      </c>
      <c r="AP67" s="548">
        <v>0</v>
      </c>
      <c r="AQ67" s="548">
        <v>0</v>
      </c>
      <c r="AR67" s="548">
        <v>0</v>
      </c>
      <c r="AS67" s="548">
        <v>0</v>
      </c>
      <c r="AT67" s="548">
        <v>1</v>
      </c>
      <c r="AU67" s="548"/>
      <c r="AV67" s="548"/>
      <c r="AW67" s="548"/>
    </row>
    <row r="68" spans="1:49" ht="18">
      <c r="A68" s="557">
        <v>67</v>
      </c>
      <c r="B68" s="529" t="s">
        <v>389</v>
      </c>
      <c r="C68" s="541" t="s">
        <v>486</v>
      </c>
      <c r="D68" s="510" t="s">
        <v>412</v>
      </c>
      <c r="E68" s="536" t="s">
        <v>462</v>
      </c>
      <c r="F68" s="531" t="s">
        <v>428</v>
      </c>
      <c r="G68" s="558" t="s">
        <v>133</v>
      </c>
      <c r="H68" s="558" t="s">
        <v>487</v>
      </c>
      <c r="I68" s="518" t="s">
        <v>69</v>
      </c>
      <c r="J68" s="515" t="s">
        <v>69</v>
      </c>
      <c r="K68" s="516" t="s">
        <v>108</v>
      </c>
      <c r="L68" s="517" t="s">
        <v>69</v>
      </c>
      <c r="M68" s="517" t="s">
        <v>69</v>
      </c>
      <c r="N68" s="517" t="s">
        <v>69</v>
      </c>
      <c r="O68" s="519" t="s">
        <v>416</v>
      </c>
      <c r="P68" s="517" t="s">
        <v>69</v>
      </c>
      <c r="Q68" s="518" t="s">
        <v>69</v>
      </c>
      <c r="R68" s="540" t="s">
        <v>108</v>
      </c>
      <c r="S68" s="517" t="s">
        <v>69</v>
      </c>
      <c r="T68" s="519" t="s">
        <v>416</v>
      </c>
      <c r="U68" s="519" t="s">
        <v>410</v>
      </c>
      <c r="V68" s="519" t="s">
        <v>410</v>
      </c>
      <c r="W68" s="519" t="s">
        <v>410</v>
      </c>
      <c r="X68" s="519" t="s">
        <v>410</v>
      </c>
      <c r="Y68" s="519" t="s">
        <v>410</v>
      </c>
      <c r="Z68" s="519" t="s">
        <v>410</v>
      </c>
      <c r="AA68" s="519" t="s">
        <v>410</v>
      </c>
      <c r="AB68" s="519" t="s">
        <v>410</v>
      </c>
      <c r="AC68" s="519" t="s">
        <v>410</v>
      </c>
      <c r="AD68" s="519" t="s">
        <v>410</v>
      </c>
      <c r="AE68" s="556" t="s">
        <v>410</v>
      </c>
      <c r="AF68" s="519" t="s">
        <v>410</v>
      </c>
      <c r="AG68" s="519" t="s">
        <v>410</v>
      </c>
      <c r="AH68" s="519" t="s">
        <v>410</v>
      </c>
      <c r="AI68" s="519" t="s">
        <v>410</v>
      </c>
      <c r="AJ68" s="519" t="s">
        <v>410</v>
      </c>
      <c r="AK68" s="519" t="s">
        <v>410</v>
      </c>
      <c r="AL68" s="519" t="s">
        <v>410</v>
      </c>
      <c r="AM68" s="519" t="s">
        <v>410</v>
      </c>
      <c r="AN68" s="548">
        <v>2</v>
      </c>
      <c r="AO68" s="548">
        <v>0</v>
      </c>
      <c r="AP68" s="548">
        <v>0</v>
      </c>
      <c r="AQ68" s="548">
        <v>0</v>
      </c>
      <c r="AR68" s="548">
        <v>0</v>
      </c>
      <c r="AS68" s="548">
        <v>19</v>
      </c>
      <c r="AT68" s="548">
        <v>2</v>
      </c>
      <c r="AU68" s="548"/>
      <c r="AV68" s="548"/>
      <c r="AW68" s="548"/>
    </row>
    <row r="69" spans="1:49" ht="18">
      <c r="A69" s="557">
        <v>68</v>
      </c>
      <c r="B69" s="529" t="s">
        <v>329</v>
      </c>
      <c r="C69" s="499" t="s">
        <v>55</v>
      </c>
      <c r="D69" s="510" t="s">
        <v>412</v>
      </c>
      <c r="E69" s="536" t="s">
        <v>462</v>
      </c>
      <c r="F69" s="531" t="s">
        <v>467</v>
      </c>
      <c r="G69" s="558" t="s">
        <v>296</v>
      </c>
      <c r="H69" s="558" t="s">
        <v>415</v>
      </c>
      <c r="I69" s="518" t="s">
        <v>69</v>
      </c>
      <c r="J69" s="515" t="s">
        <v>69</v>
      </c>
      <c r="K69" s="516" t="s">
        <v>108</v>
      </c>
      <c r="L69" s="517" t="s">
        <v>69</v>
      </c>
      <c r="M69" s="517" t="s">
        <v>69</v>
      </c>
      <c r="N69" s="517" t="s">
        <v>69</v>
      </c>
      <c r="O69" s="517" t="s">
        <v>69</v>
      </c>
      <c r="P69" s="517" t="s">
        <v>69</v>
      </c>
      <c r="Q69" s="518" t="s">
        <v>69</v>
      </c>
      <c r="R69" s="540" t="s">
        <v>108</v>
      </c>
      <c r="S69" s="517" t="s">
        <v>69</v>
      </c>
      <c r="T69" s="517" t="s">
        <v>69</v>
      </c>
      <c r="U69" s="517" t="s">
        <v>69</v>
      </c>
      <c r="V69" s="517" t="s">
        <v>69</v>
      </c>
      <c r="W69" s="517" t="s">
        <v>69</v>
      </c>
      <c r="X69" s="517" t="s">
        <v>69</v>
      </c>
      <c r="Y69" s="516" t="s">
        <v>108</v>
      </c>
      <c r="Z69" s="517" t="s">
        <v>69</v>
      </c>
      <c r="AA69" s="517" t="s">
        <v>69</v>
      </c>
      <c r="AB69" s="517" t="s">
        <v>69</v>
      </c>
      <c r="AC69" s="517" t="s">
        <v>69</v>
      </c>
      <c r="AD69" s="517" t="s">
        <v>69</v>
      </c>
      <c r="AE69" s="517" t="s">
        <v>69</v>
      </c>
      <c r="AF69" s="516" t="s">
        <v>108</v>
      </c>
      <c r="AG69" s="517" t="s">
        <v>69</v>
      </c>
      <c r="AH69" s="517" t="s">
        <v>69</v>
      </c>
      <c r="AI69" s="517" t="s">
        <v>69</v>
      </c>
      <c r="AJ69" s="517" t="s">
        <v>69</v>
      </c>
      <c r="AK69" s="517" t="s">
        <v>69</v>
      </c>
      <c r="AL69" s="517" t="s">
        <v>69</v>
      </c>
      <c r="AM69" s="516" t="s">
        <v>108</v>
      </c>
      <c r="AN69" s="548">
        <v>0</v>
      </c>
      <c r="AO69" s="548">
        <v>0</v>
      </c>
      <c r="AP69" s="548">
        <v>0</v>
      </c>
      <c r="AQ69" s="548">
        <v>0</v>
      </c>
      <c r="AR69" s="548">
        <v>0</v>
      </c>
      <c r="AS69" s="548">
        <v>0</v>
      </c>
      <c r="AT69" s="548">
        <v>0</v>
      </c>
      <c r="AU69" s="548"/>
      <c r="AV69" s="548"/>
      <c r="AW69" s="548"/>
    </row>
    <row r="70" spans="1:49" ht="18">
      <c r="A70" s="557">
        <v>69</v>
      </c>
      <c r="B70" s="529" t="s">
        <v>365</v>
      </c>
      <c r="C70" s="499" t="s">
        <v>233</v>
      </c>
      <c r="D70" s="510" t="s">
        <v>412</v>
      </c>
      <c r="E70" s="536" t="s">
        <v>413</v>
      </c>
      <c r="F70" s="531" t="s">
        <v>488</v>
      </c>
      <c r="G70" s="558" t="s">
        <v>303</v>
      </c>
      <c r="H70" s="558" t="s">
        <v>415</v>
      </c>
      <c r="I70" s="518" t="s">
        <v>69</v>
      </c>
      <c r="J70" s="515" t="s">
        <v>69</v>
      </c>
      <c r="K70" s="516" t="s">
        <v>108</v>
      </c>
      <c r="L70" s="517" t="s">
        <v>69</v>
      </c>
      <c r="M70" s="517" t="s">
        <v>69</v>
      </c>
      <c r="N70" s="517" t="s">
        <v>69</v>
      </c>
      <c r="O70" s="517" t="s">
        <v>69</v>
      </c>
      <c r="P70" s="517" t="s">
        <v>69</v>
      </c>
      <c r="Q70" s="518" t="s">
        <v>69</v>
      </c>
      <c r="R70" s="540" t="s">
        <v>108</v>
      </c>
      <c r="S70" s="517" t="s">
        <v>69</v>
      </c>
      <c r="T70" s="517" t="s">
        <v>69</v>
      </c>
      <c r="U70" s="517" t="s">
        <v>69</v>
      </c>
      <c r="V70" s="517" t="s">
        <v>69</v>
      </c>
      <c r="W70" s="517" t="s">
        <v>69</v>
      </c>
      <c r="X70" s="517" t="s">
        <v>69</v>
      </c>
      <c r="Y70" s="516" t="s">
        <v>108</v>
      </c>
      <c r="Z70" s="517" t="s">
        <v>69</v>
      </c>
      <c r="AA70" s="517" t="s">
        <v>69</v>
      </c>
      <c r="AB70" s="517" t="s">
        <v>69</v>
      </c>
      <c r="AC70" s="517" t="s">
        <v>69</v>
      </c>
      <c r="AD70" s="517" t="s">
        <v>69</v>
      </c>
      <c r="AE70" s="517" t="s">
        <v>69</v>
      </c>
      <c r="AF70" s="516" t="s">
        <v>108</v>
      </c>
      <c r="AG70" s="517" t="s">
        <v>69</v>
      </c>
      <c r="AH70" s="517" t="s">
        <v>69</v>
      </c>
      <c r="AI70" s="566" t="s">
        <v>111</v>
      </c>
      <c r="AJ70" s="517" t="s">
        <v>69</v>
      </c>
      <c r="AK70" s="517" t="s">
        <v>69</v>
      </c>
      <c r="AL70" s="517" t="s">
        <v>69</v>
      </c>
      <c r="AM70" s="516" t="s">
        <v>108</v>
      </c>
      <c r="AN70" s="548">
        <v>0</v>
      </c>
      <c r="AO70" s="548">
        <v>1</v>
      </c>
      <c r="AP70" s="548">
        <v>0</v>
      </c>
      <c r="AQ70" s="548">
        <v>0</v>
      </c>
      <c r="AR70" s="548">
        <v>0</v>
      </c>
      <c r="AS70" s="548">
        <v>0</v>
      </c>
      <c r="AT70" s="548">
        <v>0</v>
      </c>
      <c r="AU70" s="548"/>
      <c r="AV70" s="548"/>
      <c r="AW70" s="548"/>
    </row>
    <row r="71" spans="1:49" ht="18">
      <c r="A71" s="557">
        <v>70</v>
      </c>
      <c r="B71" s="529" t="s">
        <v>333</v>
      </c>
      <c r="C71" s="499" t="s">
        <v>57</v>
      </c>
      <c r="D71" s="510" t="s">
        <v>412</v>
      </c>
      <c r="E71" s="536" t="s">
        <v>443</v>
      </c>
      <c r="F71" s="531" t="s">
        <v>453</v>
      </c>
      <c r="G71" s="558" t="s">
        <v>289</v>
      </c>
      <c r="H71" s="558" t="s">
        <v>415</v>
      </c>
      <c r="I71" s="518" t="s">
        <v>69</v>
      </c>
      <c r="J71" s="515" t="s">
        <v>69</v>
      </c>
      <c r="K71" s="516" t="s">
        <v>108</v>
      </c>
      <c r="L71" s="517" t="s">
        <v>69</v>
      </c>
      <c r="M71" s="517" t="s">
        <v>69</v>
      </c>
      <c r="N71" s="517" t="s">
        <v>69</v>
      </c>
      <c r="O71" s="517" t="s">
        <v>69</v>
      </c>
      <c r="P71" s="517" t="s">
        <v>69</v>
      </c>
      <c r="Q71" s="514" t="s">
        <v>416</v>
      </c>
      <c r="R71" s="540" t="s">
        <v>108</v>
      </c>
      <c r="S71" s="517" t="s">
        <v>69</v>
      </c>
      <c r="T71" s="517" t="s">
        <v>69</v>
      </c>
      <c r="U71" s="517" t="s">
        <v>69</v>
      </c>
      <c r="V71" s="517" t="s">
        <v>69</v>
      </c>
      <c r="W71" s="517" t="s">
        <v>69</v>
      </c>
      <c r="X71" s="517" t="s">
        <v>69</v>
      </c>
      <c r="Y71" s="516" t="s">
        <v>108</v>
      </c>
      <c r="Z71" s="517" t="s">
        <v>69</v>
      </c>
      <c r="AA71" s="517" t="s">
        <v>69</v>
      </c>
      <c r="AB71" s="517" t="s">
        <v>69</v>
      </c>
      <c r="AC71" s="517" t="s">
        <v>69</v>
      </c>
      <c r="AD71" s="517" t="s">
        <v>69</v>
      </c>
      <c r="AE71" s="521" t="s">
        <v>426</v>
      </c>
      <c r="AF71" s="516" t="s">
        <v>108</v>
      </c>
      <c r="AG71" s="517" t="s">
        <v>69</v>
      </c>
      <c r="AH71" s="517" t="s">
        <v>69</v>
      </c>
      <c r="AI71" s="517" t="s">
        <v>69</v>
      </c>
      <c r="AJ71" s="517" t="s">
        <v>69</v>
      </c>
      <c r="AK71" s="517" t="s">
        <v>69</v>
      </c>
      <c r="AL71" s="519" t="s">
        <v>416</v>
      </c>
      <c r="AM71" s="516" t="s">
        <v>108</v>
      </c>
      <c r="AN71" s="548">
        <v>2</v>
      </c>
      <c r="AO71" s="548">
        <v>0</v>
      </c>
      <c r="AP71" s="548">
        <v>0.5</v>
      </c>
      <c r="AQ71" s="548">
        <v>0</v>
      </c>
      <c r="AR71" s="548">
        <v>0</v>
      </c>
      <c r="AS71" s="548">
        <v>0</v>
      </c>
      <c r="AT71" s="548">
        <v>2.5</v>
      </c>
      <c r="AU71" s="548"/>
      <c r="AV71" s="548"/>
      <c r="AW71" s="548"/>
    </row>
    <row r="72" spans="1:49" ht="18">
      <c r="A72" s="557">
        <v>71</v>
      </c>
      <c r="B72" s="529" t="s">
        <v>386</v>
      </c>
      <c r="C72" s="499" t="s">
        <v>263</v>
      </c>
      <c r="D72" s="510" t="s">
        <v>412</v>
      </c>
      <c r="E72" s="536" t="s">
        <v>436</v>
      </c>
      <c r="F72" s="531" t="s">
        <v>489</v>
      </c>
      <c r="G72" s="558" t="s">
        <v>286</v>
      </c>
      <c r="H72" s="558" t="s">
        <v>415</v>
      </c>
      <c r="I72" s="518" t="s">
        <v>69</v>
      </c>
      <c r="J72" s="527" t="s">
        <v>416</v>
      </c>
      <c r="K72" s="516" t="s">
        <v>108</v>
      </c>
      <c r="L72" s="518" t="s">
        <v>69</v>
      </c>
      <c r="M72" s="515" t="s">
        <v>69</v>
      </c>
      <c r="N72" s="524" t="s">
        <v>267</v>
      </c>
      <c r="O72" s="517" t="s">
        <v>69</v>
      </c>
      <c r="P72" s="517" t="s">
        <v>69</v>
      </c>
      <c r="Q72" s="517" t="s">
        <v>69</v>
      </c>
      <c r="R72" s="516" t="s">
        <v>108</v>
      </c>
      <c r="S72" s="519" t="s">
        <v>416</v>
      </c>
      <c r="T72" s="514" t="s">
        <v>416</v>
      </c>
      <c r="U72" s="537" t="s">
        <v>416</v>
      </c>
      <c r="V72" s="521" t="s">
        <v>426</v>
      </c>
      <c r="W72" s="517" t="s">
        <v>69</v>
      </c>
      <c r="X72" s="517" t="s">
        <v>69</v>
      </c>
      <c r="Y72" s="516" t="s">
        <v>108</v>
      </c>
      <c r="Z72" s="517" t="s">
        <v>69</v>
      </c>
      <c r="AA72" s="519" t="s">
        <v>416</v>
      </c>
      <c r="AB72" s="517" t="s">
        <v>69</v>
      </c>
      <c r="AC72" s="517" t="s">
        <v>69</v>
      </c>
      <c r="AD72" s="517" t="s">
        <v>69</v>
      </c>
      <c r="AE72" s="519" t="s">
        <v>416</v>
      </c>
      <c r="AF72" s="516" t="s">
        <v>108</v>
      </c>
      <c r="AG72" s="517" t="s">
        <v>69</v>
      </c>
      <c r="AH72" s="517" t="s">
        <v>69</v>
      </c>
      <c r="AI72" s="517" t="s">
        <v>69</v>
      </c>
      <c r="AJ72" s="519" t="s">
        <v>416</v>
      </c>
      <c r="AK72" s="517" t="s">
        <v>69</v>
      </c>
      <c r="AL72" s="517" t="s">
        <v>69</v>
      </c>
      <c r="AM72" s="516" t="s">
        <v>108</v>
      </c>
      <c r="AN72" s="548">
        <v>7</v>
      </c>
      <c r="AO72" s="548">
        <v>0</v>
      </c>
      <c r="AP72" s="548">
        <v>0.5</v>
      </c>
      <c r="AQ72" s="548">
        <v>0</v>
      </c>
      <c r="AR72" s="548">
        <v>1</v>
      </c>
      <c r="AS72" s="548">
        <v>0</v>
      </c>
      <c r="AT72" s="548">
        <v>7.5</v>
      </c>
      <c r="AU72" s="548"/>
      <c r="AV72" s="548"/>
      <c r="AW72" s="548"/>
    </row>
    <row r="73" spans="1:49" ht="18">
      <c r="A73" s="557">
        <v>72</v>
      </c>
      <c r="B73" s="529" t="s">
        <v>377</v>
      </c>
      <c r="C73" s="499" t="s">
        <v>248</v>
      </c>
      <c r="D73" s="510" t="s">
        <v>412</v>
      </c>
      <c r="E73" s="536" t="s">
        <v>423</v>
      </c>
      <c r="F73" s="531" t="s">
        <v>490</v>
      </c>
      <c r="G73" s="564" t="s">
        <v>133</v>
      </c>
      <c r="H73" s="558" t="s">
        <v>415</v>
      </c>
      <c r="I73" s="518" t="s">
        <v>69</v>
      </c>
      <c r="J73" s="515" t="s">
        <v>69</v>
      </c>
      <c r="K73" s="516" t="s">
        <v>108</v>
      </c>
      <c r="L73" s="517" t="s">
        <v>69</v>
      </c>
      <c r="M73" s="517" t="s">
        <v>69</v>
      </c>
      <c r="N73" s="517" t="s">
        <v>69</v>
      </c>
      <c r="O73" s="517" t="s">
        <v>69</v>
      </c>
      <c r="P73" s="517" t="s">
        <v>69</v>
      </c>
      <c r="Q73" s="518" t="s">
        <v>69</v>
      </c>
      <c r="R73" s="540" t="s">
        <v>108</v>
      </c>
      <c r="S73" s="517" t="s">
        <v>69</v>
      </c>
      <c r="T73" s="517" t="s">
        <v>69</v>
      </c>
      <c r="U73" s="517" t="s">
        <v>69</v>
      </c>
      <c r="V73" s="517" t="s">
        <v>69</v>
      </c>
      <c r="W73" s="517" t="s">
        <v>69</v>
      </c>
      <c r="X73" s="519" t="s">
        <v>416</v>
      </c>
      <c r="Y73" s="516" t="s">
        <v>108</v>
      </c>
      <c r="Z73" s="517" t="s">
        <v>69</v>
      </c>
      <c r="AA73" s="519" t="s">
        <v>416</v>
      </c>
      <c r="AB73" s="517" t="s">
        <v>69</v>
      </c>
      <c r="AC73" s="517" t="s">
        <v>69</v>
      </c>
      <c r="AD73" s="517" t="s">
        <v>69</v>
      </c>
      <c r="AE73" s="517" t="s">
        <v>69</v>
      </c>
      <c r="AF73" s="516" t="s">
        <v>108</v>
      </c>
      <c r="AG73" s="517" t="s">
        <v>69</v>
      </c>
      <c r="AH73" s="517" t="s">
        <v>69</v>
      </c>
      <c r="AI73" s="519" t="s">
        <v>416</v>
      </c>
      <c r="AJ73" s="517" t="s">
        <v>69</v>
      </c>
      <c r="AK73" s="517" t="s">
        <v>69</v>
      </c>
      <c r="AL73" s="517" t="s">
        <v>69</v>
      </c>
      <c r="AM73" s="516" t="s">
        <v>108</v>
      </c>
      <c r="AN73" s="548">
        <v>3</v>
      </c>
      <c r="AO73" s="548">
        <v>0</v>
      </c>
      <c r="AP73" s="548">
        <v>0</v>
      </c>
      <c r="AQ73" s="548">
        <v>0</v>
      </c>
      <c r="AR73" s="548">
        <v>0</v>
      </c>
      <c r="AS73" s="548">
        <v>0</v>
      </c>
      <c r="AT73" s="548">
        <v>3</v>
      </c>
      <c r="AU73" s="548"/>
      <c r="AV73" s="548"/>
      <c r="AW73" s="548"/>
    </row>
    <row r="74" spans="1:49" ht="18">
      <c r="A74" s="557">
        <v>73</v>
      </c>
      <c r="B74" s="529" t="s">
        <v>344</v>
      </c>
      <c r="C74" s="499" t="s">
        <v>60</v>
      </c>
      <c r="D74" s="510" t="s">
        <v>412</v>
      </c>
      <c r="E74" s="536" t="s">
        <v>491</v>
      </c>
      <c r="F74" s="531" t="s">
        <v>459</v>
      </c>
      <c r="G74" s="558" t="s">
        <v>301</v>
      </c>
      <c r="H74" s="558" t="s">
        <v>415</v>
      </c>
      <c r="I74" s="518" t="s">
        <v>69</v>
      </c>
      <c r="J74" s="527" t="s">
        <v>416</v>
      </c>
      <c r="K74" s="516" t="s">
        <v>108</v>
      </c>
      <c r="L74" s="517" t="s">
        <v>69</v>
      </c>
      <c r="M74" s="517" t="s">
        <v>69</v>
      </c>
      <c r="N74" s="517" t="s">
        <v>69</v>
      </c>
      <c r="O74" s="517" t="s">
        <v>69</v>
      </c>
      <c r="P74" s="517" t="s">
        <v>69</v>
      </c>
      <c r="Q74" s="518" t="s">
        <v>69</v>
      </c>
      <c r="R74" s="540" t="s">
        <v>108</v>
      </c>
      <c r="S74" s="517" t="s">
        <v>69</v>
      </c>
      <c r="T74" s="522" t="s">
        <v>267</v>
      </c>
      <c r="U74" s="517" t="s">
        <v>69</v>
      </c>
      <c r="V74" s="522" t="s">
        <v>267</v>
      </c>
      <c r="W74" s="519" t="s">
        <v>416</v>
      </c>
      <c r="X74" s="519" t="s">
        <v>416</v>
      </c>
      <c r="Y74" s="516" t="s">
        <v>108</v>
      </c>
      <c r="Z74" s="517" t="s">
        <v>69</v>
      </c>
      <c r="AA74" s="517" t="s">
        <v>69</v>
      </c>
      <c r="AB74" s="517" t="s">
        <v>69</v>
      </c>
      <c r="AC74" s="517" t="s">
        <v>69</v>
      </c>
      <c r="AD74" s="517" t="s">
        <v>69</v>
      </c>
      <c r="AE74" s="517" t="s">
        <v>69</v>
      </c>
      <c r="AF74" s="516" t="s">
        <v>108</v>
      </c>
      <c r="AG74" s="519" t="s">
        <v>416</v>
      </c>
      <c r="AH74" s="517" t="s">
        <v>69</v>
      </c>
      <c r="AI74" s="517" t="s">
        <v>69</v>
      </c>
      <c r="AJ74" s="517" t="s">
        <v>69</v>
      </c>
      <c r="AK74" s="517" t="s">
        <v>69</v>
      </c>
      <c r="AL74" s="517" t="s">
        <v>69</v>
      </c>
      <c r="AM74" s="516" t="s">
        <v>108</v>
      </c>
      <c r="AN74" s="548">
        <v>4</v>
      </c>
      <c r="AO74" s="548">
        <v>0</v>
      </c>
      <c r="AP74" s="548">
        <v>0</v>
      </c>
      <c r="AQ74" s="548">
        <v>0</v>
      </c>
      <c r="AR74" s="548">
        <v>2</v>
      </c>
      <c r="AS74" s="548">
        <v>0</v>
      </c>
      <c r="AT74" s="548">
        <v>4</v>
      </c>
      <c r="AU74" s="548"/>
      <c r="AV74" s="548"/>
      <c r="AW74" s="548"/>
    </row>
    <row r="75" spans="1:49" ht="18">
      <c r="A75" s="557">
        <v>74</v>
      </c>
      <c r="B75" s="529" t="s">
        <v>356</v>
      </c>
      <c r="C75" s="499" t="s">
        <v>106</v>
      </c>
      <c r="D75" s="510" t="s">
        <v>412</v>
      </c>
      <c r="E75" s="536" t="s">
        <v>424</v>
      </c>
      <c r="F75" s="531" t="s">
        <v>464</v>
      </c>
      <c r="G75" s="558" t="s">
        <v>306</v>
      </c>
      <c r="H75" s="558" t="s">
        <v>415</v>
      </c>
      <c r="I75" s="514" t="s">
        <v>416</v>
      </c>
      <c r="J75" s="527" t="s">
        <v>416</v>
      </c>
      <c r="K75" s="516" t="s">
        <v>108</v>
      </c>
      <c r="L75" s="533" t="s">
        <v>111</v>
      </c>
      <c r="M75" s="537" t="s">
        <v>416</v>
      </c>
      <c r="N75" s="519" t="s">
        <v>416</v>
      </c>
      <c r="O75" s="519" t="s">
        <v>416</v>
      </c>
      <c r="P75" s="517" t="s">
        <v>69</v>
      </c>
      <c r="Q75" s="517" t="s">
        <v>69</v>
      </c>
      <c r="R75" s="516" t="s">
        <v>108</v>
      </c>
      <c r="S75" s="517" t="s">
        <v>69</v>
      </c>
      <c r="T75" s="517" t="s">
        <v>69</v>
      </c>
      <c r="U75" s="517" t="s">
        <v>69</v>
      </c>
      <c r="V75" s="517" t="s">
        <v>69</v>
      </c>
      <c r="W75" s="517" t="s">
        <v>69</v>
      </c>
      <c r="X75" s="519" t="s">
        <v>416</v>
      </c>
      <c r="Y75" s="516" t="s">
        <v>108</v>
      </c>
      <c r="Z75" s="517" t="s">
        <v>69</v>
      </c>
      <c r="AA75" s="517" t="s">
        <v>69</v>
      </c>
      <c r="AB75" s="517" t="s">
        <v>69</v>
      </c>
      <c r="AC75" s="517" t="s">
        <v>69</v>
      </c>
      <c r="AD75" s="517" t="s">
        <v>69</v>
      </c>
      <c r="AE75" s="517" t="s">
        <v>69</v>
      </c>
      <c r="AF75" s="516" t="s">
        <v>108</v>
      </c>
      <c r="AG75" s="517" t="s">
        <v>69</v>
      </c>
      <c r="AH75" s="517" t="s">
        <v>69</v>
      </c>
      <c r="AI75" s="517" t="s">
        <v>69</v>
      </c>
      <c r="AJ75" s="517" t="s">
        <v>69</v>
      </c>
      <c r="AK75" s="517" t="s">
        <v>69</v>
      </c>
      <c r="AL75" s="517" t="s">
        <v>69</v>
      </c>
      <c r="AM75" s="516" t="s">
        <v>108</v>
      </c>
      <c r="AN75" s="548">
        <v>6</v>
      </c>
      <c r="AO75" s="548">
        <v>1</v>
      </c>
      <c r="AP75" s="548">
        <v>0</v>
      </c>
      <c r="AQ75" s="548">
        <v>0</v>
      </c>
      <c r="AR75" s="548">
        <v>0</v>
      </c>
      <c r="AS75" s="548">
        <v>0</v>
      </c>
      <c r="AT75" s="548">
        <v>6</v>
      </c>
      <c r="AU75" s="548"/>
      <c r="AV75" s="548"/>
      <c r="AW75" s="548"/>
    </row>
    <row r="76" spans="1:49" ht="18">
      <c r="A76" s="557">
        <v>75</v>
      </c>
      <c r="B76" s="529" t="s">
        <v>316</v>
      </c>
      <c r="C76" s="499" t="s">
        <v>61</v>
      </c>
      <c r="D76" s="510" t="s">
        <v>412</v>
      </c>
      <c r="E76" s="536" t="s">
        <v>492</v>
      </c>
      <c r="F76" s="531" t="s">
        <v>493</v>
      </c>
      <c r="G76" s="558" t="s">
        <v>296</v>
      </c>
      <c r="H76" s="558" t="s">
        <v>415</v>
      </c>
      <c r="I76" s="518" t="s">
        <v>69</v>
      </c>
      <c r="J76" s="515" t="s">
        <v>69</v>
      </c>
      <c r="K76" s="516" t="s">
        <v>108</v>
      </c>
      <c r="L76" s="517" t="s">
        <v>69</v>
      </c>
      <c r="M76" s="517" t="s">
        <v>69</v>
      </c>
      <c r="N76" s="517" t="s">
        <v>69</v>
      </c>
      <c r="O76" s="517" t="s">
        <v>69</v>
      </c>
      <c r="P76" s="517" t="s">
        <v>69</v>
      </c>
      <c r="Q76" s="518" t="s">
        <v>69</v>
      </c>
      <c r="R76" s="540" t="s">
        <v>108</v>
      </c>
      <c r="S76" s="517" t="s">
        <v>69</v>
      </c>
      <c r="T76" s="519" t="s">
        <v>416</v>
      </c>
      <c r="U76" s="517" t="s">
        <v>69</v>
      </c>
      <c r="V76" s="517" t="s">
        <v>69</v>
      </c>
      <c r="W76" s="517" t="s">
        <v>69</v>
      </c>
      <c r="X76" s="517" t="s">
        <v>69</v>
      </c>
      <c r="Y76" s="516" t="s">
        <v>108</v>
      </c>
      <c r="Z76" s="517" t="s">
        <v>69</v>
      </c>
      <c r="AA76" s="517" t="s">
        <v>69</v>
      </c>
      <c r="AB76" s="517" t="s">
        <v>69</v>
      </c>
      <c r="AC76" s="519" t="s">
        <v>416</v>
      </c>
      <c r="AD76" s="517" t="s">
        <v>69</v>
      </c>
      <c r="AE76" s="517" t="s">
        <v>69</v>
      </c>
      <c r="AF76" s="516" t="s">
        <v>108</v>
      </c>
      <c r="AG76" s="517" t="s">
        <v>69</v>
      </c>
      <c r="AH76" s="517" t="s">
        <v>69</v>
      </c>
      <c r="AI76" s="566" t="s">
        <v>111</v>
      </c>
      <c r="AJ76" s="517" t="s">
        <v>69</v>
      </c>
      <c r="AK76" s="517" t="s">
        <v>69</v>
      </c>
      <c r="AL76" s="517" t="s">
        <v>69</v>
      </c>
      <c r="AM76" s="516" t="s">
        <v>108</v>
      </c>
      <c r="AN76" s="548">
        <v>2</v>
      </c>
      <c r="AO76" s="548">
        <v>1</v>
      </c>
      <c r="AP76" s="548">
        <v>0</v>
      </c>
      <c r="AQ76" s="548">
        <v>0</v>
      </c>
      <c r="AR76" s="548">
        <v>0</v>
      </c>
      <c r="AS76" s="548">
        <v>0</v>
      </c>
      <c r="AT76" s="548">
        <v>2</v>
      </c>
      <c r="AU76" s="548"/>
      <c r="AV76" s="548"/>
      <c r="AW76" s="548"/>
    </row>
    <row r="77" spans="1:49" ht="18">
      <c r="A77" s="557">
        <v>76</v>
      </c>
      <c r="B77" s="529" t="s">
        <v>318</v>
      </c>
      <c r="C77" s="499" t="s">
        <v>62</v>
      </c>
      <c r="D77" s="510" t="s">
        <v>412</v>
      </c>
      <c r="E77" s="530" t="s">
        <v>413</v>
      </c>
      <c r="F77" s="531" t="s">
        <v>474</v>
      </c>
      <c r="G77" s="558" t="s">
        <v>284</v>
      </c>
      <c r="H77" s="558" t="s">
        <v>415</v>
      </c>
      <c r="I77" s="514" t="s">
        <v>416</v>
      </c>
      <c r="J77" s="515" t="s">
        <v>69</v>
      </c>
      <c r="K77" s="516" t="s">
        <v>108</v>
      </c>
      <c r="L77" s="543" t="s">
        <v>69</v>
      </c>
      <c r="M77" s="517" t="s">
        <v>69</v>
      </c>
      <c r="N77" s="517" t="s">
        <v>69</v>
      </c>
      <c r="O77" s="517" t="s">
        <v>69</v>
      </c>
      <c r="P77" s="517" t="s">
        <v>69</v>
      </c>
      <c r="Q77" s="518" t="s">
        <v>69</v>
      </c>
      <c r="R77" s="540" t="s">
        <v>108</v>
      </c>
      <c r="S77" s="517" t="s">
        <v>69</v>
      </c>
      <c r="T77" s="517" t="s">
        <v>69</v>
      </c>
      <c r="U77" s="517" t="s">
        <v>69</v>
      </c>
      <c r="V77" s="517" t="s">
        <v>69</v>
      </c>
      <c r="W77" s="517" t="s">
        <v>69</v>
      </c>
      <c r="X77" s="519" t="s">
        <v>416</v>
      </c>
      <c r="Y77" s="516" t="s">
        <v>108</v>
      </c>
      <c r="Z77" s="519" t="s">
        <v>416</v>
      </c>
      <c r="AA77" s="517" t="s">
        <v>69</v>
      </c>
      <c r="AB77" s="517" t="s">
        <v>69</v>
      </c>
      <c r="AC77" s="517" t="s">
        <v>69</v>
      </c>
      <c r="AD77" s="517" t="s">
        <v>69</v>
      </c>
      <c r="AE77" s="543" t="s">
        <v>69</v>
      </c>
      <c r="AF77" s="516" t="s">
        <v>108</v>
      </c>
      <c r="AG77" s="543" t="s">
        <v>69</v>
      </c>
      <c r="AH77" s="517" t="s">
        <v>69</v>
      </c>
      <c r="AI77" s="543" t="s">
        <v>69</v>
      </c>
      <c r="AJ77" s="519" t="s">
        <v>416</v>
      </c>
      <c r="AK77" s="543" t="s">
        <v>69</v>
      </c>
      <c r="AL77" s="543" t="s">
        <v>69</v>
      </c>
      <c r="AM77" s="516" t="s">
        <v>108</v>
      </c>
      <c r="AN77" s="548">
        <v>4</v>
      </c>
      <c r="AO77" s="548">
        <v>0</v>
      </c>
      <c r="AP77" s="548">
        <v>0</v>
      </c>
      <c r="AQ77" s="548">
        <v>0</v>
      </c>
      <c r="AR77" s="548">
        <v>0</v>
      </c>
      <c r="AS77" s="548">
        <v>0</v>
      </c>
      <c r="AT77" s="548">
        <v>4</v>
      </c>
      <c r="AU77" s="548"/>
      <c r="AV77" s="548"/>
      <c r="AW77" s="548"/>
    </row>
    <row r="78" spans="1:49">
      <c r="A78" s="557">
        <v>78</v>
      </c>
      <c r="B78" s="571" t="s">
        <v>475</v>
      </c>
      <c r="C78" s="548"/>
      <c r="D78" s="548"/>
      <c r="E78" s="548"/>
      <c r="F78" s="548"/>
      <c r="G78" s="548"/>
      <c r="H78" s="548"/>
      <c r="I78" s="548"/>
      <c r="J78" s="548"/>
      <c r="K78" s="548"/>
      <c r="L78" s="548"/>
      <c r="M78" s="548"/>
      <c r="N78" s="548"/>
      <c r="O78" s="548"/>
      <c r="P78" s="548"/>
      <c r="Q78" s="548"/>
      <c r="R78" s="548"/>
      <c r="S78" s="548"/>
      <c r="T78" s="548"/>
      <c r="U78" s="548"/>
      <c r="V78" s="548"/>
      <c r="W78" s="548"/>
      <c r="X78" s="548"/>
      <c r="Y78" s="548"/>
      <c r="Z78" s="548"/>
      <c r="AA78" s="548"/>
      <c r="AB78" s="548"/>
      <c r="AC78" s="548"/>
      <c r="AD78" s="548"/>
      <c r="AE78" s="548"/>
      <c r="AF78" s="548"/>
      <c r="AG78" s="548"/>
      <c r="AH78" s="548"/>
      <c r="AI78" s="548"/>
      <c r="AJ78" s="548"/>
      <c r="AK78" s="548"/>
      <c r="AL78" s="548"/>
      <c r="AM78" s="548"/>
      <c r="AN78" s="548"/>
      <c r="AO78" s="548"/>
      <c r="AP78" s="548"/>
      <c r="AQ78" s="548"/>
      <c r="AR78" s="548"/>
      <c r="AS78" s="548"/>
      <c r="AT78" s="548"/>
      <c r="AU78" s="548"/>
      <c r="AV78" s="548"/>
      <c r="AW78" s="548"/>
    </row>
    <row r="79" spans="1:49">
      <c r="A79" s="557">
        <v>79</v>
      </c>
      <c r="B79" s="571" t="s">
        <v>475</v>
      </c>
      <c r="C79" s="548"/>
      <c r="D79" s="548"/>
      <c r="E79" s="548"/>
      <c r="F79" s="548"/>
      <c r="G79" s="548"/>
      <c r="H79" s="548"/>
      <c r="I79" s="548"/>
      <c r="J79" s="548"/>
      <c r="K79" s="548"/>
      <c r="L79" s="548"/>
      <c r="M79" s="548"/>
      <c r="N79" s="548"/>
      <c r="O79" s="548"/>
      <c r="P79" s="548"/>
      <c r="Q79" s="548"/>
      <c r="R79" s="548"/>
      <c r="S79" s="548"/>
      <c r="T79" s="548"/>
      <c r="U79" s="548"/>
      <c r="V79" s="548"/>
      <c r="W79" s="548"/>
      <c r="X79" s="548"/>
      <c r="Y79" s="548"/>
      <c r="Z79" s="548"/>
      <c r="AA79" s="548"/>
      <c r="AB79" s="548"/>
      <c r="AC79" s="548"/>
      <c r="AD79" s="548"/>
      <c r="AE79" s="548"/>
      <c r="AF79" s="548"/>
      <c r="AG79" s="548"/>
      <c r="AH79" s="548"/>
      <c r="AI79" s="548"/>
      <c r="AJ79" s="548"/>
      <c r="AK79" s="548"/>
      <c r="AL79" s="548"/>
      <c r="AM79" s="548"/>
      <c r="AN79" s="548"/>
      <c r="AO79" s="548"/>
      <c r="AP79" s="548"/>
      <c r="AQ79" s="548"/>
      <c r="AR79" s="548"/>
      <c r="AS79" s="548"/>
      <c r="AT79" s="548"/>
      <c r="AU79" s="548"/>
      <c r="AV79" s="548"/>
      <c r="AW79" s="548"/>
    </row>
    <row r="80" spans="1:49">
      <c r="A80" s="557">
        <v>80</v>
      </c>
      <c r="B80" s="571" t="s">
        <v>475</v>
      </c>
      <c r="C80" s="548"/>
      <c r="D80" s="548"/>
      <c r="E80" s="548"/>
      <c r="F80" s="548"/>
      <c r="G80" s="548"/>
      <c r="H80" s="548"/>
      <c r="I80" s="548"/>
      <c r="J80" s="548"/>
      <c r="K80" s="548"/>
      <c r="L80" s="548"/>
      <c r="M80" s="548"/>
      <c r="N80" s="548"/>
      <c r="O80" s="548"/>
      <c r="P80" s="548"/>
      <c r="Q80" s="548"/>
      <c r="R80" s="548"/>
      <c r="S80" s="548"/>
      <c r="T80" s="548"/>
      <c r="U80" s="548"/>
      <c r="V80" s="548"/>
      <c r="W80" s="548"/>
      <c r="X80" s="548"/>
      <c r="Y80" s="548"/>
      <c r="Z80" s="548"/>
      <c r="AA80" s="548"/>
      <c r="AB80" s="548"/>
      <c r="AC80" s="548"/>
      <c r="AD80" s="548"/>
      <c r="AE80" s="548"/>
      <c r="AF80" s="548"/>
      <c r="AG80" s="548"/>
      <c r="AH80" s="548"/>
      <c r="AI80" s="548"/>
      <c r="AJ80" s="548"/>
      <c r="AK80" s="548"/>
      <c r="AL80" s="548"/>
      <c r="AM80" s="548"/>
      <c r="AN80" s="548"/>
      <c r="AO80" s="548"/>
      <c r="AP80" s="548"/>
      <c r="AQ80" s="548"/>
      <c r="AR80" s="548"/>
      <c r="AS80" s="548"/>
      <c r="AT80" s="548"/>
      <c r="AU80" s="548"/>
      <c r="AV80" s="548"/>
      <c r="AW80" s="548"/>
    </row>
    <row r="81" spans="1:49">
      <c r="A81" s="557">
        <v>81</v>
      </c>
      <c r="B81" s="571" t="s">
        <v>475</v>
      </c>
      <c r="C81" s="548"/>
      <c r="D81" s="548"/>
      <c r="E81" s="548"/>
      <c r="F81" s="548"/>
      <c r="G81" s="548"/>
      <c r="H81" s="548"/>
      <c r="I81" s="548"/>
      <c r="J81" s="548"/>
      <c r="K81" s="548"/>
      <c r="L81" s="548"/>
      <c r="M81" s="548"/>
      <c r="N81" s="548"/>
      <c r="O81" s="548"/>
      <c r="P81" s="548"/>
      <c r="Q81" s="548"/>
      <c r="R81" s="548"/>
      <c r="S81" s="548"/>
      <c r="T81" s="548"/>
      <c r="U81" s="548"/>
      <c r="V81" s="548"/>
      <c r="W81" s="548"/>
      <c r="X81" s="548"/>
      <c r="Y81" s="548"/>
      <c r="Z81" s="548"/>
      <c r="AA81" s="548"/>
      <c r="AB81" s="548"/>
      <c r="AC81" s="548"/>
      <c r="AD81" s="548"/>
      <c r="AE81" s="548"/>
      <c r="AF81" s="548"/>
      <c r="AG81" s="548"/>
      <c r="AH81" s="548"/>
      <c r="AI81" s="548"/>
      <c r="AJ81" s="548"/>
      <c r="AK81" s="548"/>
      <c r="AL81" s="548"/>
      <c r="AM81" s="548"/>
      <c r="AN81" s="548"/>
      <c r="AO81" s="548"/>
      <c r="AP81" s="548"/>
      <c r="AQ81" s="548"/>
      <c r="AR81" s="548"/>
      <c r="AS81" s="548"/>
      <c r="AT81" s="548"/>
      <c r="AU81" s="548"/>
      <c r="AV81" s="548"/>
      <c r="AW81" s="548"/>
    </row>
    <row r="82" spans="1:49">
      <c r="A82" s="557">
        <v>82</v>
      </c>
      <c r="B82" s="571" t="s">
        <v>475</v>
      </c>
      <c r="C82" s="548"/>
      <c r="D82" s="548"/>
      <c r="E82" s="548"/>
      <c r="F82" s="548"/>
      <c r="G82" s="548"/>
      <c r="H82" s="548"/>
      <c r="I82" s="548"/>
      <c r="J82" s="548"/>
      <c r="K82" s="548"/>
      <c r="L82" s="548"/>
      <c r="M82" s="548"/>
      <c r="N82" s="548"/>
      <c r="O82" s="548"/>
      <c r="P82" s="548"/>
      <c r="Q82" s="548"/>
      <c r="R82" s="548"/>
      <c r="S82" s="548"/>
      <c r="T82" s="548"/>
      <c r="U82" s="548"/>
      <c r="V82" s="548"/>
      <c r="W82" s="548"/>
      <c r="X82" s="548"/>
      <c r="Y82" s="548"/>
      <c r="Z82" s="548"/>
      <c r="AA82" s="548"/>
      <c r="AB82" s="548"/>
      <c r="AC82" s="548"/>
      <c r="AD82" s="548"/>
      <c r="AE82" s="548"/>
      <c r="AF82" s="548"/>
      <c r="AG82" s="548"/>
      <c r="AH82" s="548"/>
      <c r="AI82" s="548"/>
      <c r="AJ82" s="548"/>
      <c r="AK82" s="548"/>
      <c r="AL82" s="548"/>
      <c r="AM82" s="548"/>
      <c r="AN82" s="548"/>
      <c r="AO82" s="548"/>
      <c r="AP82" s="548"/>
      <c r="AQ82" s="548"/>
      <c r="AR82" s="548"/>
      <c r="AS82" s="548"/>
      <c r="AT82" s="548"/>
      <c r="AU82" s="548"/>
      <c r="AV82" s="548"/>
      <c r="AW82" s="548"/>
    </row>
    <row r="83" spans="1:49">
      <c r="A83" s="557">
        <v>83</v>
      </c>
      <c r="B83" s="571" t="s">
        <v>475</v>
      </c>
      <c r="C83" s="548"/>
      <c r="D83" s="548"/>
      <c r="E83" s="548"/>
      <c r="F83" s="548"/>
      <c r="G83" s="548"/>
      <c r="H83" s="548"/>
      <c r="I83" s="548"/>
      <c r="J83" s="548"/>
      <c r="K83" s="548"/>
      <c r="L83" s="548"/>
      <c r="M83" s="548"/>
      <c r="N83" s="548"/>
      <c r="O83" s="548"/>
      <c r="P83" s="548"/>
      <c r="Q83" s="548"/>
      <c r="R83" s="548"/>
      <c r="S83" s="548"/>
      <c r="T83" s="548"/>
      <c r="U83" s="548"/>
      <c r="V83" s="548"/>
      <c r="W83" s="548"/>
      <c r="X83" s="548"/>
      <c r="Y83" s="548"/>
      <c r="Z83" s="548"/>
      <c r="AA83" s="548"/>
      <c r="AB83" s="548"/>
      <c r="AC83" s="548"/>
      <c r="AD83" s="548"/>
      <c r="AE83" s="548"/>
      <c r="AF83" s="548"/>
      <c r="AG83" s="548"/>
      <c r="AH83" s="548"/>
      <c r="AI83" s="548"/>
      <c r="AJ83" s="548"/>
      <c r="AK83" s="548"/>
      <c r="AL83" s="548"/>
      <c r="AM83" s="548"/>
      <c r="AN83" s="548"/>
      <c r="AO83" s="548"/>
      <c r="AP83" s="548"/>
      <c r="AQ83" s="548"/>
      <c r="AR83" s="548"/>
      <c r="AS83" s="548"/>
      <c r="AT83" s="548"/>
      <c r="AU83" s="548"/>
      <c r="AV83" s="548"/>
      <c r="AW83" s="548"/>
    </row>
    <row r="84" spans="1:49">
      <c r="A84" s="5">
        <v>83</v>
      </c>
      <c r="B84" s="56"/>
    </row>
  </sheetData>
  <autoFilter ref="A1:AT1" xr:uid="{2F70EC65-BACD-4ED1-9B3F-11115B58D1F6}"/>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71990-8F2E-4A75-8B07-A574F464184E}">
  <dimension ref="A1:AO76"/>
  <sheetViews>
    <sheetView topLeftCell="B1" workbookViewId="0">
      <pane xSplit="2" ySplit="1" topLeftCell="AE2" activePane="bottomRight" state="frozen"/>
      <selection pane="topRight"/>
      <selection pane="bottomLeft"/>
      <selection pane="bottomRight" activeCell="AM2" sqref="AM2"/>
    </sheetView>
  </sheetViews>
  <sheetFormatPr defaultRowHeight="14.25"/>
  <cols>
    <col min="2" max="2" width="13" customWidth="1"/>
    <col min="3" max="3" width="30" customWidth="1"/>
    <col min="4" max="4" width="36.3984375" customWidth="1"/>
    <col min="5" max="5" width="20" customWidth="1"/>
    <col min="6" max="6" width="20.59765625" customWidth="1"/>
    <col min="7" max="7" width="13.86328125" customWidth="1"/>
    <col min="20" max="20" width="10.1328125" customWidth="1"/>
    <col min="23" max="23" width="11.265625" customWidth="1"/>
  </cols>
  <sheetData>
    <row r="1" spans="1:41" ht="54">
      <c r="A1" s="588" t="s">
        <v>64</v>
      </c>
      <c r="B1" s="501" t="s">
        <v>475</v>
      </c>
      <c r="C1" s="501" t="s">
        <v>65</v>
      </c>
      <c r="D1" s="501" t="s">
        <v>405</v>
      </c>
      <c r="E1" s="501" t="s">
        <v>406</v>
      </c>
      <c r="F1" s="501" t="s">
        <v>407</v>
      </c>
      <c r="G1" s="501" t="s">
        <v>278</v>
      </c>
      <c r="H1" s="501" t="s">
        <v>408</v>
      </c>
      <c r="I1" s="501">
        <v>1</v>
      </c>
      <c r="J1" s="501">
        <v>2</v>
      </c>
      <c r="K1" s="501">
        <v>3</v>
      </c>
      <c r="L1" s="501">
        <v>4</v>
      </c>
      <c r="M1" s="501">
        <v>5</v>
      </c>
      <c r="N1" s="501">
        <v>6</v>
      </c>
      <c r="O1" s="501">
        <v>7</v>
      </c>
      <c r="P1" s="501">
        <v>8</v>
      </c>
      <c r="Q1" s="501">
        <v>9</v>
      </c>
      <c r="R1" s="501">
        <v>10</v>
      </c>
      <c r="S1" s="501">
        <v>11</v>
      </c>
      <c r="T1" s="501">
        <v>12</v>
      </c>
      <c r="U1" s="501">
        <v>13</v>
      </c>
      <c r="V1" s="501">
        <v>14</v>
      </c>
      <c r="W1" s="501">
        <v>15</v>
      </c>
      <c r="X1" s="501">
        <v>16</v>
      </c>
      <c r="Y1" s="501">
        <v>17</v>
      </c>
      <c r="Z1" s="501">
        <v>18</v>
      </c>
      <c r="AA1" s="501">
        <v>19</v>
      </c>
      <c r="AB1" s="501">
        <v>20</v>
      </c>
      <c r="AC1" s="501">
        <v>21</v>
      </c>
      <c r="AD1" s="501">
        <v>22</v>
      </c>
      <c r="AE1" s="501">
        <v>23</v>
      </c>
      <c r="AF1" s="501">
        <v>24</v>
      </c>
      <c r="AG1" s="501">
        <v>25</v>
      </c>
      <c r="AH1" s="501">
        <v>26</v>
      </c>
      <c r="AI1" s="501">
        <v>27</v>
      </c>
      <c r="AJ1" s="501">
        <v>28</v>
      </c>
      <c r="AK1" s="589">
        <v>29</v>
      </c>
      <c r="AL1" s="590">
        <v>30</v>
      </c>
      <c r="AM1" s="591" t="s">
        <v>494</v>
      </c>
      <c r="AN1" s="591" t="s">
        <v>410</v>
      </c>
      <c r="AO1" s="591" t="s">
        <v>267</v>
      </c>
    </row>
    <row r="2" spans="1:41" ht="18">
      <c r="A2" s="592">
        <v>1</v>
      </c>
      <c r="B2" s="593" t="s">
        <v>319</v>
      </c>
      <c r="C2" s="500" t="s">
        <v>6</v>
      </c>
      <c r="D2" s="502" t="s">
        <v>412</v>
      </c>
      <c r="E2" s="503" t="s">
        <v>413</v>
      </c>
      <c r="F2" s="504" t="s">
        <v>414</v>
      </c>
      <c r="G2" s="505" t="s">
        <v>284</v>
      </c>
      <c r="H2" s="505" t="s">
        <v>415</v>
      </c>
      <c r="I2" s="506" t="s">
        <v>69</v>
      </c>
      <c r="J2" s="507" t="s">
        <v>69</v>
      </c>
      <c r="K2" s="509" t="s">
        <v>69</v>
      </c>
      <c r="L2" s="509" t="s">
        <v>69</v>
      </c>
      <c r="M2" s="594" t="s">
        <v>416</v>
      </c>
      <c r="N2" s="595" t="s">
        <v>416</v>
      </c>
      <c r="O2" s="596" t="s">
        <v>108</v>
      </c>
      <c r="P2" s="597" t="s">
        <v>416</v>
      </c>
      <c r="Q2" s="597" t="s">
        <v>416</v>
      </c>
      <c r="R2" s="597" t="s">
        <v>416</v>
      </c>
      <c r="S2" s="597" t="s">
        <v>416</v>
      </c>
      <c r="T2" s="597" t="s">
        <v>416</v>
      </c>
      <c r="U2" s="598" t="s">
        <v>69</v>
      </c>
      <c r="V2" s="599" t="s">
        <v>108</v>
      </c>
      <c r="W2" s="598" t="s">
        <v>69</v>
      </c>
      <c r="X2" s="598" t="s">
        <v>69</v>
      </c>
      <c r="Y2" s="598" t="s">
        <v>69</v>
      </c>
      <c r="Z2" s="598" t="s">
        <v>69</v>
      </c>
      <c r="AA2" s="598" t="s">
        <v>69</v>
      </c>
      <c r="AB2" s="598" t="s">
        <v>69</v>
      </c>
      <c r="AC2" s="508" t="s">
        <v>108</v>
      </c>
      <c r="AD2" s="509" t="s">
        <v>69</v>
      </c>
      <c r="AE2" s="509" t="s">
        <v>69</v>
      </c>
      <c r="AF2" s="508" t="s">
        <v>267</v>
      </c>
      <c r="AG2" s="597" t="s">
        <v>416</v>
      </c>
      <c r="AH2" s="598" t="s">
        <v>69</v>
      </c>
      <c r="AI2" s="598" t="s">
        <v>69</v>
      </c>
      <c r="AJ2" s="599" t="s">
        <v>108</v>
      </c>
      <c r="AK2" s="509" t="s">
        <v>69</v>
      </c>
      <c r="AL2" s="517" t="s">
        <v>69</v>
      </c>
      <c r="AM2" s="600">
        <v>8</v>
      </c>
      <c r="AN2" s="600">
        <v>0</v>
      </c>
      <c r="AO2" s="600">
        <v>1</v>
      </c>
    </row>
    <row r="3" spans="1:41" ht="18">
      <c r="A3" s="601">
        <v>2</v>
      </c>
      <c r="B3" s="593" t="s">
        <v>382</v>
      </c>
      <c r="C3" s="499" t="s">
        <v>249</v>
      </c>
      <c r="D3" s="510" t="s">
        <v>412</v>
      </c>
      <c r="E3" s="511" t="s">
        <v>418</v>
      </c>
      <c r="F3" s="512" t="s">
        <v>419</v>
      </c>
      <c r="G3" s="513" t="s">
        <v>285</v>
      </c>
      <c r="H3" s="513" t="s">
        <v>415</v>
      </c>
      <c r="I3" s="518" t="s">
        <v>69</v>
      </c>
      <c r="J3" s="515" t="s">
        <v>69</v>
      </c>
      <c r="K3" s="517" t="s">
        <v>69</v>
      </c>
      <c r="L3" s="517" t="s">
        <v>69</v>
      </c>
      <c r="M3" s="518" t="s">
        <v>69</v>
      </c>
      <c r="N3" s="602" t="s">
        <v>69</v>
      </c>
      <c r="O3" s="603" t="s">
        <v>108</v>
      </c>
      <c r="P3" s="604" t="s">
        <v>69</v>
      </c>
      <c r="Q3" s="604" t="s">
        <v>69</v>
      </c>
      <c r="R3" s="604" t="s">
        <v>69</v>
      </c>
      <c r="S3" s="604" t="s">
        <v>69</v>
      </c>
      <c r="T3" s="604" t="s">
        <v>69</v>
      </c>
      <c r="U3" s="604" t="s">
        <v>69</v>
      </c>
      <c r="V3" s="605" t="s">
        <v>108</v>
      </c>
      <c r="W3" s="604" t="s">
        <v>69</v>
      </c>
      <c r="X3" s="604" t="s">
        <v>69</v>
      </c>
      <c r="Y3" s="606" t="s">
        <v>416</v>
      </c>
      <c r="Z3" s="604" t="s">
        <v>69</v>
      </c>
      <c r="AA3" s="604" t="s">
        <v>69</v>
      </c>
      <c r="AB3" s="604" t="s">
        <v>69</v>
      </c>
      <c r="AC3" s="516" t="s">
        <v>108</v>
      </c>
      <c r="AD3" s="517" t="s">
        <v>69</v>
      </c>
      <c r="AE3" s="517" t="s">
        <v>69</v>
      </c>
      <c r="AF3" s="517" t="s">
        <v>69</v>
      </c>
      <c r="AG3" s="517" t="s">
        <v>69</v>
      </c>
      <c r="AH3" s="517" t="s">
        <v>69</v>
      </c>
      <c r="AI3" s="517" t="s">
        <v>69</v>
      </c>
      <c r="AJ3" s="605" t="s">
        <v>108</v>
      </c>
      <c r="AK3" s="517" t="s">
        <v>69</v>
      </c>
      <c r="AL3" s="607" t="s">
        <v>426</v>
      </c>
      <c r="AM3" s="600">
        <v>1.5</v>
      </c>
      <c r="AN3" s="600">
        <v>0</v>
      </c>
      <c r="AO3" s="600">
        <v>0</v>
      </c>
    </row>
    <row r="4" spans="1:41" ht="18">
      <c r="A4" s="601">
        <v>3</v>
      </c>
      <c r="B4" s="593" t="s">
        <v>313</v>
      </c>
      <c r="C4" s="499" t="s">
        <v>7</v>
      </c>
      <c r="D4" s="510" t="s">
        <v>412</v>
      </c>
      <c r="E4" s="511" t="s">
        <v>413</v>
      </c>
      <c r="F4" s="512" t="s">
        <v>421</v>
      </c>
      <c r="G4" s="513" t="s">
        <v>286</v>
      </c>
      <c r="H4" s="513" t="s">
        <v>415</v>
      </c>
      <c r="I4" s="518" t="s">
        <v>69</v>
      </c>
      <c r="J4" s="515" t="s">
        <v>69</v>
      </c>
      <c r="K4" s="517" t="s">
        <v>69</v>
      </c>
      <c r="L4" s="517" t="s">
        <v>69</v>
      </c>
      <c r="M4" s="518" t="s">
        <v>69</v>
      </c>
      <c r="N4" s="602" t="s">
        <v>69</v>
      </c>
      <c r="O4" s="540" t="s">
        <v>108</v>
      </c>
      <c r="P4" s="604" t="s">
        <v>69</v>
      </c>
      <c r="Q4" s="604" t="s">
        <v>69</v>
      </c>
      <c r="R4" s="604" t="s">
        <v>69</v>
      </c>
      <c r="S4" s="604" t="s">
        <v>69</v>
      </c>
      <c r="T4" s="604" t="s">
        <v>69</v>
      </c>
      <c r="U4" s="604" t="s">
        <v>69</v>
      </c>
      <c r="V4" s="605" t="s">
        <v>108</v>
      </c>
      <c r="W4" s="604" t="s">
        <v>69</v>
      </c>
      <c r="X4" s="604" t="s">
        <v>69</v>
      </c>
      <c r="Y4" s="604" t="s">
        <v>69</v>
      </c>
      <c r="Z4" s="604" t="s">
        <v>69</v>
      </c>
      <c r="AA4" s="606" t="s">
        <v>416</v>
      </c>
      <c r="AB4" s="604" t="s">
        <v>69</v>
      </c>
      <c r="AC4" s="516" t="s">
        <v>108</v>
      </c>
      <c r="AD4" s="517" t="s">
        <v>69</v>
      </c>
      <c r="AE4" s="517" t="s">
        <v>69</v>
      </c>
      <c r="AF4" s="517" t="s">
        <v>69</v>
      </c>
      <c r="AG4" s="517" t="s">
        <v>69</v>
      </c>
      <c r="AH4" s="517" t="s">
        <v>69</v>
      </c>
      <c r="AI4" s="517" t="s">
        <v>69</v>
      </c>
      <c r="AJ4" s="605" t="s">
        <v>108</v>
      </c>
      <c r="AK4" s="517" t="s">
        <v>69</v>
      </c>
      <c r="AL4" s="517" t="s">
        <v>69</v>
      </c>
      <c r="AM4" s="600">
        <v>1</v>
      </c>
      <c r="AN4" s="600">
        <v>0</v>
      </c>
      <c r="AO4" s="600">
        <v>0</v>
      </c>
    </row>
    <row r="5" spans="1:41" ht="18">
      <c r="A5" s="601">
        <v>4</v>
      </c>
      <c r="B5" s="593" t="s">
        <v>387</v>
      </c>
      <c r="C5" s="608" t="s">
        <v>423</v>
      </c>
      <c r="D5" s="526" t="s">
        <v>412</v>
      </c>
      <c r="E5" s="511" t="s">
        <v>424</v>
      </c>
      <c r="F5" s="512" t="s">
        <v>425</v>
      </c>
      <c r="G5" s="513" t="s">
        <v>284</v>
      </c>
      <c r="H5" s="513" t="s">
        <v>415</v>
      </c>
      <c r="I5" s="518" t="s">
        <v>69</v>
      </c>
      <c r="J5" s="515" t="s">
        <v>69</v>
      </c>
      <c r="K5" s="517" t="s">
        <v>69</v>
      </c>
      <c r="L5" s="517" t="s">
        <v>69</v>
      </c>
      <c r="M5" s="609" t="s">
        <v>416</v>
      </c>
      <c r="N5" s="602" t="s">
        <v>69</v>
      </c>
      <c r="O5" s="603" t="s">
        <v>108</v>
      </c>
      <c r="P5" s="604" t="s">
        <v>69</v>
      </c>
      <c r="Q5" s="604" t="s">
        <v>69</v>
      </c>
      <c r="R5" s="604" t="s">
        <v>69</v>
      </c>
      <c r="S5" s="604" t="s">
        <v>69</v>
      </c>
      <c r="T5" s="604" t="s">
        <v>69</v>
      </c>
      <c r="U5" s="606" t="s">
        <v>416</v>
      </c>
      <c r="V5" s="605" t="s">
        <v>108</v>
      </c>
      <c r="W5" s="604" t="s">
        <v>69</v>
      </c>
      <c r="X5" s="604" t="s">
        <v>69</v>
      </c>
      <c r="Y5" s="604" t="s">
        <v>69</v>
      </c>
      <c r="Z5" s="604" t="s">
        <v>69</v>
      </c>
      <c r="AA5" s="606" t="s">
        <v>416</v>
      </c>
      <c r="AB5" s="606" t="s">
        <v>416</v>
      </c>
      <c r="AC5" s="516" t="s">
        <v>108</v>
      </c>
      <c r="AD5" s="517" t="s">
        <v>69</v>
      </c>
      <c r="AE5" s="517" t="s">
        <v>69</v>
      </c>
      <c r="AF5" s="517" t="s">
        <v>69</v>
      </c>
      <c r="AG5" s="517" t="s">
        <v>69</v>
      </c>
      <c r="AH5" s="606" t="s">
        <v>416</v>
      </c>
      <c r="AI5" s="606" t="s">
        <v>416</v>
      </c>
      <c r="AJ5" s="605" t="s">
        <v>108</v>
      </c>
      <c r="AK5" s="517" t="s">
        <v>69</v>
      </c>
      <c r="AL5" s="517" t="s">
        <v>69</v>
      </c>
      <c r="AM5" s="600">
        <v>6</v>
      </c>
      <c r="AN5" s="600">
        <v>0</v>
      </c>
      <c r="AO5" s="600">
        <v>0</v>
      </c>
    </row>
    <row r="6" spans="1:41" ht="18">
      <c r="A6" s="601">
        <v>5</v>
      </c>
      <c r="B6" s="593" t="s">
        <v>388</v>
      </c>
      <c r="C6" s="499" t="s">
        <v>266</v>
      </c>
      <c r="D6" s="510" t="s">
        <v>412</v>
      </c>
      <c r="E6" s="511" t="s">
        <v>418</v>
      </c>
      <c r="F6" s="512" t="s">
        <v>428</v>
      </c>
      <c r="G6" s="513" t="s">
        <v>133</v>
      </c>
      <c r="H6" s="513" t="s">
        <v>415</v>
      </c>
      <c r="I6" s="514" t="s">
        <v>416</v>
      </c>
      <c r="J6" s="515" t="s">
        <v>69</v>
      </c>
      <c r="K6" s="517" t="s">
        <v>69</v>
      </c>
      <c r="L6" s="517" t="s">
        <v>69</v>
      </c>
      <c r="M6" s="518" t="s">
        <v>69</v>
      </c>
      <c r="N6" s="602" t="s">
        <v>69</v>
      </c>
      <c r="O6" s="540" t="s">
        <v>108</v>
      </c>
      <c r="P6" s="604" t="s">
        <v>69</v>
      </c>
      <c r="Q6" s="604" t="s">
        <v>69</v>
      </c>
      <c r="R6" s="604" t="s">
        <v>69</v>
      </c>
      <c r="S6" s="604" t="s">
        <v>69</v>
      </c>
      <c r="T6" s="604" t="s">
        <v>69</v>
      </c>
      <c r="U6" s="604" t="s">
        <v>69</v>
      </c>
      <c r="V6" s="605" t="s">
        <v>108</v>
      </c>
      <c r="W6" s="604" t="s">
        <v>69</v>
      </c>
      <c r="X6" s="604" t="s">
        <v>69</v>
      </c>
      <c r="Y6" s="604" t="s">
        <v>69</v>
      </c>
      <c r="Z6" s="604" t="s">
        <v>69</v>
      </c>
      <c r="AA6" s="604" t="s">
        <v>69</v>
      </c>
      <c r="AB6" s="604" t="s">
        <v>69</v>
      </c>
      <c r="AC6" s="516" t="s">
        <v>108</v>
      </c>
      <c r="AD6" s="517" t="s">
        <v>69</v>
      </c>
      <c r="AE6" s="517" t="s">
        <v>69</v>
      </c>
      <c r="AF6" s="517" t="s">
        <v>69</v>
      </c>
      <c r="AG6" s="517" t="s">
        <v>69</v>
      </c>
      <c r="AH6" s="517" t="s">
        <v>69</v>
      </c>
      <c r="AI6" s="517" t="s">
        <v>69</v>
      </c>
      <c r="AJ6" s="605" t="s">
        <v>108</v>
      </c>
      <c r="AK6" s="517" t="s">
        <v>69</v>
      </c>
      <c r="AL6" s="517" t="s">
        <v>69</v>
      </c>
      <c r="AM6" s="600">
        <v>1</v>
      </c>
      <c r="AN6" s="600">
        <v>0</v>
      </c>
      <c r="AO6" s="600">
        <v>0</v>
      </c>
    </row>
    <row r="7" spans="1:41" ht="18">
      <c r="A7" s="601">
        <v>6</v>
      </c>
      <c r="B7" s="593" t="s">
        <v>430</v>
      </c>
      <c r="C7" s="608" t="s">
        <v>431</v>
      </c>
      <c r="D7" s="526" t="s">
        <v>412</v>
      </c>
      <c r="E7" s="511" t="s">
        <v>418</v>
      </c>
      <c r="F7" s="512" t="s">
        <v>432</v>
      </c>
      <c r="G7" s="513" t="s">
        <v>133</v>
      </c>
      <c r="H7" s="513" t="s">
        <v>415</v>
      </c>
      <c r="I7" s="518" t="s">
        <v>69</v>
      </c>
      <c r="J7" s="515" t="s">
        <v>69</v>
      </c>
      <c r="K7" s="517" t="s">
        <v>69</v>
      </c>
      <c r="L7" s="517" t="s">
        <v>69</v>
      </c>
      <c r="M7" s="609" t="s">
        <v>416</v>
      </c>
      <c r="N7" s="610" t="s">
        <v>416</v>
      </c>
      <c r="O7" s="603" t="s">
        <v>108</v>
      </c>
      <c r="P7" s="604" t="s">
        <v>69</v>
      </c>
      <c r="Q7" s="604" t="s">
        <v>69</v>
      </c>
      <c r="R7" s="604" t="s">
        <v>69</v>
      </c>
      <c r="S7" s="604" t="s">
        <v>69</v>
      </c>
      <c r="T7" s="604" t="s">
        <v>69</v>
      </c>
      <c r="U7" s="604" t="s">
        <v>69</v>
      </c>
      <c r="V7" s="605" t="s">
        <v>108</v>
      </c>
      <c r="W7" s="604" t="s">
        <v>69</v>
      </c>
      <c r="X7" s="604" t="s">
        <v>69</v>
      </c>
      <c r="Y7" s="604" t="s">
        <v>69</v>
      </c>
      <c r="Z7" s="604" t="s">
        <v>69</v>
      </c>
      <c r="AA7" s="604" t="s">
        <v>69</v>
      </c>
      <c r="AB7" s="604" t="s">
        <v>69</v>
      </c>
      <c r="AC7" s="516" t="s">
        <v>108</v>
      </c>
      <c r="AD7" s="519" t="s">
        <v>416</v>
      </c>
      <c r="AE7" s="519" t="s">
        <v>416</v>
      </c>
      <c r="AF7" s="517" t="s">
        <v>69</v>
      </c>
      <c r="AG7" s="517" t="s">
        <v>69</v>
      </c>
      <c r="AH7" s="517" t="s">
        <v>69</v>
      </c>
      <c r="AI7" s="517" t="s">
        <v>69</v>
      </c>
      <c r="AJ7" s="605" t="s">
        <v>108</v>
      </c>
      <c r="AK7" s="611" t="s">
        <v>267</v>
      </c>
      <c r="AL7" s="517" t="s">
        <v>69</v>
      </c>
      <c r="AM7" s="600">
        <v>4</v>
      </c>
      <c r="AN7" s="600">
        <v>0</v>
      </c>
      <c r="AO7" s="600">
        <v>1</v>
      </c>
    </row>
    <row r="8" spans="1:41" ht="18">
      <c r="A8" s="601">
        <v>7</v>
      </c>
      <c r="B8" s="593" t="s">
        <v>320</v>
      </c>
      <c r="C8" s="499" t="s">
        <v>11</v>
      </c>
      <c r="D8" s="510" t="s">
        <v>412</v>
      </c>
      <c r="E8" s="511" t="s">
        <v>413</v>
      </c>
      <c r="F8" s="512" t="s">
        <v>434</v>
      </c>
      <c r="G8" s="513" t="s">
        <v>288</v>
      </c>
      <c r="H8" s="513" t="s">
        <v>415</v>
      </c>
      <c r="I8" s="518" t="s">
        <v>69</v>
      </c>
      <c r="J8" s="515" t="s">
        <v>69</v>
      </c>
      <c r="K8" s="517" t="s">
        <v>69</v>
      </c>
      <c r="L8" s="517" t="s">
        <v>69</v>
      </c>
      <c r="M8" s="518" t="s">
        <v>69</v>
      </c>
      <c r="N8" s="602" t="s">
        <v>69</v>
      </c>
      <c r="O8" s="540" t="s">
        <v>108</v>
      </c>
      <c r="P8" s="604" t="s">
        <v>69</v>
      </c>
      <c r="Q8" s="604" t="s">
        <v>69</v>
      </c>
      <c r="R8" s="606" t="s">
        <v>416</v>
      </c>
      <c r="S8" s="604" t="s">
        <v>69</v>
      </c>
      <c r="T8" s="604" t="s">
        <v>69</v>
      </c>
      <c r="U8" s="604" t="s">
        <v>69</v>
      </c>
      <c r="V8" s="605" t="s">
        <v>108</v>
      </c>
      <c r="W8" s="519" t="s">
        <v>416</v>
      </c>
      <c r="X8" s="604" t="s">
        <v>69</v>
      </c>
      <c r="Y8" s="607" t="s">
        <v>426</v>
      </c>
      <c r="Z8" s="519" t="s">
        <v>416</v>
      </c>
      <c r="AA8" s="604" t="s">
        <v>69</v>
      </c>
      <c r="AB8" s="604" t="s">
        <v>69</v>
      </c>
      <c r="AC8" s="516" t="s">
        <v>108</v>
      </c>
      <c r="AD8" s="517" t="s">
        <v>69</v>
      </c>
      <c r="AE8" s="521" t="s">
        <v>426</v>
      </c>
      <c r="AF8" s="517" t="s">
        <v>69</v>
      </c>
      <c r="AG8" s="521" t="s">
        <v>426</v>
      </c>
      <c r="AH8" s="517" t="s">
        <v>69</v>
      </c>
      <c r="AI8" s="521" t="s">
        <v>426</v>
      </c>
      <c r="AJ8" s="605" t="s">
        <v>108</v>
      </c>
      <c r="AK8" s="519" t="s">
        <v>416</v>
      </c>
      <c r="AL8" s="519" t="s">
        <v>416</v>
      </c>
      <c r="AM8" s="600">
        <v>7</v>
      </c>
      <c r="AN8" s="600">
        <v>0</v>
      </c>
      <c r="AO8" s="600">
        <v>0</v>
      </c>
    </row>
    <row r="9" spans="1:41" ht="18">
      <c r="A9" s="601">
        <v>8</v>
      </c>
      <c r="B9" s="593" t="s">
        <v>362</v>
      </c>
      <c r="C9" s="499" t="s">
        <v>10</v>
      </c>
      <c r="D9" s="510" t="s">
        <v>412</v>
      </c>
      <c r="E9" s="511" t="s">
        <v>436</v>
      </c>
      <c r="F9" s="512" t="s">
        <v>437</v>
      </c>
      <c r="G9" s="513" t="s">
        <v>289</v>
      </c>
      <c r="H9" s="513" t="s">
        <v>415</v>
      </c>
      <c r="I9" s="518" t="s">
        <v>69</v>
      </c>
      <c r="J9" s="515" t="s">
        <v>69</v>
      </c>
      <c r="K9" s="517" t="s">
        <v>69</v>
      </c>
      <c r="L9" s="517" t="s">
        <v>69</v>
      </c>
      <c r="M9" s="518" t="s">
        <v>69</v>
      </c>
      <c r="N9" s="602" t="s">
        <v>69</v>
      </c>
      <c r="O9" s="603" t="s">
        <v>108</v>
      </c>
      <c r="P9" s="604" t="s">
        <v>69</v>
      </c>
      <c r="Q9" s="604" t="s">
        <v>69</v>
      </c>
      <c r="R9" s="604" t="s">
        <v>69</v>
      </c>
      <c r="S9" s="604" t="s">
        <v>69</v>
      </c>
      <c r="T9" s="604" t="s">
        <v>69</v>
      </c>
      <c r="U9" s="604" t="s">
        <v>69</v>
      </c>
      <c r="V9" s="605" t="s">
        <v>108</v>
      </c>
      <c r="W9" s="604" t="s">
        <v>69</v>
      </c>
      <c r="X9" s="604" t="s">
        <v>69</v>
      </c>
      <c r="Y9" s="604" t="s">
        <v>69</v>
      </c>
      <c r="Z9" s="604" t="s">
        <v>69</v>
      </c>
      <c r="AA9" s="604" t="s">
        <v>69</v>
      </c>
      <c r="AB9" s="604" t="s">
        <v>69</v>
      </c>
      <c r="AC9" s="516" t="s">
        <v>108</v>
      </c>
      <c r="AD9" s="517" t="s">
        <v>69</v>
      </c>
      <c r="AE9" s="521" t="s">
        <v>426</v>
      </c>
      <c r="AF9" s="516" t="s">
        <v>267</v>
      </c>
      <c r="AG9" s="517" t="s">
        <v>69</v>
      </c>
      <c r="AH9" s="517" t="s">
        <v>69</v>
      </c>
      <c r="AI9" s="517" t="s">
        <v>69</v>
      </c>
      <c r="AJ9" s="605" t="s">
        <v>108</v>
      </c>
      <c r="AK9" s="517" t="s">
        <v>69</v>
      </c>
      <c r="AL9" s="517" t="s">
        <v>69</v>
      </c>
      <c r="AM9" s="600">
        <v>0.5</v>
      </c>
      <c r="AN9" s="600">
        <v>0</v>
      </c>
      <c r="AO9" s="600">
        <v>1</v>
      </c>
    </row>
    <row r="10" spans="1:41" ht="18">
      <c r="A10" s="601">
        <v>9</v>
      </c>
      <c r="B10" s="593" t="s">
        <v>346</v>
      </c>
      <c r="C10" s="499" t="s">
        <v>290</v>
      </c>
      <c r="D10" s="510" t="s">
        <v>412</v>
      </c>
      <c r="E10" s="511" t="s">
        <v>424</v>
      </c>
      <c r="F10" s="512" t="s">
        <v>438</v>
      </c>
      <c r="G10" s="513" t="s">
        <v>291</v>
      </c>
      <c r="H10" s="513" t="s">
        <v>415</v>
      </c>
      <c r="I10" s="518" t="s">
        <v>69</v>
      </c>
      <c r="J10" s="515" t="s">
        <v>69</v>
      </c>
      <c r="K10" s="517" t="s">
        <v>69</v>
      </c>
      <c r="L10" s="517" t="s">
        <v>69</v>
      </c>
      <c r="M10" s="518" t="s">
        <v>69</v>
      </c>
      <c r="N10" s="602" t="s">
        <v>69</v>
      </c>
      <c r="O10" s="540" t="s">
        <v>108</v>
      </c>
      <c r="P10" s="604" t="s">
        <v>69</v>
      </c>
      <c r="Q10" s="604" t="s">
        <v>69</v>
      </c>
      <c r="R10" s="604" t="s">
        <v>69</v>
      </c>
      <c r="S10" s="604" t="s">
        <v>69</v>
      </c>
      <c r="T10" s="604" t="s">
        <v>69</v>
      </c>
      <c r="U10" s="604" t="s">
        <v>69</v>
      </c>
      <c r="V10" s="605" t="s">
        <v>108</v>
      </c>
      <c r="W10" s="604" t="s">
        <v>69</v>
      </c>
      <c r="X10" s="604" t="s">
        <v>69</v>
      </c>
      <c r="Y10" s="604" t="s">
        <v>69</v>
      </c>
      <c r="Z10" s="604" t="s">
        <v>69</v>
      </c>
      <c r="AA10" s="604" t="s">
        <v>69</v>
      </c>
      <c r="AB10" s="604" t="s">
        <v>69</v>
      </c>
      <c r="AC10" s="516" t="s">
        <v>108</v>
      </c>
      <c r="AD10" s="517" t="s">
        <v>69</v>
      </c>
      <c r="AE10" s="517" t="s">
        <v>69</v>
      </c>
      <c r="AF10" s="517" t="s">
        <v>69</v>
      </c>
      <c r="AG10" s="517" t="s">
        <v>69</v>
      </c>
      <c r="AH10" s="521" t="s">
        <v>426</v>
      </c>
      <c r="AI10" s="521" t="s">
        <v>426</v>
      </c>
      <c r="AJ10" s="605" t="s">
        <v>108</v>
      </c>
      <c r="AK10" s="517" t="s">
        <v>69</v>
      </c>
      <c r="AL10" s="517" t="s">
        <v>69</v>
      </c>
      <c r="AM10" s="600">
        <v>1</v>
      </c>
      <c r="AN10" s="600">
        <v>0</v>
      </c>
      <c r="AO10" s="600">
        <v>0</v>
      </c>
    </row>
    <row r="11" spans="1:41" ht="18">
      <c r="A11" s="601">
        <v>10</v>
      </c>
      <c r="B11" s="593" t="s">
        <v>376</v>
      </c>
      <c r="C11" s="608" t="s">
        <v>495</v>
      </c>
      <c r="D11" s="526" t="s">
        <v>412</v>
      </c>
      <c r="E11" s="511" t="s">
        <v>424</v>
      </c>
      <c r="F11" s="512" t="s">
        <v>439</v>
      </c>
      <c r="G11" s="523" t="s">
        <v>292</v>
      </c>
      <c r="H11" s="513" t="s">
        <v>415</v>
      </c>
      <c r="I11" s="518" t="s">
        <v>69</v>
      </c>
      <c r="J11" s="515" t="s">
        <v>69</v>
      </c>
      <c r="K11" s="517" t="s">
        <v>69</v>
      </c>
      <c r="L11" s="606" t="s">
        <v>416</v>
      </c>
      <c r="M11" s="609" t="s">
        <v>416</v>
      </c>
      <c r="N11" s="610" t="s">
        <v>416</v>
      </c>
      <c r="O11" s="603" t="s">
        <v>108</v>
      </c>
      <c r="P11" s="604" t="s">
        <v>69</v>
      </c>
      <c r="Q11" s="612" t="s">
        <v>69</v>
      </c>
      <c r="R11" s="604" t="s">
        <v>69</v>
      </c>
      <c r="S11" s="604" t="s">
        <v>69</v>
      </c>
      <c r="T11" s="604" t="s">
        <v>69</v>
      </c>
      <c r="U11" s="606" t="s">
        <v>416</v>
      </c>
      <c r="V11" s="606" t="s">
        <v>416</v>
      </c>
      <c r="W11" s="519" t="s">
        <v>416</v>
      </c>
      <c r="X11" s="606" t="s">
        <v>416</v>
      </c>
      <c r="Y11" s="606" t="s">
        <v>416</v>
      </c>
      <c r="Z11" s="606" t="s">
        <v>416</v>
      </c>
      <c r="AA11" s="606" t="s">
        <v>416</v>
      </c>
      <c r="AB11" s="606" t="s">
        <v>416</v>
      </c>
      <c r="AC11" s="606" t="s">
        <v>416</v>
      </c>
      <c r="AD11" s="606" t="s">
        <v>416</v>
      </c>
      <c r="AE11" s="606" t="s">
        <v>416</v>
      </c>
      <c r="AF11" s="606" t="s">
        <v>416</v>
      </c>
      <c r="AG11" s="606" t="s">
        <v>416</v>
      </c>
      <c r="AH11" s="606" t="s">
        <v>416</v>
      </c>
      <c r="AI11" s="606" t="s">
        <v>416</v>
      </c>
      <c r="AJ11" s="606" t="s">
        <v>416</v>
      </c>
      <c r="AK11" s="606" t="s">
        <v>416</v>
      </c>
      <c r="AL11" s="606" t="s">
        <v>416</v>
      </c>
      <c r="AM11" s="600">
        <v>21</v>
      </c>
      <c r="AN11" s="600">
        <v>0</v>
      </c>
      <c r="AO11" s="600">
        <v>0</v>
      </c>
    </row>
    <row r="12" spans="1:41" ht="18">
      <c r="A12" s="601">
        <v>11</v>
      </c>
      <c r="B12" s="593" t="s">
        <v>328</v>
      </c>
      <c r="C12" s="499" t="s">
        <v>13</v>
      </c>
      <c r="D12" s="510" t="s">
        <v>412</v>
      </c>
      <c r="E12" s="511" t="s">
        <v>436</v>
      </c>
      <c r="F12" s="512" t="s">
        <v>440</v>
      </c>
      <c r="G12" s="513" t="s">
        <v>133</v>
      </c>
      <c r="H12" s="513" t="s">
        <v>415</v>
      </c>
      <c r="I12" s="518" t="s">
        <v>69</v>
      </c>
      <c r="J12" s="515" t="s">
        <v>69</v>
      </c>
      <c r="K12" s="519" t="s">
        <v>416</v>
      </c>
      <c r="L12" s="606" t="s">
        <v>416</v>
      </c>
      <c r="M12" s="613" t="s">
        <v>69</v>
      </c>
      <c r="N12" s="614" t="s">
        <v>69</v>
      </c>
      <c r="O12" s="540" t="s">
        <v>108</v>
      </c>
      <c r="P12" s="613" t="s">
        <v>69</v>
      </c>
      <c r="Q12" s="597" t="s">
        <v>416</v>
      </c>
      <c r="R12" s="604" t="s">
        <v>69</v>
      </c>
      <c r="S12" s="604" t="s">
        <v>69</v>
      </c>
      <c r="T12" s="604" t="s">
        <v>69</v>
      </c>
      <c r="U12" s="604" t="s">
        <v>69</v>
      </c>
      <c r="V12" s="605" t="s">
        <v>108</v>
      </c>
      <c r="W12" s="604" t="s">
        <v>69</v>
      </c>
      <c r="X12" s="604" t="s">
        <v>69</v>
      </c>
      <c r="Y12" s="604" t="s">
        <v>69</v>
      </c>
      <c r="Z12" s="604" t="s">
        <v>69</v>
      </c>
      <c r="AA12" s="604" t="s">
        <v>69</v>
      </c>
      <c r="AB12" s="604" t="s">
        <v>69</v>
      </c>
      <c r="AC12" s="516" t="s">
        <v>108</v>
      </c>
      <c r="AD12" s="519" t="s">
        <v>416</v>
      </c>
      <c r="AE12" s="517" t="s">
        <v>69</v>
      </c>
      <c r="AF12" s="516" t="s">
        <v>267</v>
      </c>
      <c r="AG12" s="604" t="s">
        <v>69</v>
      </c>
      <c r="AH12" s="604" t="s">
        <v>69</v>
      </c>
      <c r="AI12" s="604" t="s">
        <v>69</v>
      </c>
      <c r="AJ12" s="604" t="s">
        <v>69</v>
      </c>
      <c r="AK12" s="604" t="s">
        <v>69</v>
      </c>
      <c r="AL12" s="604" t="s">
        <v>69</v>
      </c>
      <c r="AM12" s="600">
        <v>4</v>
      </c>
      <c r="AN12" s="600">
        <v>0</v>
      </c>
      <c r="AO12" s="600">
        <v>1</v>
      </c>
    </row>
    <row r="13" spans="1:41" ht="18">
      <c r="A13" s="601">
        <v>12</v>
      </c>
      <c r="B13" s="593" t="s">
        <v>496</v>
      </c>
      <c r="C13" s="608" t="s">
        <v>497</v>
      </c>
      <c r="D13" s="526" t="s">
        <v>475</v>
      </c>
      <c r="E13" s="511" t="s">
        <v>475</v>
      </c>
      <c r="F13" s="512" t="s">
        <v>475</v>
      </c>
      <c r="G13" s="513" t="s">
        <v>475</v>
      </c>
      <c r="H13" s="513" t="s">
        <v>475</v>
      </c>
      <c r="I13" s="514" t="s">
        <v>475</v>
      </c>
      <c r="J13" s="527" t="s">
        <v>475</v>
      </c>
      <c r="K13" s="527" t="s">
        <v>475</v>
      </c>
      <c r="L13" s="527" t="s">
        <v>475</v>
      </c>
      <c r="M13" s="527" t="s">
        <v>475</v>
      </c>
      <c r="N13" s="528" t="s">
        <v>475</v>
      </c>
      <c r="O13" s="603" t="s">
        <v>108</v>
      </c>
      <c r="P13" s="514" t="s">
        <v>475</v>
      </c>
      <c r="Q13" s="527" t="s">
        <v>475</v>
      </c>
      <c r="R13" s="527" t="s">
        <v>475</v>
      </c>
      <c r="S13" s="527" t="s">
        <v>475</v>
      </c>
      <c r="T13" s="527" t="s">
        <v>475</v>
      </c>
      <c r="U13" s="527" t="s">
        <v>475</v>
      </c>
      <c r="V13" s="605" t="s">
        <v>108</v>
      </c>
      <c r="W13" s="514" t="s">
        <v>475</v>
      </c>
      <c r="X13" s="527" t="s">
        <v>475</v>
      </c>
      <c r="Y13" s="527" t="s">
        <v>475</v>
      </c>
      <c r="Z13" s="527" t="s">
        <v>475</v>
      </c>
      <c r="AA13" s="527" t="s">
        <v>475</v>
      </c>
      <c r="AB13" s="527" t="s">
        <v>475</v>
      </c>
      <c r="AC13" s="540" t="s">
        <v>108</v>
      </c>
      <c r="AD13" s="517" t="s">
        <v>69</v>
      </c>
      <c r="AE13" s="517" t="s">
        <v>69</v>
      </c>
      <c r="AF13" s="521" t="s">
        <v>426</v>
      </c>
      <c r="AG13" s="604" t="s">
        <v>69</v>
      </c>
      <c r="AH13" s="604" t="s">
        <v>69</v>
      </c>
      <c r="AI13" s="604" t="s">
        <v>69</v>
      </c>
      <c r="AJ13" s="605" t="s">
        <v>108</v>
      </c>
      <c r="AK13" s="604" t="s">
        <v>69</v>
      </c>
      <c r="AL13" s="604" t="s">
        <v>69</v>
      </c>
      <c r="AM13" s="600">
        <v>0.5</v>
      </c>
      <c r="AN13" s="600">
        <v>0</v>
      </c>
      <c r="AO13" s="600">
        <v>0</v>
      </c>
    </row>
    <row r="14" spans="1:41" ht="18">
      <c r="A14" s="601">
        <v>13</v>
      </c>
      <c r="B14" s="593" t="s">
        <v>360</v>
      </c>
      <c r="C14" s="608" t="s">
        <v>498</v>
      </c>
      <c r="D14" s="526" t="s">
        <v>412</v>
      </c>
      <c r="E14" s="511" t="s">
        <v>418</v>
      </c>
      <c r="F14" s="512" t="s">
        <v>441</v>
      </c>
      <c r="G14" s="513" t="s">
        <v>292</v>
      </c>
      <c r="H14" s="513" t="s">
        <v>415</v>
      </c>
      <c r="I14" s="518" t="s">
        <v>69</v>
      </c>
      <c r="J14" s="515" t="s">
        <v>69</v>
      </c>
      <c r="K14" s="517" t="s">
        <v>69</v>
      </c>
      <c r="L14" s="521" t="s">
        <v>426</v>
      </c>
      <c r="M14" s="613" t="s">
        <v>69</v>
      </c>
      <c r="N14" s="610" t="s">
        <v>416</v>
      </c>
      <c r="O14" s="603" t="s">
        <v>108</v>
      </c>
      <c r="P14" s="604" t="s">
        <v>69</v>
      </c>
      <c r="Q14" s="604" t="s">
        <v>69</v>
      </c>
      <c r="R14" s="604" t="s">
        <v>69</v>
      </c>
      <c r="S14" s="604" t="s">
        <v>69</v>
      </c>
      <c r="T14" s="604" t="s">
        <v>69</v>
      </c>
      <c r="U14" s="604" t="s">
        <v>69</v>
      </c>
      <c r="V14" s="605" t="s">
        <v>108</v>
      </c>
      <c r="W14" s="519" t="s">
        <v>416</v>
      </c>
      <c r="X14" s="604" t="s">
        <v>69</v>
      </c>
      <c r="Y14" s="604" t="s">
        <v>69</v>
      </c>
      <c r="Z14" s="604" t="s">
        <v>69</v>
      </c>
      <c r="AA14" s="604" t="s">
        <v>69</v>
      </c>
      <c r="AB14" s="604" t="s">
        <v>69</v>
      </c>
      <c r="AC14" s="516" t="s">
        <v>108</v>
      </c>
      <c r="AD14" s="517" t="s">
        <v>69</v>
      </c>
      <c r="AE14" s="517" t="s">
        <v>69</v>
      </c>
      <c r="AF14" s="604" t="s">
        <v>69</v>
      </c>
      <c r="AG14" s="604" t="s">
        <v>69</v>
      </c>
      <c r="AH14" s="604" t="s">
        <v>69</v>
      </c>
      <c r="AI14" s="604" t="s">
        <v>69</v>
      </c>
      <c r="AJ14" s="605" t="s">
        <v>108</v>
      </c>
      <c r="AK14" s="604" t="s">
        <v>69</v>
      </c>
      <c r="AL14" s="604" t="s">
        <v>69</v>
      </c>
      <c r="AM14" s="600">
        <v>2.5</v>
      </c>
      <c r="AN14" s="600">
        <v>0</v>
      </c>
      <c r="AO14" s="600">
        <v>0</v>
      </c>
    </row>
    <row r="15" spans="1:41" ht="18">
      <c r="A15" s="601">
        <v>14</v>
      </c>
      <c r="B15" s="593" t="s">
        <v>357</v>
      </c>
      <c r="C15" s="499" t="s">
        <v>177</v>
      </c>
      <c r="D15" s="510" t="s">
        <v>412</v>
      </c>
      <c r="E15" s="511" t="s">
        <v>424</v>
      </c>
      <c r="F15" s="512" t="s">
        <v>442</v>
      </c>
      <c r="G15" s="513" t="s">
        <v>293</v>
      </c>
      <c r="H15" s="513" t="s">
        <v>415</v>
      </c>
      <c r="I15" s="518" t="s">
        <v>69</v>
      </c>
      <c r="J15" s="515" t="s">
        <v>69</v>
      </c>
      <c r="K15" s="517" t="s">
        <v>69</v>
      </c>
      <c r="L15" s="517" t="s">
        <v>69</v>
      </c>
      <c r="M15" s="613" t="s">
        <v>69</v>
      </c>
      <c r="N15" s="602" t="s">
        <v>69</v>
      </c>
      <c r="O15" s="540" t="s">
        <v>108</v>
      </c>
      <c r="P15" s="604" t="s">
        <v>69</v>
      </c>
      <c r="Q15" s="606" t="s">
        <v>416</v>
      </c>
      <c r="R15" s="612" t="s">
        <v>69</v>
      </c>
      <c r="S15" s="604" t="s">
        <v>69</v>
      </c>
      <c r="T15" s="604" t="s">
        <v>69</v>
      </c>
      <c r="U15" s="604" t="s">
        <v>69</v>
      </c>
      <c r="V15" s="605" t="s">
        <v>108</v>
      </c>
      <c r="W15" s="519" t="s">
        <v>416</v>
      </c>
      <c r="X15" s="604" t="s">
        <v>69</v>
      </c>
      <c r="Y15" s="604" t="s">
        <v>69</v>
      </c>
      <c r="Z15" s="604" t="s">
        <v>69</v>
      </c>
      <c r="AA15" s="604" t="s">
        <v>69</v>
      </c>
      <c r="AB15" s="604" t="s">
        <v>69</v>
      </c>
      <c r="AC15" s="516" t="s">
        <v>108</v>
      </c>
      <c r="AD15" s="517" t="s">
        <v>69</v>
      </c>
      <c r="AE15" s="517" t="s">
        <v>69</v>
      </c>
      <c r="AF15" s="604" t="s">
        <v>69</v>
      </c>
      <c r="AG15" s="604" t="s">
        <v>69</v>
      </c>
      <c r="AH15" s="604" t="s">
        <v>69</v>
      </c>
      <c r="AI15" s="605" t="s">
        <v>267</v>
      </c>
      <c r="AJ15" s="605" t="s">
        <v>108</v>
      </c>
      <c r="AK15" s="604" t="s">
        <v>69</v>
      </c>
      <c r="AL15" s="604" t="s">
        <v>69</v>
      </c>
      <c r="AM15" s="600">
        <v>2</v>
      </c>
      <c r="AN15" s="600">
        <v>0</v>
      </c>
      <c r="AO15" s="600">
        <v>1</v>
      </c>
    </row>
    <row r="16" spans="1:41" ht="18">
      <c r="A16" s="601">
        <v>15</v>
      </c>
      <c r="B16" s="593" t="s">
        <v>354</v>
      </c>
      <c r="C16" s="499" t="s">
        <v>294</v>
      </c>
      <c r="D16" s="510" t="s">
        <v>412</v>
      </c>
      <c r="E16" s="511" t="s">
        <v>443</v>
      </c>
      <c r="F16" s="512" t="s">
        <v>444</v>
      </c>
      <c r="G16" s="513" t="s">
        <v>295</v>
      </c>
      <c r="H16" s="513" t="s">
        <v>415</v>
      </c>
      <c r="I16" s="518" t="s">
        <v>69</v>
      </c>
      <c r="J16" s="515" t="s">
        <v>69</v>
      </c>
      <c r="K16" s="517" t="s">
        <v>69</v>
      </c>
      <c r="L16" s="517" t="s">
        <v>69</v>
      </c>
      <c r="M16" s="518" t="s">
        <v>69</v>
      </c>
      <c r="N16" s="534" t="s">
        <v>69</v>
      </c>
      <c r="O16" s="603" t="s">
        <v>108</v>
      </c>
      <c r="P16" s="606" t="s">
        <v>416</v>
      </c>
      <c r="Q16" s="613" t="s">
        <v>69</v>
      </c>
      <c r="R16" s="615" t="s">
        <v>69</v>
      </c>
      <c r="S16" s="604" t="s">
        <v>69</v>
      </c>
      <c r="T16" s="616" t="s">
        <v>267</v>
      </c>
      <c r="U16" s="604" t="s">
        <v>69</v>
      </c>
      <c r="V16" s="605" t="s">
        <v>108</v>
      </c>
      <c r="W16" s="517" t="s">
        <v>69</v>
      </c>
      <c r="X16" s="517" t="s">
        <v>69</v>
      </c>
      <c r="Y16" s="517" t="s">
        <v>69</v>
      </c>
      <c r="Z16" s="519" t="s">
        <v>416</v>
      </c>
      <c r="AA16" s="604" t="s">
        <v>69</v>
      </c>
      <c r="AB16" s="604" t="s">
        <v>69</v>
      </c>
      <c r="AC16" s="516" t="s">
        <v>108</v>
      </c>
      <c r="AD16" s="517" t="s">
        <v>69</v>
      </c>
      <c r="AE16" s="517" t="s">
        <v>69</v>
      </c>
      <c r="AF16" s="517" t="s">
        <v>69</v>
      </c>
      <c r="AG16" s="517" t="s">
        <v>69</v>
      </c>
      <c r="AH16" s="604" t="s">
        <v>69</v>
      </c>
      <c r="AI16" s="605" t="s">
        <v>267</v>
      </c>
      <c r="AJ16" s="605" t="s">
        <v>108</v>
      </c>
      <c r="AK16" s="604" t="s">
        <v>69</v>
      </c>
      <c r="AL16" s="519" t="s">
        <v>416</v>
      </c>
      <c r="AM16" s="600">
        <v>3</v>
      </c>
      <c r="AN16" s="600">
        <v>0</v>
      </c>
      <c r="AO16" s="600">
        <v>2</v>
      </c>
    </row>
    <row r="17" spans="1:41" ht="18">
      <c r="A17" s="601">
        <v>16</v>
      </c>
      <c r="B17" s="593" t="s">
        <v>312</v>
      </c>
      <c r="C17" s="499" t="s">
        <v>17</v>
      </c>
      <c r="D17" s="510" t="s">
        <v>412</v>
      </c>
      <c r="E17" s="511" t="s">
        <v>445</v>
      </c>
      <c r="F17" s="512" t="s">
        <v>446</v>
      </c>
      <c r="G17" s="513" t="s">
        <v>291</v>
      </c>
      <c r="H17" s="513" t="s">
        <v>415</v>
      </c>
      <c r="I17" s="518" t="s">
        <v>69</v>
      </c>
      <c r="J17" s="515" t="s">
        <v>69</v>
      </c>
      <c r="K17" s="517" t="s">
        <v>69</v>
      </c>
      <c r="L17" s="517" t="s">
        <v>69</v>
      </c>
      <c r="M17" s="613" t="s">
        <v>69</v>
      </c>
      <c r="N17" s="602" t="s">
        <v>69</v>
      </c>
      <c r="O17" s="540" t="s">
        <v>108</v>
      </c>
      <c r="P17" s="517" t="s">
        <v>69</v>
      </c>
      <c r="Q17" s="613" t="s">
        <v>69</v>
      </c>
      <c r="R17" s="617" t="s">
        <v>69</v>
      </c>
      <c r="S17" s="604" t="s">
        <v>69</v>
      </c>
      <c r="T17" s="604" t="s">
        <v>69</v>
      </c>
      <c r="U17" s="517" t="s">
        <v>69</v>
      </c>
      <c r="V17" s="605" t="s">
        <v>108</v>
      </c>
      <c r="W17" s="517" t="s">
        <v>69</v>
      </c>
      <c r="X17" s="517" t="s">
        <v>69</v>
      </c>
      <c r="Y17" s="606" t="s">
        <v>416</v>
      </c>
      <c r="Z17" s="517" t="s">
        <v>69</v>
      </c>
      <c r="AA17" s="517" t="s">
        <v>69</v>
      </c>
      <c r="AB17" s="517" t="s">
        <v>69</v>
      </c>
      <c r="AC17" s="516" t="s">
        <v>108</v>
      </c>
      <c r="AD17" s="517" t="s">
        <v>69</v>
      </c>
      <c r="AE17" s="517" t="s">
        <v>69</v>
      </c>
      <c r="AF17" s="517" t="s">
        <v>69</v>
      </c>
      <c r="AG17" s="517" t="s">
        <v>69</v>
      </c>
      <c r="AH17" s="517" t="s">
        <v>69</v>
      </c>
      <c r="AI17" s="517" t="s">
        <v>69</v>
      </c>
      <c r="AJ17" s="517" t="s">
        <v>69</v>
      </c>
      <c r="AK17" s="517" t="s">
        <v>69</v>
      </c>
      <c r="AL17" s="519" t="s">
        <v>416</v>
      </c>
      <c r="AM17" s="600">
        <v>2</v>
      </c>
      <c r="AN17" s="600">
        <v>0</v>
      </c>
      <c r="AO17" s="600">
        <v>0</v>
      </c>
    </row>
    <row r="18" spans="1:41" ht="18">
      <c r="A18" s="601">
        <v>17</v>
      </c>
      <c r="B18" s="593" t="s">
        <v>368</v>
      </c>
      <c r="C18" s="499" t="s">
        <v>18</v>
      </c>
      <c r="D18" s="510" t="s">
        <v>412</v>
      </c>
      <c r="E18" s="511" t="s">
        <v>418</v>
      </c>
      <c r="F18" s="512" t="s">
        <v>447</v>
      </c>
      <c r="G18" s="513" t="s">
        <v>286</v>
      </c>
      <c r="H18" s="513" t="s">
        <v>415</v>
      </c>
      <c r="I18" s="518" t="s">
        <v>69</v>
      </c>
      <c r="J18" s="515" t="s">
        <v>69</v>
      </c>
      <c r="K18" s="517" t="s">
        <v>69</v>
      </c>
      <c r="L18" s="517" t="s">
        <v>69</v>
      </c>
      <c r="M18" s="613" t="s">
        <v>69</v>
      </c>
      <c r="N18" s="602" t="s">
        <v>69</v>
      </c>
      <c r="O18" s="603" t="s">
        <v>108</v>
      </c>
      <c r="P18" s="517" t="s">
        <v>69</v>
      </c>
      <c r="Q18" s="518" t="s">
        <v>69</v>
      </c>
      <c r="R18" s="617" t="s">
        <v>69</v>
      </c>
      <c r="S18" s="612" t="s">
        <v>69</v>
      </c>
      <c r="T18" s="612" t="s">
        <v>69</v>
      </c>
      <c r="U18" s="612" t="s">
        <v>69</v>
      </c>
      <c r="V18" s="605" t="s">
        <v>108</v>
      </c>
      <c r="W18" s="517" t="s">
        <v>69</v>
      </c>
      <c r="X18" s="517" t="s">
        <v>69</v>
      </c>
      <c r="Y18" s="517" t="s">
        <v>69</v>
      </c>
      <c r="Z18" s="517" t="s">
        <v>69</v>
      </c>
      <c r="AA18" s="517" t="s">
        <v>69</v>
      </c>
      <c r="AB18" s="517" t="s">
        <v>69</v>
      </c>
      <c r="AC18" s="516" t="s">
        <v>108</v>
      </c>
      <c r="AD18" s="517" t="s">
        <v>69</v>
      </c>
      <c r="AE18" s="517" t="s">
        <v>69</v>
      </c>
      <c r="AF18" s="517" t="s">
        <v>69</v>
      </c>
      <c r="AG18" s="517" t="s">
        <v>69</v>
      </c>
      <c r="AH18" s="517" t="s">
        <v>69</v>
      </c>
      <c r="AI18" s="521" t="s">
        <v>426</v>
      </c>
      <c r="AJ18" s="605" t="s">
        <v>108</v>
      </c>
      <c r="AK18" s="517" t="s">
        <v>69</v>
      </c>
      <c r="AL18" s="517" t="s">
        <v>69</v>
      </c>
      <c r="AM18" s="600">
        <v>0.5</v>
      </c>
      <c r="AN18" s="600">
        <v>0</v>
      </c>
      <c r="AO18" s="600">
        <v>0</v>
      </c>
    </row>
    <row r="19" spans="1:41" ht="18">
      <c r="A19" s="601">
        <v>18</v>
      </c>
      <c r="B19" s="593" t="s">
        <v>448</v>
      </c>
      <c r="C19" s="608" t="s">
        <v>449</v>
      </c>
      <c r="D19" s="526" t="s">
        <v>412</v>
      </c>
      <c r="E19" s="511" t="s">
        <v>418</v>
      </c>
      <c r="F19" s="512" t="s">
        <v>450</v>
      </c>
      <c r="G19" s="513" t="s">
        <v>296</v>
      </c>
      <c r="H19" s="513" t="s">
        <v>415</v>
      </c>
      <c r="I19" s="518" t="s">
        <v>69</v>
      </c>
      <c r="J19" s="515" t="s">
        <v>69</v>
      </c>
      <c r="K19" s="517" t="s">
        <v>69</v>
      </c>
      <c r="L19" s="606" t="s">
        <v>416</v>
      </c>
      <c r="M19" s="3" t="s">
        <v>69</v>
      </c>
      <c r="N19" s="614" t="s">
        <v>69</v>
      </c>
      <c r="O19" s="540" t="s">
        <v>108</v>
      </c>
      <c r="P19" s="517" t="s">
        <v>69</v>
      </c>
      <c r="Q19" s="518" t="s">
        <v>69</v>
      </c>
      <c r="R19" s="618" t="s">
        <v>426</v>
      </c>
      <c r="S19" s="615" t="s">
        <v>69</v>
      </c>
      <c r="T19" s="598" t="s">
        <v>69</v>
      </c>
      <c r="U19" s="598" t="s">
        <v>69</v>
      </c>
      <c r="V19" s="605" t="s">
        <v>108</v>
      </c>
      <c r="W19" s="518" t="s">
        <v>69</v>
      </c>
      <c r="X19" s="534" t="s">
        <v>69</v>
      </c>
      <c r="Y19" s="534" t="s">
        <v>69</v>
      </c>
      <c r="Z19" s="534" t="s">
        <v>69</v>
      </c>
      <c r="AA19" s="534" t="s">
        <v>69</v>
      </c>
      <c r="AB19" s="534" t="s">
        <v>69</v>
      </c>
      <c r="AC19" s="540" t="s">
        <v>108</v>
      </c>
      <c r="AD19" s="518" t="s">
        <v>69</v>
      </c>
      <c r="AE19" s="534" t="s">
        <v>69</v>
      </c>
      <c r="AF19" s="534" t="s">
        <v>69</v>
      </c>
      <c r="AG19" s="619" t="s">
        <v>426</v>
      </c>
      <c r="AH19" s="521" t="s">
        <v>426</v>
      </c>
      <c r="AI19" s="604" t="s">
        <v>69</v>
      </c>
      <c r="AJ19" s="605" t="s">
        <v>108</v>
      </c>
      <c r="AK19" s="517" t="s">
        <v>69</v>
      </c>
      <c r="AL19" s="522" t="s">
        <v>267</v>
      </c>
      <c r="AM19" s="600">
        <v>2.5</v>
      </c>
      <c r="AN19" s="600">
        <v>0</v>
      </c>
      <c r="AO19" s="600">
        <v>1</v>
      </c>
    </row>
    <row r="20" spans="1:41" ht="18">
      <c r="A20" s="601">
        <v>19</v>
      </c>
      <c r="B20" s="593" t="s">
        <v>375</v>
      </c>
      <c r="C20" s="499" t="s">
        <v>238</v>
      </c>
      <c r="D20" s="510" t="s">
        <v>412</v>
      </c>
      <c r="E20" s="511" t="s">
        <v>424</v>
      </c>
      <c r="F20" s="512" t="s">
        <v>451</v>
      </c>
      <c r="G20" s="523" t="s">
        <v>297</v>
      </c>
      <c r="H20" s="513" t="s">
        <v>415</v>
      </c>
      <c r="I20" s="518" t="s">
        <v>69</v>
      </c>
      <c r="J20" s="515" t="s">
        <v>69</v>
      </c>
      <c r="K20" s="517" t="s">
        <v>69</v>
      </c>
      <c r="L20" s="518" t="s">
        <v>69</v>
      </c>
      <c r="M20" s="620" t="s">
        <v>69</v>
      </c>
      <c r="N20" s="621" t="s">
        <v>69</v>
      </c>
      <c r="O20" s="603" t="s">
        <v>108</v>
      </c>
      <c r="P20" s="604" t="s">
        <v>69</v>
      </c>
      <c r="Q20" s="518" t="s">
        <v>69</v>
      </c>
      <c r="R20" s="617" t="s">
        <v>69</v>
      </c>
      <c r="S20" s="604" t="s">
        <v>69</v>
      </c>
      <c r="T20" s="604" t="s">
        <v>69</v>
      </c>
      <c r="U20" s="604" t="s">
        <v>69</v>
      </c>
      <c r="V20" s="605" t="s">
        <v>108</v>
      </c>
      <c r="W20" s="518" t="s">
        <v>69</v>
      </c>
      <c r="X20" s="534" t="s">
        <v>69</v>
      </c>
      <c r="Y20" s="534" t="s">
        <v>69</v>
      </c>
      <c r="Z20" s="534" t="s">
        <v>69</v>
      </c>
      <c r="AA20" s="534" t="s">
        <v>69</v>
      </c>
      <c r="AB20" s="534" t="s">
        <v>69</v>
      </c>
      <c r="AC20" s="540" t="s">
        <v>108</v>
      </c>
      <c r="AD20" s="604" t="s">
        <v>69</v>
      </c>
      <c r="AE20" s="604" t="s">
        <v>69</v>
      </c>
      <c r="AF20" s="604" t="s">
        <v>69</v>
      </c>
      <c r="AG20" s="604" t="s">
        <v>69</v>
      </c>
      <c r="AH20" s="604" t="s">
        <v>69</v>
      </c>
      <c r="AI20" s="604" t="s">
        <v>69</v>
      </c>
      <c r="AJ20" s="605" t="s">
        <v>108</v>
      </c>
      <c r="AK20" s="519" t="s">
        <v>416</v>
      </c>
      <c r="AL20" s="604" t="s">
        <v>69</v>
      </c>
      <c r="AM20" s="600">
        <v>1</v>
      </c>
      <c r="AN20" s="600">
        <v>0</v>
      </c>
      <c r="AO20" s="600">
        <v>0</v>
      </c>
    </row>
    <row r="21" spans="1:41" ht="18">
      <c r="A21" s="601">
        <v>20</v>
      </c>
      <c r="B21" s="593" t="s">
        <v>335</v>
      </c>
      <c r="C21" s="499" t="s">
        <v>22</v>
      </c>
      <c r="D21" s="510" t="s">
        <v>412</v>
      </c>
      <c r="E21" s="511" t="s">
        <v>418</v>
      </c>
      <c r="F21" s="512" t="s">
        <v>452</v>
      </c>
      <c r="G21" s="513" t="s">
        <v>285</v>
      </c>
      <c r="H21" s="513" t="s">
        <v>415</v>
      </c>
      <c r="I21" s="514" t="s">
        <v>416</v>
      </c>
      <c r="J21" s="515" t="s">
        <v>69</v>
      </c>
      <c r="K21" s="517" t="s">
        <v>69</v>
      </c>
      <c r="L21" s="518" t="s">
        <v>69</v>
      </c>
      <c r="M21" s="507" t="s">
        <v>69</v>
      </c>
      <c r="N21" s="506" t="s">
        <v>69</v>
      </c>
      <c r="O21" s="540" t="s">
        <v>108</v>
      </c>
      <c r="P21" s="604" t="s">
        <v>69</v>
      </c>
      <c r="Q21" s="518" t="s">
        <v>69</v>
      </c>
      <c r="R21" s="617" t="s">
        <v>69</v>
      </c>
      <c r="S21" s="604" t="s">
        <v>69</v>
      </c>
      <c r="T21" s="604" t="s">
        <v>69</v>
      </c>
      <c r="U21" s="604" t="s">
        <v>69</v>
      </c>
      <c r="V21" s="605" t="s">
        <v>108</v>
      </c>
      <c r="W21" s="518" t="s">
        <v>69</v>
      </c>
      <c r="X21" s="534" t="s">
        <v>69</v>
      </c>
      <c r="Y21" s="534" t="s">
        <v>69</v>
      </c>
      <c r="Z21" s="534" t="s">
        <v>69</v>
      </c>
      <c r="AA21" s="534" t="s">
        <v>69</v>
      </c>
      <c r="AB21" s="534" t="s">
        <v>69</v>
      </c>
      <c r="AC21" s="540" t="s">
        <v>108</v>
      </c>
      <c r="AD21" s="517" t="s">
        <v>69</v>
      </c>
      <c r="AE21" s="517" t="s">
        <v>69</v>
      </c>
      <c r="AF21" s="517" t="s">
        <v>69</v>
      </c>
      <c r="AG21" s="517" t="s">
        <v>69</v>
      </c>
      <c r="AH21" s="604" t="s">
        <v>69</v>
      </c>
      <c r="AI21" s="604" t="s">
        <v>69</v>
      </c>
      <c r="AJ21" s="605" t="s">
        <v>108</v>
      </c>
      <c r="AK21" s="517" t="s">
        <v>69</v>
      </c>
      <c r="AL21" s="517" t="s">
        <v>69</v>
      </c>
      <c r="AM21" s="600">
        <v>1</v>
      </c>
      <c r="AN21" s="600">
        <v>0</v>
      </c>
      <c r="AO21" s="600">
        <v>0</v>
      </c>
    </row>
    <row r="22" spans="1:41" ht="18">
      <c r="A22" s="601">
        <v>21</v>
      </c>
      <c r="B22" s="593" t="s">
        <v>359</v>
      </c>
      <c r="C22" s="608" t="s">
        <v>499</v>
      </c>
      <c r="D22" s="526" t="s">
        <v>412</v>
      </c>
      <c r="E22" s="511" t="s">
        <v>424</v>
      </c>
      <c r="F22" s="512" t="s">
        <v>453</v>
      </c>
      <c r="G22" s="513" t="s">
        <v>289</v>
      </c>
      <c r="H22" s="513" t="s">
        <v>415</v>
      </c>
      <c r="I22" s="518" t="s">
        <v>69</v>
      </c>
      <c r="J22" s="515" t="s">
        <v>69</v>
      </c>
      <c r="K22" s="517" t="s">
        <v>69</v>
      </c>
      <c r="L22" s="517" t="s">
        <v>69</v>
      </c>
      <c r="M22" s="518" t="s">
        <v>69</v>
      </c>
      <c r="N22" s="602" t="s">
        <v>69</v>
      </c>
      <c r="O22" s="603" t="s">
        <v>108</v>
      </c>
      <c r="P22" s="604" t="s">
        <v>69</v>
      </c>
      <c r="Q22" s="613" t="s">
        <v>69</v>
      </c>
      <c r="R22" s="617" t="s">
        <v>69</v>
      </c>
      <c r="S22" s="604" t="s">
        <v>69</v>
      </c>
      <c r="T22" s="604" t="s">
        <v>69</v>
      </c>
      <c r="U22" s="604" t="s">
        <v>69</v>
      </c>
      <c r="V22" s="605" t="s">
        <v>108</v>
      </c>
      <c r="W22" s="518" t="s">
        <v>69</v>
      </c>
      <c r="X22" s="534" t="s">
        <v>69</v>
      </c>
      <c r="Y22" s="534" t="s">
        <v>69</v>
      </c>
      <c r="Z22" s="534" t="s">
        <v>69</v>
      </c>
      <c r="AA22" s="534" t="s">
        <v>69</v>
      </c>
      <c r="AB22" s="534" t="s">
        <v>69</v>
      </c>
      <c r="AC22" s="540" t="s">
        <v>108</v>
      </c>
      <c r="AD22" s="517" t="s">
        <v>69</v>
      </c>
      <c r="AE22" s="517" t="s">
        <v>69</v>
      </c>
      <c r="AF22" s="517" t="s">
        <v>69</v>
      </c>
      <c r="AG22" s="606" t="s">
        <v>416</v>
      </c>
      <c r="AH22" s="604" t="s">
        <v>69</v>
      </c>
      <c r="AI22" s="606" t="s">
        <v>416</v>
      </c>
      <c r="AJ22" s="605" t="s">
        <v>108</v>
      </c>
      <c r="AK22" s="517" t="s">
        <v>69</v>
      </c>
      <c r="AL22" s="517" t="s">
        <v>69</v>
      </c>
      <c r="AM22" s="600">
        <v>2</v>
      </c>
      <c r="AN22" s="600">
        <v>0</v>
      </c>
      <c r="AO22" s="600">
        <v>0</v>
      </c>
    </row>
    <row r="23" spans="1:41" ht="18">
      <c r="A23" s="601">
        <v>22</v>
      </c>
      <c r="B23" s="593" t="s">
        <v>401</v>
      </c>
      <c r="C23" s="622" t="s">
        <v>500</v>
      </c>
      <c r="D23" s="526" t="s">
        <v>412</v>
      </c>
      <c r="E23" s="530" t="s">
        <v>424</v>
      </c>
      <c r="F23" s="531" t="s">
        <v>454</v>
      </c>
      <c r="G23" s="532" t="s">
        <v>303</v>
      </c>
      <c r="H23" s="513" t="s">
        <v>415</v>
      </c>
      <c r="I23" s="518" t="s">
        <v>69</v>
      </c>
      <c r="J23" s="537" t="s">
        <v>416</v>
      </c>
      <c r="K23" s="517" t="s">
        <v>69</v>
      </c>
      <c r="L23" s="517" t="s">
        <v>69</v>
      </c>
      <c r="M23" s="518" t="s">
        <v>69</v>
      </c>
      <c r="N23" s="602" t="s">
        <v>69</v>
      </c>
      <c r="O23" s="540" t="s">
        <v>108</v>
      </c>
      <c r="P23" s="604" t="s">
        <v>69</v>
      </c>
      <c r="Q23" s="613" t="s">
        <v>69</v>
      </c>
      <c r="R23" s="617" t="s">
        <v>69</v>
      </c>
      <c r="S23" s="604" t="s">
        <v>69</v>
      </c>
      <c r="T23" s="604" t="s">
        <v>69</v>
      </c>
      <c r="U23" s="604" t="s">
        <v>69</v>
      </c>
      <c r="V23" s="605" t="s">
        <v>108</v>
      </c>
      <c r="W23" s="518" t="s">
        <v>69</v>
      </c>
      <c r="X23" s="534" t="s">
        <v>69</v>
      </c>
      <c r="Y23" s="534" t="s">
        <v>69</v>
      </c>
      <c r="Z23" s="534" t="s">
        <v>69</v>
      </c>
      <c r="AA23" s="534" t="s">
        <v>69</v>
      </c>
      <c r="AB23" s="534" t="s">
        <v>69</v>
      </c>
      <c r="AC23" s="540" t="s">
        <v>108</v>
      </c>
      <c r="AD23" s="519" t="s">
        <v>416</v>
      </c>
      <c r="AE23" s="519" t="s">
        <v>416</v>
      </c>
      <c r="AF23" s="604" t="s">
        <v>69</v>
      </c>
      <c r="AG23" s="521" t="s">
        <v>426</v>
      </c>
      <c r="AH23" s="604" t="s">
        <v>69</v>
      </c>
      <c r="AI23" s="604" t="s">
        <v>69</v>
      </c>
      <c r="AJ23" s="605" t="s">
        <v>108</v>
      </c>
      <c r="AK23" s="517" t="s">
        <v>69</v>
      </c>
      <c r="AL23" s="517" t="s">
        <v>69</v>
      </c>
      <c r="AM23" s="600">
        <v>3.5</v>
      </c>
      <c r="AN23" s="600">
        <v>0</v>
      </c>
      <c r="AO23" s="600">
        <v>0</v>
      </c>
    </row>
    <row r="24" spans="1:41" ht="18">
      <c r="A24" s="601">
        <v>23</v>
      </c>
      <c r="B24" s="593" t="s">
        <v>392</v>
      </c>
      <c r="C24" s="608" t="s">
        <v>501</v>
      </c>
      <c r="D24" s="526" t="s">
        <v>412</v>
      </c>
      <c r="E24" s="503" t="s">
        <v>424</v>
      </c>
      <c r="F24" s="512" t="s">
        <v>455</v>
      </c>
      <c r="G24" s="532" t="s">
        <v>295</v>
      </c>
      <c r="H24" s="513" t="s">
        <v>415</v>
      </c>
      <c r="I24" s="514" t="s">
        <v>416</v>
      </c>
      <c r="J24" s="515" t="s">
        <v>69</v>
      </c>
      <c r="K24" s="517" t="s">
        <v>69</v>
      </c>
      <c r="L24" s="517" t="s">
        <v>69</v>
      </c>
      <c r="M24" s="518" t="s">
        <v>69</v>
      </c>
      <c r="N24" s="614" t="s">
        <v>69</v>
      </c>
      <c r="O24" s="603" t="s">
        <v>108</v>
      </c>
      <c r="P24" s="606" t="s">
        <v>416</v>
      </c>
      <c r="Q24" s="613" t="s">
        <v>69</v>
      </c>
      <c r="R24" s="617" t="s">
        <v>69</v>
      </c>
      <c r="S24" s="604" t="s">
        <v>69</v>
      </c>
      <c r="T24" s="604" t="s">
        <v>69</v>
      </c>
      <c r="U24" s="604" t="s">
        <v>69</v>
      </c>
      <c r="V24" s="605" t="s">
        <v>108</v>
      </c>
      <c r="W24" s="518" t="s">
        <v>69</v>
      </c>
      <c r="X24" s="534" t="s">
        <v>69</v>
      </c>
      <c r="Y24" s="534" t="s">
        <v>69</v>
      </c>
      <c r="Z24" s="534" t="s">
        <v>69</v>
      </c>
      <c r="AA24" s="534" t="s">
        <v>69</v>
      </c>
      <c r="AB24" s="534" t="s">
        <v>69</v>
      </c>
      <c r="AC24" s="540" t="s">
        <v>108</v>
      </c>
      <c r="AD24" s="517" t="s">
        <v>69</v>
      </c>
      <c r="AE24" s="517" t="s">
        <v>69</v>
      </c>
      <c r="AF24" s="517" t="s">
        <v>69</v>
      </c>
      <c r="AG24" s="517" t="s">
        <v>69</v>
      </c>
      <c r="AH24" s="517" t="s">
        <v>69</v>
      </c>
      <c r="AI24" s="517" t="s">
        <v>69</v>
      </c>
      <c r="AJ24" s="605" t="s">
        <v>108</v>
      </c>
      <c r="AK24" s="517" t="s">
        <v>69</v>
      </c>
      <c r="AL24" s="517" t="s">
        <v>69</v>
      </c>
      <c r="AM24" s="600">
        <v>2</v>
      </c>
      <c r="AN24" s="600">
        <v>0</v>
      </c>
      <c r="AO24" s="600">
        <v>0</v>
      </c>
    </row>
    <row r="25" spans="1:41" ht="18">
      <c r="A25" s="601">
        <v>24</v>
      </c>
      <c r="B25" s="593" t="s">
        <v>324</v>
      </c>
      <c r="C25" s="499" t="s">
        <v>140</v>
      </c>
      <c r="D25" s="510" t="s">
        <v>412</v>
      </c>
      <c r="E25" s="511" t="s">
        <v>456</v>
      </c>
      <c r="F25" s="512" t="s">
        <v>457</v>
      </c>
      <c r="G25" s="513" t="s">
        <v>300</v>
      </c>
      <c r="H25" s="513" t="s">
        <v>415</v>
      </c>
      <c r="I25" s="518" t="s">
        <v>69</v>
      </c>
      <c r="J25" s="515" t="s">
        <v>69</v>
      </c>
      <c r="K25" s="517" t="s">
        <v>69</v>
      </c>
      <c r="L25" s="517" t="s">
        <v>69</v>
      </c>
      <c r="M25" s="518" t="s">
        <v>69</v>
      </c>
      <c r="N25" s="623" t="s">
        <v>69</v>
      </c>
      <c r="O25" s="540" t="s">
        <v>108</v>
      </c>
      <c r="P25" s="604" t="s">
        <v>69</v>
      </c>
      <c r="Q25" s="613" t="s">
        <v>69</v>
      </c>
      <c r="R25" s="617" t="s">
        <v>69</v>
      </c>
      <c r="S25" s="604" t="s">
        <v>69</v>
      </c>
      <c r="T25" s="604" t="s">
        <v>69</v>
      </c>
      <c r="U25" s="517" t="s">
        <v>69</v>
      </c>
      <c r="V25" s="605" t="s">
        <v>108</v>
      </c>
      <c r="W25" s="518" t="s">
        <v>69</v>
      </c>
      <c r="X25" s="534" t="s">
        <v>69</v>
      </c>
      <c r="Y25" s="534" t="s">
        <v>69</v>
      </c>
      <c r="Z25" s="534" t="s">
        <v>69</v>
      </c>
      <c r="AA25" s="534" t="s">
        <v>69</v>
      </c>
      <c r="AB25" s="515" t="s">
        <v>69</v>
      </c>
      <c r="AC25" s="516" t="s">
        <v>108</v>
      </c>
      <c r="AD25" s="517" t="s">
        <v>69</v>
      </c>
      <c r="AE25" s="517" t="s">
        <v>69</v>
      </c>
      <c r="AF25" s="517" t="s">
        <v>69</v>
      </c>
      <c r="AG25" s="517" t="s">
        <v>69</v>
      </c>
      <c r="AH25" s="517" t="s">
        <v>69</v>
      </c>
      <c r="AI25" s="517" t="s">
        <v>69</v>
      </c>
      <c r="AJ25" s="517" t="s">
        <v>69</v>
      </c>
      <c r="AK25" s="517" t="s">
        <v>69</v>
      </c>
      <c r="AL25" s="517" t="s">
        <v>69</v>
      </c>
      <c r="AM25" s="600">
        <v>0</v>
      </c>
      <c r="AN25" s="600">
        <v>0</v>
      </c>
      <c r="AO25" s="600">
        <v>0</v>
      </c>
    </row>
    <row r="26" spans="1:41" ht="18">
      <c r="A26" s="601">
        <v>25</v>
      </c>
      <c r="B26" s="593" t="s">
        <v>372</v>
      </c>
      <c r="C26" s="499" t="s">
        <v>222</v>
      </c>
      <c r="D26" s="510" t="s">
        <v>412</v>
      </c>
      <c r="E26" s="511" t="s">
        <v>418</v>
      </c>
      <c r="F26" s="512" t="s">
        <v>458</v>
      </c>
      <c r="G26" s="513" t="s">
        <v>296</v>
      </c>
      <c r="H26" s="513" t="s">
        <v>415</v>
      </c>
      <c r="I26" s="514" t="s">
        <v>416</v>
      </c>
      <c r="J26" s="515" t="s">
        <v>69</v>
      </c>
      <c r="K26" s="517" t="s">
        <v>69</v>
      </c>
      <c r="L26" s="517" t="s">
        <v>69</v>
      </c>
      <c r="M26" s="518" t="s">
        <v>69</v>
      </c>
      <c r="N26" s="602" t="s">
        <v>69</v>
      </c>
      <c r="O26" s="603" t="s">
        <v>108</v>
      </c>
      <c r="P26" s="606" t="s">
        <v>416</v>
      </c>
      <c r="Q26" s="613" t="s">
        <v>69</v>
      </c>
      <c r="R26" s="617" t="s">
        <v>69</v>
      </c>
      <c r="S26" s="604" t="s">
        <v>69</v>
      </c>
      <c r="T26" s="606" t="s">
        <v>416</v>
      </c>
      <c r="U26" s="604" t="s">
        <v>69</v>
      </c>
      <c r="V26" s="605" t="s">
        <v>108</v>
      </c>
      <c r="W26" s="518" t="s">
        <v>69</v>
      </c>
      <c r="X26" s="534" t="s">
        <v>69</v>
      </c>
      <c r="Y26" s="624" t="s">
        <v>267</v>
      </c>
      <c r="Z26" s="607" t="s">
        <v>426</v>
      </c>
      <c r="AA26" s="518" t="s">
        <v>69</v>
      </c>
      <c r="AB26" s="534" t="s">
        <v>69</v>
      </c>
      <c r="AC26" s="540" t="s">
        <v>108</v>
      </c>
      <c r="AD26" s="517" t="s">
        <v>69</v>
      </c>
      <c r="AE26" s="517" t="s">
        <v>69</v>
      </c>
      <c r="AF26" s="606" t="s">
        <v>416</v>
      </c>
      <c r="AG26" s="521" t="s">
        <v>426</v>
      </c>
      <c r="AH26" s="517" t="s">
        <v>69</v>
      </c>
      <c r="AI26" s="517" t="s">
        <v>69</v>
      </c>
      <c r="AJ26" s="516" t="s">
        <v>108</v>
      </c>
      <c r="AK26" s="521" t="s">
        <v>426</v>
      </c>
      <c r="AL26" s="517" t="s">
        <v>69</v>
      </c>
      <c r="AM26" s="600">
        <v>5.5</v>
      </c>
      <c r="AN26" s="600">
        <v>0</v>
      </c>
      <c r="AO26" s="600">
        <v>1</v>
      </c>
    </row>
    <row r="27" spans="1:41" ht="18">
      <c r="A27" s="601">
        <v>26</v>
      </c>
      <c r="B27" s="593" t="s">
        <v>348</v>
      </c>
      <c r="C27" s="499" t="s">
        <v>114</v>
      </c>
      <c r="D27" s="510" t="s">
        <v>412</v>
      </c>
      <c r="E27" s="511" t="s">
        <v>418</v>
      </c>
      <c r="F27" s="512" t="s">
        <v>459</v>
      </c>
      <c r="G27" s="513" t="s">
        <v>301</v>
      </c>
      <c r="H27" s="513" t="s">
        <v>415</v>
      </c>
      <c r="I27" s="518" t="s">
        <v>69</v>
      </c>
      <c r="J27" s="515" t="s">
        <v>69</v>
      </c>
      <c r="K27" s="517" t="s">
        <v>69</v>
      </c>
      <c r="L27" s="517" t="s">
        <v>69</v>
      </c>
      <c r="M27" s="518" t="s">
        <v>69</v>
      </c>
      <c r="N27" s="602" t="s">
        <v>69</v>
      </c>
      <c r="O27" s="540" t="s">
        <v>108</v>
      </c>
      <c r="P27" s="604" t="s">
        <v>69</v>
      </c>
      <c r="Q27" s="613" t="s">
        <v>69</v>
      </c>
      <c r="R27" s="617" t="s">
        <v>69</v>
      </c>
      <c r="S27" s="604" t="s">
        <v>69</v>
      </c>
      <c r="T27" s="604" t="s">
        <v>69</v>
      </c>
      <c r="U27" s="604" t="s">
        <v>69</v>
      </c>
      <c r="V27" s="605" t="s">
        <v>108</v>
      </c>
      <c r="W27" s="518" t="s">
        <v>69</v>
      </c>
      <c r="X27" s="534" t="s">
        <v>69</v>
      </c>
      <c r="Y27" s="534" t="s">
        <v>69</v>
      </c>
      <c r="Z27" s="534" t="s">
        <v>69</v>
      </c>
      <c r="AA27" s="534" t="s">
        <v>69</v>
      </c>
      <c r="AB27" s="534" t="s">
        <v>69</v>
      </c>
      <c r="AC27" s="540" t="s">
        <v>108</v>
      </c>
      <c r="AD27" s="517" t="s">
        <v>69</v>
      </c>
      <c r="AE27" s="517" t="s">
        <v>69</v>
      </c>
      <c r="AF27" s="517" t="s">
        <v>69</v>
      </c>
      <c r="AG27" s="517" t="s">
        <v>69</v>
      </c>
      <c r="AH27" s="517" t="s">
        <v>69</v>
      </c>
      <c r="AI27" s="517" t="s">
        <v>69</v>
      </c>
      <c r="AJ27" s="605" t="s">
        <v>108</v>
      </c>
      <c r="AK27" s="517" t="s">
        <v>69</v>
      </c>
      <c r="AL27" s="517" t="s">
        <v>69</v>
      </c>
      <c r="AM27" s="600">
        <v>0</v>
      </c>
      <c r="AN27" s="600">
        <v>0</v>
      </c>
      <c r="AO27" s="600">
        <v>0</v>
      </c>
    </row>
    <row r="28" spans="1:41" ht="18">
      <c r="A28" s="601">
        <v>27</v>
      </c>
      <c r="B28" s="593" t="s">
        <v>385</v>
      </c>
      <c r="C28" s="499" t="s">
        <v>253</v>
      </c>
      <c r="D28" s="510" t="s">
        <v>412</v>
      </c>
      <c r="E28" s="511" t="s">
        <v>460</v>
      </c>
      <c r="F28" s="512" t="s">
        <v>414</v>
      </c>
      <c r="G28" s="513" t="s">
        <v>284</v>
      </c>
      <c r="H28" s="513" t="s">
        <v>415</v>
      </c>
      <c r="I28" s="518" t="s">
        <v>69</v>
      </c>
      <c r="J28" s="515" t="s">
        <v>69</v>
      </c>
      <c r="K28" s="519" t="s">
        <v>416</v>
      </c>
      <c r="L28" s="517" t="s">
        <v>69</v>
      </c>
      <c r="M28" s="518" t="s">
        <v>69</v>
      </c>
      <c r="N28" s="602" t="s">
        <v>69</v>
      </c>
      <c r="O28" s="603" t="s">
        <v>108</v>
      </c>
      <c r="P28" s="604" t="s">
        <v>69</v>
      </c>
      <c r="Q28" s="613" t="s">
        <v>69</v>
      </c>
      <c r="R28" s="617" t="s">
        <v>69</v>
      </c>
      <c r="S28" s="604" t="s">
        <v>69</v>
      </c>
      <c r="T28" s="604" t="s">
        <v>69</v>
      </c>
      <c r="U28" s="604" t="s">
        <v>69</v>
      </c>
      <c r="V28" s="605" t="s">
        <v>108</v>
      </c>
      <c r="W28" s="611" t="s">
        <v>267</v>
      </c>
      <c r="X28" s="518" t="s">
        <v>69</v>
      </c>
      <c r="Y28" s="534" t="s">
        <v>69</v>
      </c>
      <c r="Z28" s="537" t="s">
        <v>416</v>
      </c>
      <c r="AA28" s="518" t="s">
        <v>69</v>
      </c>
      <c r="AB28" s="534" t="s">
        <v>69</v>
      </c>
      <c r="AC28" s="540" t="s">
        <v>108</v>
      </c>
      <c r="AD28" s="517" t="s">
        <v>69</v>
      </c>
      <c r="AE28" s="517" t="s">
        <v>69</v>
      </c>
      <c r="AF28" s="606" t="s">
        <v>416</v>
      </c>
      <c r="AG28" s="517" t="s">
        <v>69</v>
      </c>
      <c r="AH28" s="517" t="s">
        <v>69</v>
      </c>
      <c r="AI28" s="517" t="s">
        <v>69</v>
      </c>
      <c r="AJ28" s="517" t="s">
        <v>69</v>
      </c>
      <c r="AK28" s="517" t="s">
        <v>69</v>
      </c>
      <c r="AL28" s="519" t="s">
        <v>416</v>
      </c>
      <c r="AM28" s="600">
        <v>4</v>
      </c>
      <c r="AN28" s="600">
        <v>0</v>
      </c>
      <c r="AO28" s="600">
        <v>1</v>
      </c>
    </row>
    <row r="29" spans="1:41" ht="18">
      <c r="A29" s="601">
        <v>28</v>
      </c>
      <c r="B29" s="593" t="s">
        <v>314</v>
      </c>
      <c r="C29" s="499" t="s">
        <v>26</v>
      </c>
      <c r="D29" s="510" t="s">
        <v>412</v>
      </c>
      <c r="E29" s="511" t="s">
        <v>461</v>
      </c>
      <c r="F29" s="512" t="s">
        <v>457</v>
      </c>
      <c r="G29" s="513" t="s">
        <v>300</v>
      </c>
      <c r="H29" s="513" t="s">
        <v>415</v>
      </c>
      <c r="I29" s="518" t="s">
        <v>69</v>
      </c>
      <c r="J29" s="515" t="s">
        <v>69</v>
      </c>
      <c r="K29" s="517" t="s">
        <v>69</v>
      </c>
      <c r="L29" s="517" t="s">
        <v>69</v>
      </c>
      <c r="M29" s="609" t="s">
        <v>416</v>
      </c>
      <c r="N29" s="610" t="s">
        <v>416</v>
      </c>
      <c r="O29" s="540" t="s">
        <v>108</v>
      </c>
      <c r="P29" s="604" t="s">
        <v>69</v>
      </c>
      <c r="Q29" s="613" t="s">
        <v>69</v>
      </c>
      <c r="R29" s="617" t="s">
        <v>69</v>
      </c>
      <c r="S29" s="604" t="s">
        <v>69</v>
      </c>
      <c r="T29" s="521" t="s">
        <v>426</v>
      </c>
      <c r="U29" s="604" t="s">
        <v>69</v>
      </c>
      <c r="V29" s="605" t="s">
        <v>108</v>
      </c>
      <c r="W29" s="604" t="s">
        <v>69</v>
      </c>
      <c r="X29" s="607" t="s">
        <v>426</v>
      </c>
      <c r="Y29" s="518" t="s">
        <v>69</v>
      </c>
      <c r="Z29" s="534" t="s">
        <v>69</v>
      </c>
      <c r="AA29" s="534" t="s">
        <v>69</v>
      </c>
      <c r="AB29" s="534" t="s">
        <v>69</v>
      </c>
      <c r="AC29" s="540" t="s">
        <v>108</v>
      </c>
      <c r="AD29" s="521" t="s">
        <v>426</v>
      </c>
      <c r="AE29" s="517" t="s">
        <v>69</v>
      </c>
      <c r="AF29" s="517" t="s">
        <v>69</v>
      </c>
      <c r="AG29" s="521" t="s">
        <v>426</v>
      </c>
      <c r="AH29" s="517" t="s">
        <v>69</v>
      </c>
      <c r="AI29" s="517" t="s">
        <v>69</v>
      </c>
      <c r="AJ29" s="605" t="s">
        <v>108</v>
      </c>
      <c r="AK29" s="517" t="s">
        <v>69</v>
      </c>
      <c r="AL29" s="517" t="s">
        <v>69</v>
      </c>
      <c r="AM29" s="600">
        <v>4</v>
      </c>
      <c r="AN29" s="600">
        <v>0</v>
      </c>
      <c r="AO29" s="600">
        <v>0</v>
      </c>
    </row>
    <row r="30" spans="1:41" ht="18">
      <c r="A30" s="601">
        <v>29</v>
      </c>
      <c r="B30" s="593" t="s">
        <v>331</v>
      </c>
      <c r="C30" s="499" t="s">
        <v>27</v>
      </c>
      <c r="D30" s="510" t="s">
        <v>412</v>
      </c>
      <c r="E30" s="511" t="s">
        <v>462</v>
      </c>
      <c r="F30" s="512" t="s">
        <v>457</v>
      </c>
      <c r="G30" s="513" t="s">
        <v>300</v>
      </c>
      <c r="H30" s="513" t="s">
        <v>415</v>
      </c>
      <c r="I30" s="518" t="s">
        <v>69</v>
      </c>
      <c r="J30" s="515" t="s">
        <v>69</v>
      </c>
      <c r="K30" s="517" t="s">
        <v>69</v>
      </c>
      <c r="L30" s="606" t="s">
        <v>416</v>
      </c>
      <c r="M30" s="518" t="s">
        <v>69</v>
      </c>
      <c r="N30" s="602" t="s">
        <v>69</v>
      </c>
      <c r="O30" s="603" t="s">
        <v>108</v>
      </c>
      <c r="P30" s="604" t="s">
        <v>69</v>
      </c>
      <c r="Q30" s="625" t="s">
        <v>267</v>
      </c>
      <c r="R30" s="617" t="s">
        <v>69</v>
      </c>
      <c r="S30" s="604" t="s">
        <v>69</v>
      </c>
      <c r="T30" s="604" t="s">
        <v>69</v>
      </c>
      <c r="U30" s="517" t="s">
        <v>69</v>
      </c>
      <c r="V30" s="605" t="s">
        <v>108</v>
      </c>
      <c r="W30" s="604" t="s">
        <v>69</v>
      </c>
      <c r="X30" s="604" t="s">
        <v>69</v>
      </c>
      <c r="Y30" s="604" t="s">
        <v>69</v>
      </c>
      <c r="Z30" s="607" t="s">
        <v>426</v>
      </c>
      <c r="AA30" s="604" t="s">
        <v>69</v>
      </c>
      <c r="AB30" s="517" t="s">
        <v>69</v>
      </c>
      <c r="AC30" s="516" t="s">
        <v>108</v>
      </c>
      <c r="AD30" s="517" t="s">
        <v>69</v>
      </c>
      <c r="AE30" s="519" t="s">
        <v>416</v>
      </c>
      <c r="AF30" s="517" t="s">
        <v>69</v>
      </c>
      <c r="AG30" s="517" t="s">
        <v>69</v>
      </c>
      <c r="AH30" s="517" t="s">
        <v>69</v>
      </c>
      <c r="AI30" s="517" t="s">
        <v>69</v>
      </c>
      <c r="AJ30" s="517" t="s">
        <v>69</v>
      </c>
      <c r="AK30" s="517" t="s">
        <v>69</v>
      </c>
      <c r="AL30" s="517" t="s">
        <v>69</v>
      </c>
      <c r="AM30" s="600">
        <v>2.5</v>
      </c>
      <c r="AN30" s="600">
        <v>0</v>
      </c>
      <c r="AO30" s="600">
        <v>1</v>
      </c>
    </row>
    <row r="31" spans="1:41" ht="18">
      <c r="A31" s="601">
        <v>30</v>
      </c>
      <c r="B31" s="593" t="s">
        <v>330</v>
      </c>
      <c r="C31" s="608" t="s">
        <v>28</v>
      </c>
      <c r="D31" s="526" t="s">
        <v>412</v>
      </c>
      <c r="E31" s="511" t="s">
        <v>443</v>
      </c>
      <c r="F31" s="512" t="s">
        <v>421</v>
      </c>
      <c r="G31" s="513" t="s">
        <v>286</v>
      </c>
      <c r="H31" s="513" t="s">
        <v>415</v>
      </c>
      <c r="I31" s="518" t="s">
        <v>69</v>
      </c>
      <c r="J31" s="515" t="s">
        <v>69</v>
      </c>
      <c r="K31" s="517" t="s">
        <v>69</v>
      </c>
      <c r="L31" s="517" t="s">
        <v>69</v>
      </c>
      <c r="M31" s="518" t="s">
        <v>69</v>
      </c>
      <c r="N31" s="602" t="s">
        <v>69</v>
      </c>
      <c r="O31" s="540" t="s">
        <v>108</v>
      </c>
      <c r="P31" s="604" t="s">
        <v>69</v>
      </c>
      <c r="Q31" s="613" t="s">
        <v>69</v>
      </c>
      <c r="R31" s="626" t="s">
        <v>69</v>
      </c>
      <c r="S31" s="604" t="s">
        <v>69</v>
      </c>
      <c r="T31" s="604" t="s">
        <v>69</v>
      </c>
      <c r="U31" s="604" t="s">
        <v>69</v>
      </c>
      <c r="V31" s="605" t="s">
        <v>108</v>
      </c>
      <c r="W31" s="604" t="s">
        <v>69</v>
      </c>
      <c r="X31" s="604" t="s">
        <v>69</v>
      </c>
      <c r="Y31" s="604" t="s">
        <v>69</v>
      </c>
      <c r="Z31" s="604" t="s">
        <v>69</v>
      </c>
      <c r="AA31" s="604" t="s">
        <v>69</v>
      </c>
      <c r="AB31" s="606" t="s">
        <v>416</v>
      </c>
      <c r="AC31" s="516" t="s">
        <v>108</v>
      </c>
      <c r="AD31" s="517" t="s">
        <v>69</v>
      </c>
      <c r="AE31" s="517" t="s">
        <v>69</v>
      </c>
      <c r="AF31" s="517" t="s">
        <v>69</v>
      </c>
      <c r="AG31" s="517" t="s">
        <v>69</v>
      </c>
      <c r="AH31" s="517" t="s">
        <v>69</v>
      </c>
      <c r="AI31" s="517" t="s">
        <v>69</v>
      </c>
      <c r="AJ31" s="605" t="s">
        <v>108</v>
      </c>
      <c r="AK31" s="517" t="s">
        <v>69</v>
      </c>
      <c r="AL31" s="517" t="s">
        <v>69</v>
      </c>
      <c r="AM31" s="600">
        <v>1</v>
      </c>
      <c r="AN31" s="600">
        <v>0</v>
      </c>
      <c r="AO31" s="600">
        <v>0</v>
      </c>
    </row>
    <row r="32" spans="1:41" ht="18">
      <c r="A32" s="601">
        <v>31</v>
      </c>
      <c r="B32" s="593" t="s">
        <v>332</v>
      </c>
      <c r="C32" s="499" t="s">
        <v>29</v>
      </c>
      <c r="D32" s="510" t="s">
        <v>412</v>
      </c>
      <c r="E32" s="511" t="s">
        <v>413</v>
      </c>
      <c r="F32" s="512" t="s">
        <v>463</v>
      </c>
      <c r="G32" s="513" t="s">
        <v>303</v>
      </c>
      <c r="H32" s="513" t="s">
        <v>415</v>
      </c>
      <c r="I32" s="518" t="s">
        <v>69</v>
      </c>
      <c r="J32" s="515" t="s">
        <v>69</v>
      </c>
      <c r="K32" s="517" t="s">
        <v>69</v>
      </c>
      <c r="L32" s="604" t="s">
        <v>69</v>
      </c>
      <c r="M32" s="613" t="s">
        <v>69</v>
      </c>
      <c r="N32" s="602" t="s">
        <v>69</v>
      </c>
      <c r="O32" s="603" t="s">
        <v>108</v>
      </c>
      <c r="P32" s="606" t="s">
        <v>416</v>
      </c>
      <c r="Q32" s="613" t="s">
        <v>69</v>
      </c>
      <c r="R32" s="615" t="s">
        <v>69</v>
      </c>
      <c r="S32" s="604" t="s">
        <v>69</v>
      </c>
      <c r="T32" s="604" t="s">
        <v>69</v>
      </c>
      <c r="U32" s="604" t="s">
        <v>69</v>
      </c>
      <c r="V32" s="605" t="s">
        <v>108</v>
      </c>
      <c r="W32" s="604" t="s">
        <v>69</v>
      </c>
      <c r="X32" s="604" t="s">
        <v>69</v>
      </c>
      <c r="Y32" s="604" t="s">
        <v>69</v>
      </c>
      <c r="Z32" s="604" t="s">
        <v>69</v>
      </c>
      <c r="AA32" s="604" t="s">
        <v>69</v>
      </c>
      <c r="AB32" s="604" t="s">
        <v>69</v>
      </c>
      <c r="AC32" s="516" t="s">
        <v>108</v>
      </c>
      <c r="AD32" s="517" t="s">
        <v>69</v>
      </c>
      <c r="AE32" s="611" t="s">
        <v>267</v>
      </c>
      <c r="AF32" s="604" t="s">
        <v>69</v>
      </c>
      <c r="AG32" s="604" t="s">
        <v>69</v>
      </c>
      <c r="AH32" s="604" t="s">
        <v>69</v>
      </c>
      <c r="AI32" s="604" t="s">
        <v>69</v>
      </c>
      <c r="AJ32" s="605" t="s">
        <v>108</v>
      </c>
      <c r="AK32" s="517" t="s">
        <v>69</v>
      </c>
      <c r="AL32" s="517" t="s">
        <v>69</v>
      </c>
      <c r="AM32" s="600">
        <v>1</v>
      </c>
      <c r="AN32" s="600">
        <v>0</v>
      </c>
      <c r="AO32" s="600">
        <v>1</v>
      </c>
    </row>
    <row r="33" spans="1:41" ht="18">
      <c r="A33" s="601">
        <v>32</v>
      </c>
      <c r="B33" s="593" t="s">
        <v>355</v>
      </c>
      <c r="C33" s="499" t="s">
        <v>181</v>
      </c>
      <c r="D33" s="510" t="s">
        <v>412</v>
      </c>
      <c r="E33" s="511" t="s">
        <v>443</v>
      </c>
      <c r="F33" s="512" t="s">
        <v>464</v>
      </c>
      <c r="G33" s="513" t="s">
        <v>293</v>
      </c>
      <c r="H33" s="513" t="s">
        <v>415</v>
      </c>
      <c r="I33" s="518" t="s">
        <v>69</v>
      </c>
      <c r="J33" s="515" t="s">
        <v>69</v>
      </c>
      <c r="K33" s="517" t="s">
        <v>69</v>
      </c>
      <c r="L33" s="604" t="s">
        <v>69</v>
      </c>
      <c r="M33" s="613" t="s">
        <v>69</v>
      </c>
      <c r="N33" s="602" t="s">
        <v>69</v>
      </c>
      <c r="O33" s="540" t="s">
        <v>108</v>
      </c>
      <c r="P33" s="517" t="s">
        <v>69</v>
      </c>
      <c r="Q33" s="613" t="s">
        <v>69</v>
      </c>
      <c r="R33" s="618" t="s">
        <v>426</v>
      </c>
      <c r="S33" s="617" t="s">
        <v>69</v>
      </c>
      <c r="T33" s="604" t="s">
        <v>69</v>
      </c>
      <c r="U33" s="604" t="s">
        <v>69</v>
      </c>
      <c r="V33" s="605" t="s">
        <v>108</v>
      </c>
      <c r="W33" s="604" t="s">
        <v>69</v>
      </c>
      <c r="X33" s="606" t="s">
        <v>416</v>
      </c>
      <c r="Y33" s="604" t="s">
        <v>69</v>
      </c>
      <c r="Z33" s="604" t="s">
        <v>69</v>
      </c>
      <c r="AA33" s="604" t="s">
        <v>69</v>
      </c>
      <c r="AB33" s="604" t="s">
        <v>69</v>
      </c>
      <c r="AC33" s="516" t="s">
        <v>108</v>
      </c>
      <c r="AD33" s="517" t="s">
        <v>69</v>
      </c>
      <c r="AE33" s="517" t="s">
        <v>69</v>
      </c>
      <c r="AF33" s="517" t="s">
        <v>69</v>
      </c>
      <c r="AG33" s="517" t="s">
        <v>69</v>
      </c>
      <c r="AH33" s="521" t="s">
        <v>426</v>
      </c>
      <c r="AI33" s="604" t="s">
        <v>69</v>
      </c>
      <c r="AJ33" s="605" t="s">
        <v>108</v>
      </c>
      <c r="AK33" s="517" t="s">
        <v>69</v>
      </c>
      <c r="AL33" s="517" t="s">
        <v>69</v>
      </c>
      <c r="AM33" s="600">
        <v>2</v>
      </c>
      <c r="AN33" s="600">
        <v>0</v>
      </c>
      <c r="AO33" s="600">
        <v>0</v>
      </c>
    </row>
    <row r="34" spans="1:41" ht="18">
      <c r="A34" s="601">
        <v>33</v>
      </c>
      <c r="B34" s="593" t="s">
        <v>315</v>
      </c>
      <c r="C34" s="499" t="s">
        <v>30</v>
      </c>
      <c r="D34" s="510" t="s">
        <v>412</v>
      </c>
      <c r="E34" s="511" t="s">
        <v>443</v>
      </c>
      <c r="F34" s="512" t="s">
        <v>459</v>
      </c>
      <c r="G34" s="513" t="s">
        <v>301</v>
      </c>
      <c r="H34" s="513" t="s">
        <v>415</v>
      </c>
      <c r="I34" s="518" t="s">
        <v>69</v>
      </c>
      <c r="J34" s="515" t="s">
        <v>69</v>
      </c>
      <c r="K34" s="517" t="s">
        <v>69</v>
      </c>
      <c r="L34" s="604" t="s">
        <v>69</v>
      </c>
      <c r="M34" s="613" t="s">
        <v>69</v>
      </c>
      <c r="N34" s="610" t="s">
        <v>416</v>
      </c>
      <c r="O34" s="603" t="s">
        <v>108</v>
      </c>
      <c r="P34" s="517" t="s">
        <v>69</v>
      </c>
      <c r="Q34" s="613" t="s">
        <v>69</v>
      </c>
      <c r="R34" s="617" t="s">
        <v>69</v>
      </c>
      <c r="S34" s="604" t="s">
        <v>69</v>
      </c>
      <c r="T34" s="604" t="s">
        <v>69</v>
      </c>
      <c r="U34" s="604" t="s">
        <v>69</v>
      </c>
      <c r="V34" s="605" t="s">
        <v>108</v>
      </c>
      <c r="W34" s="604" t="s">
        <v>69</v>
      </c>
      <c r="X34" s="604" t="s">
        <v>69</v>
      </c>
      <c r="Y34" s="604" t="s">
        <v>69</v>
      </c>
      <c r="Z34" s="604" t="s">
        <v>69</v>
      </c>
      <c r="AA34" s="604" t="s">
        <v>69</v>
      </c>
      <c r="AB34" s="604" t="s">
        <v>69</v>
      </c>
      <c r="AC34" s="516" t="s">
        <v>108</v>
      </c>
      <c r="AD34" s="604" t="s">
        <v>69</v>
      </c>
      <c r="AE34" s="604" t="s">
        <v>69</v>
      </c>
      <c r="AF34" s="517" t="s">
        <v>69</v>
      </c>
      <c r="AG34" s="517" t="s">
        <v>69</v>
      </c>
      <c r="AH34" s="517" t="s">
        <v>69</v>
      </c>
      <c r="AI34" s="517" t="s">
        <v>69</v>
      </c>
      <c r="AJ34" s="605" t="s">
        <v>108</v>
      </c>
      <c r="AK34" s="521" t="s">
        <v>426</v>
      </c>
      <c r="AL34" s="517" t="s">
        <v>69</v>
      </c>
      <c r="AM34" s="600">
        <v>1.5</v>
      </c>
      <c r="AN34" s="600">
        <v>0</v>
      </c>
      <c r="AO34" s="600">
        <v>0</v>
      </c>
    </row>
    <row r="35" spans="1:41" ht="18">
      <c r="A35" s="601">
        <v>34</v>
      </c>
      <c r="B35" s="593" t="s">
        <v>340</v>
      </c>
      <c r="C35" s="499" t="s">
        <v>31</v>
      </c>
      <c r="D35" s="510" t="s">
        <v>412</v>
      </c>
      <c r="E35" s="511" t="s">
        <v>461</v>
      </c>
      <c r="F35" s="512" t="s">
        <v>441</v>
      </c>
      <c r="G35" s="513" t="s">
        <v>292</v>
      </c>
      <c r="H35" s="513" t="s">
        <v>415</v>
      </c>
      <c r="I35" s="518" t="s">
        <v>69</v>
      </c>
      <c r="J35" s="515" t="s">
        <v>69</v>
      </c>
      <c r="K35" s="517" t="s">
        <v>69</v>
      </c>
      <c r="L35" s="604" t="s">
        <v>69</v>
      </c>
      <c r="M35" s="613" t="s">
        <v>69</v>
      </c>
      <c r="N35" s="602" t="s">
        <v>69</v>
      </c>
      <c r="O35" s="540" t="s">
        <v>108</v>
      </c>
      <c r="P35" s="604" t="s">
        <v>69</v>
      </c>
      <c r="Q35" s="613" t="s">
        <v>69</v>
      </c>
      <c r="R35" s="617" t="s">
        <v>69</v>
      </c>
      <c r="S35" s="604" t="s">
        <v>69</v>
      </c>
      <c r="T35" s="604" t="s">
        <v>69</v>
      </c>
      <c r="U35" s="604" t="s">
        <v>69</v>
      </c>
      <c r="V35" s="605" t="s">
        <v>108</v>
      </c>
      <c r="W35" s="519" t="s">
        <v>416</v>
      </c>
      <c r="X35" s="604" t="s">
        <v>69</v>
      </c>
      <c r="Y35" s="604" t="s">
        <v>69</v>
      </c>
      <c r="Z35" s="604" t="s">
        <v>69</v>
      </c>
      <c r="AA35" s="604" t="s">
        <v>69</v>
      </c>
      <c r="AB35" s="604" t="s">
        <v>69</v>
      </c>
      <c r="AC35" s="516" t="s">
        <v>108</v>
      </c>
      <c r="AD35" s="517" t="s">
        <v>69</v>
      </c>
      <c r="AE35" s="517" t="s">
        <v>69</v>
      </c>
      <c r="AF35" s="517" t="s">
        <v>69</v>
      </c>
      <c r="AG35" s="517" t="s">
        <v>69</v>
      </c>
      <c r="AH35" s="517" t="s">
        <v>69</v>
      </c>
      <c r="AI35" s="517" t="s">
        <v>69</v>
      </c>
      <c r="AJ35" s="605" t="s">
        <v>108</v>
      </c>
      <c r="AK35" s="517" t="s">
        <v>69</v>
      </c>
      <c r="AL35" s="517" t="s">
        <v>69</v>
      </c>
      <c r="AM35" s="600">
        <v>1</v>
      </c>
      <c r="AN35" s="600">
        <v>0</v>
      </c>
      <c r="AO35" s="600">
        <v>0</v>
      </c>
    </row>
    <row r="36" spans="1:41" ht="18">
      <c r="A36" s="601">
        <v>35</v>
      </c>
      <c r="B36" s="593" t="s">
        <v>350</v>
      </c>
      <c r="C36" s="608" t="s">
        <v>502</v>
      </c>
      <c r="D36" s="526" t="s">
        <v>412</v>
      </c>
      <c r="E36" s="511" t="s">
        <v>462</v>
      </c>
      <c r="F36" s="512" t="s">
        <v>441</v>
      </c>
      <c r="G36" s="513" t="s">
        <v>292</v>
      </c>
      <c r="H36" s="513" t="s">
        <v>415</v>
      </c>
      <c r="I36" s="518" t="s">
        <v>69</v>
      </c>
      <c r="J36" s="515" t="s">
        <v>69</v>
      </c>
      <c r="K36" s="517" t="s">
        <v>69</v>
      </c>
      <c r="L36" s="604" t="s">
        <v>69</v>
      </c>
      <c r="M36" s="613" t="s">
        <v>69</v>
      </c>
      <c r="N36" s="602" t="s">
        <v>69</v>
      </c>
      <c r="O36" s="603" t="s">
        <v>108</v>
      </c>
      <c r="P36" s="604" t="s">
        <v>69</v>
      </c>
      <c r="Q36" s="625" t="s">
        <v>267</v>
      </c>
      <c r="R36" s="617" t="s">
        <v>69</v>
      </c>
      <c r="S36" s="604" t="s">
        <v>69</v>
      </c>
      <c r="T36" s="604" t="s">
        <v>69</v>
      </c>
      <c r="U36" s="517" t="s">
        <v>69</v>
      </c>
      <c r="V36" s="605" t="s">
        <v>108</v>
      </c>
      <c r="W36" s="517" t="s">
        <v>69</v>
      </c>
      <c r="X36" s="524" t="s">
        <v>267</v>
      </c>
      <c r="Y36" s="604" t="s">
        <v>69</v>
      </c>
      <c r="Z36" s="604" t="s">
        <v>69</v>
      </c>
      <c r="AA36" s="604" t="s">
        <v>69</v>
      </c>
      <c r="AB36" s="517" t="s">
        <v>69</v>
      </c>
      <c r="AC36" s="516" t="s">
        <v>108</v>
      </c>
      <c r="AD36" s="517" t="s">
        <v>69</v>
      </c>
      <c r="AE36" s="517" t="s">
        <v>69</v>
      </c>
      <c r="AF36" s="517" t="s">
        <v>69</v>
      </c>
      <c r="AG36" s="517" t="s">
        <v>69</v>
      </c>
      <c r="AH36" s="517" t="s">
        <v>69</v>
      </c>
      <c r="AI36" s="517" t="s">
        <v>69</v>
      </c>
      <c r="AJ36" s="517" t="s">
        <v>69</v>
      </c>
      <c r="AK36" s="517" t="s">
        <v>69</v>
      </c>
      <c r="AL36" s="519" t="s">
        <v>416</v>
      </c>
      <c r="AM36" s="600">
        <v>1</v>
      </c>
      <c r="AN36" s="600">
        <v>0</v>
      </c>
      <c r="AO36" s="600">
        <v>2</v>
      </c>
    </row>
    <row r="37" spans="1:41" ht="18">
      <c r="A37" s="601">
        <v>36</v>
      </c>
      <c r="B37" s="593" t="s">
        <v>342</v>
      </c>
      <c r="C37" s="499" t="s">
        <v>33</v>
      </c>
      <c r="D37" s="510" t="s">
        <v>412</v>
      </c>
      <c r="E37" s="511" t="s">
        <v>413</v>
      </c>
      <c r="F37" s="512" t="s">
        <v>465</v>
      </c>
      <c r="G37" s="513" t="s">
        <v>300</v>
      </c>
      <c r="H37" s="513" t="s">
        <v>415</v>
      </c>
      <c r="I37" s="518" t="s">
        <v>69</v>
      </c>
      <c r="J37" s="515" t="s">
        <v>69</v>
      </c>
      <c r="K37" s="517" t="s">
        <v>69</v>
      </c>
      <c r="L37" s="604" t="s">
        <v>69</v>
      </c>
      <c r="M37" s="613" t="s">
        <v>69</v>
      </c>
      <c r="N37" s="602" t="s">
        <v>69</v>
      </c>
      <c r="O37" s="540" t="s">
        <v>108</v>
      </c>
      <c r="P37" s="604" t="s">
        <v>69</v>
      </c>
      <c r="Q37" s="613" t="s">
        <v>69</v>
      </c>
      <c r="R37" s="617" t="s">
        <v>69</v>
      </c>
      <c r="S37" s="604" t="s">
        <v>69</v>
      </c>
      <c r="T37" s="604" t="s">
        <v>69</v>
      </c>
      <c r="U37" s="604" t="s">
        <v>69</v>
      </c>
      <c r="V37" s="605" t="s">
        <v>108</v>
      </c>
      <c r="W37" s="519" t="s">
        <v>416</v>
      </c>
      <c r="X37" s="517" t="s">
        <v>69</v>
      </c>
      <c r="Y37" s="517" t="s">
        <v>69</v>
      </c>
      <c r="Z37" s="517" t="s">
        <v>69</v>
      </c>
      <c r="AA37" s="517" t="s">
        <v>69</v>
      </c>
      <c r="AB37" s="517" t="s">
        <v>69</v>
      </c>
      <c r="AC37" s="516" t="s">
        <v>108</v>
      </c>
      <c r="AD37" s="517" t="s">
        <v>69</v>
      </c>
      <c r="AE37" s="517" t="s">
        <v>69</v>
      </c>
      <c r="AF37" s="517" t="s">
        <v>69</v>
      </c>
      <c r="AG37" s="517" t="s">
        <v>69</v>
      </c>
      <c r="AH37" s="517" t="s">
        <v>69</v>
      </c>
      <c r="AI37" s="517" t="s">
        <v>69</v>
      </c>
      <c r="AJ37" s="605" t="s">
        <v>108</v>
      </c>
      <c r="AK37" s="517" t="s">
        <v>69</v>
      </c>
      <c r="AL37" s="517" t="s">
        <v>69</v>
      </c>
      <c r="AM37" s="600">
        <v>1</v>
      </c>
      <c r="AN37" s="600">
        <v>0</v>
      </c>
      <c r="AO37" s="600">
        <v>0</v>
      </c>
    </row>
    <row r="38" spans="1:41" ht="18">
      <c r="A38" s="601">
        <v>37</v>
      </c>
      <c r="B38" s="593" t="s">
        <v>391</v>
      </c>
      <c r="C38" s="499" t="s">
        <v>271</v>
      </c>
      <c r="D38" s="510" t="s">
        <v>412</v>
      </c>
      <c r="E38" s="511" t="s">
        <v>462</v>
      </c>
      <c r="F38" s="512" t="s">
        <v>444</v>
      </c>
      <c r="G38" s="513" t="s">
        <v>295</v>
      </c>
      <c r="H38" s="513" t="s">
        <v>415</v>
      </c>
      <c r="I38" s="518" t="s">
        <v>69</v>
      </c>
      <c r="J38" s="515" t="s">
        <v>69</v>
      </c>
      <c r="K38" s="517" t="s">
        <v>69</v>
      </c>
      <c r="L38" s="604" t="s">
        <v>69</v>
      </c>
      <c r="M38" s="613" t="s">
        <v>69</v>
      </c>
      <c r="N38" s="602" t="s">
        <v>69</v>
      </c>
      <c r="O38" s="603" t="s">
        <v>108</v>
      </c>
      <c r="P38" s="606" t="s">
        <v>416</v>
      </c>
      <c r="Q38" s="625" t="s">
        <v>267</v>
      </c>
      <c r="R38" s="617" t="s">
        <v>69</v>
      </c>
      <c r="S38" s="604" t="s">
        <v>69</v>
      </c>
      <c r="T38" s="604" t="s">
        <v>69</v>
      </c>
      <c r="U38" s="517" t="s">
        <v>69</v>
      </c>
      <c r="V38" s="605" t="s">
        <v>108</v>
      </c>
      <c r="W38" s="604" t="s">
        <v>69</v>
      </c>
      <c r="X38" s="607" t="s">
        <v>426</v>
      </c>
      <c r="Y38" s="517" t="s">
        <v>69</v>
      </c>
      <c r="Z38" s="517" t="s">
        <v>69</v>
      </c>
      <c r="AA38" s="611" t="s">
        <v>267</v>
      </c>
      <c r="AB38" s="517" t="s">
        <v>69</v>
      </c>
      <c r="AC38" s="516" t="s">
        <v>108</v>
      </c>
      <c r="AD38" s="517" t="s">
        <v>69</v>
      </c>
      <c r="AE38" s="604" t="s">
        <v>69</v>
      </c>
      <c r="AF38" s="604" t="s">
        <v>69</v>
      </c>
      <c r="AG38" s="604" t="s">
        <v>69</v>
      </c>
      <c r="AH38" s="604" t="s">
        <v>69</v>
      </c>
      <c r="AI38" s="604" t="s">
        <v>69</v>
      </c>
      <c r="AJ38" s="604" t="s">
        <v>69</v>
      </c>
      <c r="AK38" s="604" t="s">
        <v>69</v>
      </c>
      <c r="AL38" s="519" t="s">
        <v>416</v>
      </c>
      <c r="AM38" s="600">
        <v>2.5</v>
      </c>
      <c r="AN38" s="600">
        <v>0</v>
      </c>
      <c r="AO38" s="600">
        <v>2</v>
      </c>
    </row>
    <row r="39" spans="1:41" ht="18">
      <c r="A39" s="601">
        <v>38</v>
      </c>
      <c r="B39" s="593" t="s">
        <v>503</v>
      </c>
      <c r="C39" s="608" t="s">
        <v>504</v>
      </c>
      <c r="D39" s="526" t="s">
        <v>475</v>
      </c>
      <c r="E39" s="511" t="s">
        <v>475</v>
      </c>
      <c r="F39" s="512" t="s">
        <v>475</v>
      </c>
      <c r="G39" s="513" t="s">
        <v>475</v>
      </c>
      <c r="H39" s="513" t="s">
        <v>475</v>
      </c>
      <c r="I39" s="514" t="s">
        <v>475</v>
      </c>
      <c r="J39" s="527" t="s">
        <v>475</v>
      </c>
      <c r="K39" s="527" t="s">
        <v>475</v>
      </c>
      <c r="L39" s="527" t="s">
        <v>475</v>
      </c>
      <c r="M39" s="527" t="s">
        <v>475</v>
      </c>
      <c r="N39" s="527" t="s">
        <v>475</v>
      </c>
      <c r="O39" s="603" t="s">
        <v>108</v>
      </c>
      <c r="P39" s="514" t="s">
        <v>475</v>
      </c>
      <c r="Q39" s="527" t="s">
        <v>475</v>
      </c>
      <c r="R39" s="527" t="s">
        <v>475</v>
      </c>
      <c r="S39" s="527" t="s">
        <v>475</v>
      </c>
      <c r="T39" s="527" t="s">
        <v>475</v>
      </c>
      <c r="U39" s="527" t="s">
        <v>475</v>
      </c>
      <c r="V39" s="605" t="s">
        <v>108</v>
      </c>
      <c r="W39" s="514" t="s">
        <v>475</v>
      </c>
      <c r="X39" s="527" t="s">
        <v>475</v>
      </c>
      <c r="Y39" s="527" t="s">
        <v>475</v>
      </c>
      <c r="Z39" s="527" t="s">
        <v>475</v>
      </c>
      <c r="AA39" s="527" t="s">
        <v>475</v>
      </c>
      <c r="AB39" s="527" t="s">
        <v>475</v>
      </c>
      <c r="AC39" s="540" t="s">
        <v>108</v>
      </c>
      <c r="AD39" s="517" t="s">
        <v>69</v>
      </c>
      <c r="AE39" s="517" t="s">
        <v>69</v>
      </c>
      <c r="AF39" s="517" t="s">
        <v>69</v>
      </c>
      <c r="AG39" s="522" t="s">
        <v>267</v>
      </c>
      <c r="AH39" s="604" t="s">
        <v>69</v>
      </c>
      <c r="AI39" s="604" t="s">
        <v>69</v>
      </c>
      <c r="AJ39" s="604" t="s">
        <v>69</v>
      </c>
      <c r="AK39" s="604" t="s">
        <v>69</v>
      </c>
      <c r="AL39" s="522" t="s">
        <v>267</v>
      </c>
      <c r="AM39" s="600">
        <v>0</v>
      </c>
      <c r="AN39" s="600">
        <v>0</v>
      </c>
      <c r="AO39" s="600">
        <v>2</v>
      </c>
    </row>
    <row r="40" spans="1:41" ht="18">
      <c r="A40" s="601">
        <v>39</v>
      </c>
      <c r="B40" s="593" t="s">
        <v>343</v>
      </c>
      <c r="C40" s="499" t="s">
        <v>35</v>
      </c>
      <c r="D40" s="510" t="s">
        <v>412</v>
      </c>
      <c r="E40" s="511" t="s">
        <v>466</v>
      </c>
      <c r="F40" s="512" t="s">
        <v>463</v>
      </c>
      <c r="G40" s="513" t="s">
        <v>303</v>
      </c>
      <c r="H40" s="513" t="s">
        <v>415</v>
      </c>
      <c r="I40" s="518" t="s">
        <v>69</v>
      </c>
      <c r="J40" s="538" t="s">
        <v>69</v>
      </c>
      <c r="K40" s="517" t="s">
        <v>69</v>
      </c>
      <c r="L40" s="604" t="s">
        <v>69</v>
      </c>
      <c r="M40" s="613" t="s">
        <v>69</v>
      </c>
      <c r="N40" s="602" t="s">
        <v>69</v>
      </c>
      <c r="O40" s="540" t="s">
        <v>108</v>
      </c>
      <c r="P40" s="517" t="s">
        <v>69</v>
      </c>
      <c r="Q40" s="517" t="s">
        <v>69</v>
      </c>
      <c r="R40" s="524" t="s">
        <v>267</v>
      </c>
      <c r="S40" s="604" t="s">
        <v>69</v>
      </c>
      <c r="T40" s="604" t="s">
        <v>69</v>
      </c>
      <c r="U40" s="517" t="s">
        <v>69</v>
      </c>
      <c r="V40" s="605" t="s">
        <v>108</v>
      </c>
      <c r="W40" s="604" t="s">
        <v>69</v>
      </c>
      <c r="X40" s="604" t="s">
        <v>69</v>
      </c>
      <c r="Y40" s="604" t="s">
        <v>69</v>
      </c>
      <c r="Z40" s="604" t="s">
        <v>69</v>
      </c>
      <c r="AA40" s="604" t="s">
        <v>69</v>
      </c>
      <c r="AB40" s="604" t="s">
        <v>69</v>
      </c>
      <c r="AC40" s="516" t="s">
        <v>108</v>
      </c>
      <c r="AD40" s="517" t="s">
        <v>69</v>
      </c>
      <c r="AE40" s="517" t="s">
        <v>69</v>
      </c>
      <c r="AF40" s="606" t="s">
        <v>416</v>
      </c>
      <c r="AG40" s="604" t="s">
        <v>69</v>
      </c>
      <c r="AH40" s="604" t="s">
        <v>69</v>
      </c>
      <c r="AI40" s="604" t="s">
        <v>69</v>
      </c>
      <c r="AJ40" s="604" t="s">
        <v>69</v>
      </c>
      <c r="AK40" s="604" t="s">
        <v>69</v>
      </c>
      <c r="AL40" s="604" t="s">
        <v>69</v>
      </c>
      <c r="AM40" s="600">
        <v>1</v>
      </c>
      <c r="AN40" s="600">
        <v>0</v>
      </c>
      <c r="AO40" s="600">
        <v>1</v>
      </c>
    </row>
    <row r="41" spans="1:41" ht="18">
      <c r="A41" s="601">
        <v>40</v>
      </c>
      <c r="B41" s="593" t="s">
        <v>347</v>
      </c>
      <c r="C41" s="608" t="s">
        <v>505</v>
      </c>
      <c r="D41" s="526" t="s">
        <v>412</v>
      </c>
      <c r="E41" s="511" t="s">
        <v>418</v>
      </c>
      <c r="F41" s="512" t="s">
        <v>467</v>
      </c>
      <c r="G41" s="513" t="s">
        <v>296</v>
      </c>
      <c r="H41" s="513" t="s">
        <v>415</v>
      </c>
      <c r="I41" s="518" t="s">
        <v>69</v>
      </c>
      <c r="J41" s="507" t="s">
        <v>69</v>
      </c>
      <c r="K41" s="517" t="s">
        <v>69</v>
      </c>
      <c r="L41" s="604" t="s">
        <v>69</v>
      </c>
      <c r="M41" s="613" t="s">
        <v>69</v>
      </c>
      <c r="N41" s="602" t="s">
        <v>69</v>
      </c>
      <c r="O41" s="603" t="s">
        <v>108</v>
      </c>
      <c r="P41" s="517" t="s">
        <v>69</v>
      </c>
      <c r="Q41" s="517" t="s">
        <v>69</v>
      </c>
      <c r="R41" s="517" t="s">
        <v>69</v>
      </c>
      <c r="S41" s="604" t="s">
        <v>69</v>
      </c>
      <c r="T41" s="604" t="s">
        <v>69</v>
      </c>
      <c r="U41" s="604" t="s">
        <v>69</v>
      </c>
      <c r="V41" s="605" t="s">
        <v>108</v>
      </c>
      <c r="W41" s="604" t="s">
        <v>69</v>
      </c>
      <c r="X41" s="604" t="s">
        <v>69</v>
      </c>
      <c r="Y41" s="604" t="s">
        <v>69</v>
      </c>
      <c r="Z41" s="604" t="s">
        <v>69</v>
      </c>
      <c r="AA41" s="604" t="s">
        <v>69</v>
      </c>
      <c r="AB41" s="604" t="s">
        <v>69</v>
      </c>
      <c r="AC41" s="516" t="s">
        <v>108</v>
      </c>
      <c r="AD41" s="517" t="s">
        <v>69</v>
      </c>
      <c r="AE41" s="517" t="s">
        <v>69</v>
      </c>
      <c r="AF41" s="517" t="s">
        <v>69</v>
      </c>
      <c r="AG41" s="517" t="s">
        <v>69</v>
      </c>
      <c r="AH41" s="606" t="s">
        <v>416</v>
      </c>
      <c r="AI41" s="604" t="s">
        <v>69</v>
      </c>
      <c r="AJ41" s="605" t="s">
        <v>108</v>
      </c>
      <c r="AK41" s="604" t="s">
        <v>69</v>
      </c>
      <c r="AL41" s="604" t="s">
        <v>69</v>
      </c>
      <c r="AM41" s="600">
        <v>1</v>
      </c>
      <c r="AN41" s="600">
        <v>0</v>
      </c>
      <c r="AO41" s="600">
        <v>0</v>
      </c>
    </row>
    <row r="42" spans="1:41" ht="18">
      <c r="A42" s="601">
        <v>41</v>
      </c>
      <c r="B42" s="593" t="s">
        <v>373</v>
      </c>
      <c r="C42" s="608" t="s">
        <v>223</v>
      </c>
      <c r="D42" s="526" t="s">
        <v>412</v>
      </c>
      <c r="E42" s="511" t="s">
        <v>462</v>
      </c>
      <c r="F42" s="512" t="s">
        <v>453</v>
      </c>
      <c r="G42" s="513" t="s">
        <v>289</v>
      </c>
      <c r="H42" s="513" t="s">
        <v>415</v>
      </c>
      <c r="I42" s="514" t="s">
        <v>416</v>
      </c>
      <c r="J42" s="515" t="s">
        <v>69</v>
      </c>
      <c r="K42" s="519" t="s">
        <v>416</v>
      </c>
      <c r="L42" s="604" t="s">
        <v>69</v>
      </c>
      <c r="M42" s="613" t="s">
        <v>69</v>
      </c>
      <c r="N42" s="627" t="s">
        <v>267</v>
      </c>
      <c r="O42" s="540" t="s">
        <v>108</v>
      </c>
      <c r="P42" s="517" t="s">
        <v>69</v>
      </c>
      <c r="Q42" s="517" t="s">
        <v>69</v>
      </c>
      <c r="R42" s="606" t="s">
        <v>416</v>
      </c>
      <c r="S42" s="604" t="s">
        <v>69</v>
      </c>
      <c r="T42" s="604" t="s">
        <v>69</v>
      </c>
      <c r="U42" s="606" t="s">
        <v>416</v>
      </c>
      <c r="V42" s="605" t="s">
        <v>108</v>
      </c>
      <c r="W42" s="519" t="s">
        <v>416</v>
      </c>
      <c r="X42" s="519" t="s">
        <v>416</v>
      </c>
      <c r="Y42" s="519" t="s">
        <v>416</v>
      </c>
      <c r="Z42" s="519" t="s">
        <v>416</v>
      </c>
      <c r="AA42" s="519" t="s">
        <v>416</v>
      </c>
      <c r="AB42" s="519" t="s">
        <v>416</v>
      </c>
      <c r="AC42" s="519" t="s">
        <v>416</v>
      </c>
      <c r="AD42" s="519" t="s">
        <v>416</v>
      </c>
      <c r="AE42" s="519" t="s">
        <v>416</v>
      </c>
      <c r="AF42" s="519" t="s">
        <v>416</v>
      </c>
      <c r="AG42" s="519" t="s">
        <v>416</v>
      </c>
      <c r="AH42" s="519" t="s">
        <v>416</v>
      </c>
      <c r="AI42" s="519" t="s">
        <v>416</v>
      </c>
      <c r="AJ42" s="519" t="s">
        <v>416</v>
      </c>
      <c r="AK42" s="519" t="s">
        <v>416</v>
      </c>
      <c r="AL42" s="519" t="s">
        <v>416</v>
      </c>
      <c r="AM42" s="600">
        <v>20</v>
      </c>
      <c r="AN42" s="600">
        <v>0</v>
      </c>
      <c r="AO42" s="600">
        <v>1</v>
      </c>
    </row>
    <row r="43" spans="1:41" ht="18">
      <c r="A43" s="601">
        <v>42</v>
      </c>
      <c r="B43" s="593" t="s">
        <v>339</v>
      </c>
      <c r="C43" s="499" t="s">
        <v>36</v>
      </c>
      <c r="D43" s="510" t="s">
        <v>412</v>
      </c>
      <c r="E43" s="511" t="s">
        <v>436</v>
      </c>
      <c r="F43" s="512" t="s">
        <v>459</v>
      </c>
      <c r="G43" s="513" t="s">
        <v>301</v>
      </c>
      <c r="H43" s="513" t="s">
        <v>415</v>
      </c>
      <c r="I43" s="518" t="s">
        <v>69</v>
      </c>
      <c r="J43" s="515" t="s">
        <v>69</v>
      </c>
      <c r="K43" s="517" t="s">
        <v>69</v>
      </c>
      <c r="L43" s="604" t="s">
        <v>69</v>
      </c>
      <c r="M43" s="613" t="s">
        <v>69</v>
      </c>
      <c r="N43" s="602" t="s">
        <v>69</v>
      </c>
      <c r="O43" s="603" t="s">
        <v>108</v>
      </c>
      <c r="P43" s="517" t="s">
        <v>69</v>
      </c>
      <c r="Q43" s="517" t="s">
        <v>69</v>
      </c>
      <c r="R43" s="517" t="s">
        <v>69</v>
      </c>
      <c r="S43" s="524" t="s">
        <v>267</v>
      </c>
      <c r="T43" s="524" t="s">
        <v>267</v>
      </c>
      <c r="U43" s="517" t="s">
        <v>69</v>
      </c>
      <c r="V43" s="605" t="s">
        <v>108</v>
      </c>
      <c r="W43" s="517" t="s">
        <v>69</v>
      </c>
      <c r="X43" s="517" t="s">
        <v>69</v>
      </c>
      <c r="Y43" s="517" t="s">
        <v>69</v>
      </c>
      <c r="Z43" s="517" t="s">
        <v>69</v>
      </c>
      <c r="AA43" s="517" t="s">
        <v>69</v>
      </c>
      <c r="AB43" s="517" t="s">
        <v>69</v>
      </c>
      <c r="AC43" s="516" t="s">
        <v>108</v>
      </c>
      <c r="AD43" s="517" t="s">
        <v>69</v>
      </c>
      <c r="AE43" s="517" t="s">
        <v>69</v>
      </c>
      <c r="AF43" s="516" t="s">
        <v>267</v>
      </c>
      <c r="AG43" s="517" t="s">
        <v>69</v>
      </c>
      <c r="AH43" s="517" t="s">
        <v>69</v>
      </c>
      <c r="AI43" s="517" t="s">
        <v>69</v>
      </c>
      <c r="AJ43" s="517" t="s">
        <v>69</v>
      </c>
      <c r="AK43" s="517" t="s">
        <v>69</v>
      </c>
      <c r="AL43" s="519" t="s">
        <v>416</v>
      </c>
      <c r="AM43" s="600">
        <v>1</v>
      </c>
      <c r="AN43" s="600">
        <v>0</v>
      </c>
      <c r="AO43" s="600">
        <v>3</v>
      </c>
    </row>
    <row r="44" spans="1:41" ht="18">
      <c r="A44" s="601">
        <v>43</v>
      </c>
      <c r="B44" s="593" t="s">
        <v>349</v>
      </c>
      <c r="C44" s="608" t="s">
        <v>506</v>
      </c>
      <c r="D44" s="526" t="s">
        <v>412</v>
      </c>
      <c r="E44" s="511" t="s">
        <v>413</v>
      </c>
      <c r="F44" s="512" t="s">
        <v>457</v>
      </c>
      <c r="G44" s="513" t="s">
        <v>300</v>
      </c>
      <c r="H44" s="513" t="s">
        <v>415</v>
      </c>
      <c r="I44" s="518" t="s">
        <v>69</v>
      </c>
      <c r="J44" s="515" t="s">
        <v>69</v>
      </c>
      <c r="K44" s="517" t="s">
        <v>69</v>
      </c>
      <c r="L44" s="604" t="s">
        <v>69</v>
      </c>
      <c r="M44" s="613" t="s">
        <v>69</v>
      </c>
      <c r="N44" s="602" t="s">
        <v>69</v>
      </c>
      <c r="O44" s="540" t="s">
        <v>108</v>
      </c>
      <c r="P44" s="517" t="s">
        <v>69</v>
      </c>
      <c r="Q44" s="517" t="s">
        <v>69</v>
      </c>
      <c r="R44" s="543" t="s">
        <v>69</v>
      </c>
      <c r="S44" s="543" t="s">
        <v>69</v>
      </c>
      <c r="T44" s="543" t="s">
        <v>69</v>
      </c>
      <c r="U44" s="543" t="s">
        <v>69</v>
      </c>
      <c r="V44" s="605" t="s">
        <v>108</v>
      </c>
      <c r="W44" s="517" t="s">
        <v>69</v>
      </c>
      <c r="X44" s="517" t="s">
        <v>69</v>
      </c>
      <c r="Y44" s="517" t="s">
        <v>69</v>
      </c>
      <c r="Z44" s="517" t="s">
        <v>69</v>
      </c>
      <c r="AA44" s="517" t="s">
        <v>69</v>
      </c>
      <c r="AB44" s="517" t="s">
        <v>69</v>
      </c>
      <c r="AC44" s="516" t="s">
        <v>108</v>
      </c>
      <c r="AD44" s="517" t="s">
        <v>69</v>
      </c>
      <c r="AE44" s="517" t="s">
        <v>69</v>
      </c>
      <c r="AF44" s="606" t="s">
        <v>416</v>
      </c>
      <c r="AG44" s="517" t="s">
        <v>69</v>
      </c>
      <c r="AH44" s="517" t="s">
        <v>69</v>
      </c>
      <c r="AI44" s="517" t="s">
        <v>69</v>
      </c>
      <c r="AJ44" s="605" t="s">
        <v>108</v>
      </c>
      <c r="AK44" s="517" t="s">
        <v>69</v>
      </c>
      <c r="AL44" s="517" t="s">
        <v>69</v>
      </c>
      <c r="AM44" s="600">
        <v>1</v>
      </c>
      <c r="AN44" s="600">
        <v>0</v>
      </c>
      <c r="AO44" s="600">
        <v>0</v>
      </c>
    </row>
    <row r="45" spans="1:41" ht="18">
      <c r="A45" s="601">
        <v>44</v>
      </c>
      <c r="B45" s="593" t="s">
        <v>341</v>
      </c>
      <c r="C45" s="499" t="s">
        <v>38</v>
      </c>
      <c r="D45" s="510" t="s">
        <v>412</v>
      </c>
      <c r="E45" s="511" t="s">
        <v>418</v>
      </c>
      <c r="F45" s="512" t="s">
        <v>468</v>
      </c>
      <c r="G45" s="513" t="s">
        <v>133</v>
      </c>
      <c r="H45" s="513" t="s">
        <v>415</v>
      </c>
      <c r="I45" s="518" t="s">
        <v>69</v>
      </c>
      <c r="J45" s="515" t="s">
        <v>69</v>
      </c>
      <c r="K45" s="517" t="s">
        <v>69</v>
      </c>
      <c r="L45" s="604" t="s">
        <v>69</v>
      </c>
      <c r="M45" s="518" t="s">
        <v>69</v>
      </c>
      <c r="N45" s="602" t="s">
        <v>69</v>
      </c>
      <c r="O45" s="603" t="s">
        <v>108</v>
      </c>
      <c r="P45" s="517" t="s">
        <v>69</v>
      </c>
      <c r="Q45" s="606" t="s">
        <v>416</v>
      </c>
      <c r="R45" s="509" t="s">
        <v>69</v>
      </c>
      <c r="S45" s="628" t="s">
        <v>69</v>
      </c>
      <c r="T45" s="628" t="s">
        <v>69</v>
      </c>
      <c r="U45" s="628" t="s">
        <v>69</v>
      </c>
      <c r="V45" s="605" t="s">
        <v>108</v>
      </c>
      <c r="W45" s="517" t="s">
        <v>69</v>
      </c>
      <c r="X45" s="517" t="s">
        <v>69</v>
      </c>
      <c r="Y45" s="517" t="s">
        <v>69</v>
      </c>
      <c r="Z45" s="517" t="s">
        <v>69</v>
      </c>
      <c r="AA45" s="517" t="s">
        <v>69</v>
      </c>
      <c r="AB45" s="517" t="s">
        <v>69</v>
      </c>
      <c r="AC45" s="516" t="s">
        <v>108</v>
      </c>
      <c r="AD45" s="517" t="s">
        <v>69</v>
      </c>
      <c r="AE45" s="517" t="s">
        <v>69</v>
      </c>
      <c r="AF45" s="517" t="s">
        <v>69</v>
      </c>
      <c r="AG45" s="517" t="s">
        <v>69</v>
      </c>
      <c r="AH45" s="517" t="s">
        <v>69</v>
      </c>
      <c r="AI45" s="517" t="s">
        <v>69</v>
      </c>
      <c r="AJ45" s="605" t="s">
        <v>108</v>
      </c>
      <c r="AK45" s="517" t="s">
        <v>69</v>
      </c>
      <c r="AL45" s="519" t="s">
        <v>416</v>
      </c>
      <c r="AM45" s="600">
        <v>2</v>
      </c>
      <c r="AN45" s="600">
        <v>0</v>
      </c>
      <c r="AO45" s="600">
        <v>0</v>
      </c>
    </row>
    <row r="46" spans="1:41" ht="18">
      <c r="A46" s="601">
        <v>45</v>
      </c>
      <c r="B46" s="593" t="s">
        <v>334</v>
      </c>
      <c r="C46" s="499" t="s">
        <v>39</v>
      </c>
      <c r="D46" s="510" t="s">
        <v>412</v>
      </c>
      <c r="E46" s="511" t="s">
        <v>424</v>
      </c>
      <c r="F46" s="512" t="s">
        <v>469</v>
      </c>
      <c r="G46" s="513" t="s">
        <v>285</v>
      </c>
      <c r="H46" s="513" t="s">
        <v>415</v>
      </c>
      <c r="I46" s="518" t="s">
        <v>69</v>
      </c>
      <c r="J46" s="515" t="s">
        <v>69</v>
      </c>
      <c r="K46" s="517" t="s">
        <v>69</v>
      </c>
      <c r="L46" s="604" t="s">
        <v>69</v>
      </c>
      <c r="M46" s="518" t="s">
        <v>69</v>
      </c>
      <c r="N46" s="602" t="s">
        <v>69</v>
      </c>
      <c r="O46" s="540" t="s">
        <v>108</v>
      </c>
      <c r="P46" s="517" t="s">
        <v>69</v>
      </c>
      <c r="Q46" s="517" t="s">
        <v>69</v>
      </c>
      <c r="R46" s="517" t="s">
        <v>69</v>
      </c>
      <c r="S46" s="628" t="s">
        <v>69</v>
      </c>
      <c r="T46" s="628" t="s">
        <v>69</v>
      </c>
      <c r="U46" s="628" t="s">
        <v>69</v>
      </c>
      <c r="V46" s="605" t="s">
        <v>108</v>
      </c>
      <c r="W46" s="517" t="s">
        <v>69</v>
      </c>
      <c r="X46" s="517" t="s">
        <v>69</v>
      </c>
      <c r="Y46" s="517" t="s">
        <v>69</v>
      </c>
      <c r="Z46" s="517" t="s">
        <v>69</v>
      </c>
      <c r="AA46" s="517" t="s">
        <v>69</v>
      </c>
      <c r="AB46" s="517" t="s">
        <v>69</v>
      </c>
      <c r="AC46" s="516" t="s">
        <v>108</v>
      </c>
      <c r="AD46" s="517" t="s">
        <v>69</v>
      </c>
      <c r="AE46" s="517" t="s">
        <v>69</v>
      </c>
      <c r="AF46" s="516" t="s">
        <v>267</v>
      </c>
      <c r="AG46" s="521" t="s">
        <v>426</v>
      </c>
      <c r="AH46" s="517" t="s">
        <v>69</v>
      </c>
      <c r="AI46" s="517" t="s">
        <v>69</v>
      </c>
      <c r="AJ46" s="605" t="s">
        <v>108</v>
      </c>
      <c r="AK46" s="517" t="s">
        <v>69</v>
      </c>
      <c r="AL46" s="517" t="s">
        <v>69</v>
      </c>
      <c r="AM46" s="600">
        <v>0.5</v>
      </c>
      <c r="AN46" s="600">
        <v>0</v>
      </c>
      <c r="AO46" s="600">
        <v>1</v>
      </c>
    </row>
    <row r="47" spans="1:41" ht="18">
      <c r="A47" s="601">
        <v>46</v>
      </c>
      <c r="B47" s="593" t="s">
        <v>325</v>
      </c>
      <c r="C47" s="499" t="s">
        <v>40</v>
      </c>
      <c r="D47" s="510" t="s">
        <v>412</v>
      </c>
      <c r="E47" s="511" t="s">
        <v>466</v>
      </c>
      <c r="F47" s="512" t="s">
        <v>452</v>
      </c>
      <c r="G47" s="513" t="s">
        <v>285</v>
      </c>
      <c r="H47" s="513" t="s">
        <v>415</v>
      </c>
      <c r="I47" s="518" t="s">
        <v>69</v>
      </c>
      <c r="J47" s="515" t="s">
        <v>69</v>
      </c>
      <c r="K47" s="517" t="s">
        <v>69</v>
      </c>
      <c r="L47" s="604" t="s">
        <v>69</v>
      </c>
      <c r="M47" s="518" t="s">
        <v>69</v>
      </c>
      <c r="N47" s="602" t="s">
        <v>69</v>
      </c>
      <c r="O47" s="603" t="s">
        <v>108</v>
      </c>
      <c r="P47" s="517" t="s">
        <v>69</v>
      </c>
      <c r="Q47" s="517" t="s">
        <v>69</v>
      </c>
      <c r="R47" s="517" t="s">
        <v>69</v>
      </c>
      <c r="S47" s="628" t="s">
        <v>69</v>
      </c>
      <c r="T47" s="628" t="s">
        <v>69</v>
      </c>
      <c r="U47" s="509" t="s">
        <v>69</v>
      </c>
      <c r="V47" s="605" t="s">
        <v>108</v>
      </c>
      <c r="W47" s="517" t="s">
        <v>69</v>
      </c>
      <c r="X47" s="517" t="s">
        <v>69</v>
      </c>
      <c r="Y47" s="517" t="s">
        <v>69</v>
      </c>
      <c r="Z47" s="517" t="s">
        <v>69</v>
      </c>
      <c r="AA47" s="517" t="s">
        <v>69</v>
      </c>
      <c r="AB47" s="517" t="s">
        <v>69</v>
      </c>
      <c r="AC47" s="516" t="s">
        <v>108</v>
      </c>
      <c r="AD47" s="519" t="s">
        <v>416</v>
      </c>
      <c r="AE47" s="604" t="s">
        <v>69</v>
      </c>
      <c r="AF47" s="604" t="s">
        <v>69</v>
      </c>
      <c r="AG47" s="604" t="s">
        <v>69</v>
      </c>
      <c r="AH47" s="604" t="s">
        <v>69</v>
      </c>
      <c r="AI47" s="604" t="s">
        <v>69</v>
      </c>
      <c r="AJ47" s="604" t="s">
        <v>69</v>
      </c>
      <c r="AK47" s="604" t="s">
        <v>69</v>
      </c>
      <c r="AL47" s="519" t="s">
        <v>416</v>
      </c>
      <c r="AM47" s="600">
        <v>2</v>
      </c>
      <c r="AN47" s="600">
        <v>0</v>
      </c>
      <c r="AO47" s="600">
        <v>0</v>
      </c>
    </row>
    <row r="48" spans="1:41" ht="18">
      <c r="A48" s="601">
        <v>47</v>
      </c>
      <c r="B48" s="593" t="s">
        <v>366</v>
      </c>
      <c r="C48" s="535" t="s">
        <v>227</v>
      </c>
      <c r="D48" s="510" t="s">
        <v>412</v>
      </c>
      <c r="E48" s="511" t="s">
        <v>462</v>
      </c>
      <c r="F48" s="512" t="s">
        <v>464</v>
      </c>
      <c r="G48" s="513" t="s">
        <v>293</v>
      </c>
      <c r="H48" s="513" t="s">
        <v>415</v>
      </c>
      <c r="I48" s="518" t="s">
        <v>69</v>
      </c>
      <c r="J48" s="515" t="s">
        <v>69</v>
      </c>
      <c r="K48" s="519" t="s">
        <v>416</v>
      </c>
      <c r="L48" s="604" t="s">
        <v>69</v>
      </c>
      <c r="M48" s="518" t="s">
        <v>69</v>
      </c>
      <c r="N48" s="627" t="s">
        <v>267</v>
      </c>
      <c r="O48" s="540" t="s">
        <v>108</v>
      </c>
      <c r="P48" s="517" t="s">
        <v>69</v>
      </c>
      <c r="Q48" s="517" t="s">
        <v>69</v>
      </c>
      <c r="R48" s="517" t="s">
        <v>69</v>
      </c>
      <c r="S48" s="629" t="s">
        <v>267</v>
      </c>
      <c r="T48" s="628" t="s">
        <v>69</v>
      </c>
      <c r="U48" s="517" t="s">
        <v>69</v>
      </c>
      <c r="V48" s="605" t="s">
        <v>108</v>
      </c>
      <c r="W48" s="517" t="s">
        <v>69</v>
      </c>
      <c r="X48" s="607" t="s">
        <v>426</v>
      </c>
      <c r="Y48" s="604" t="s">
        <v>69</v>
      </c>
      <c r="Z48" s="604" t="s">
        <v>69</v>
      </c>
      <c r="AA48" s="606" t="s">
        <v>416</v>
      </c>
      <c r="AB48" s="517" t="s">
        <v>69</v>
      </c>
      <c r="AC48" s="516" t="s">
        <v>108</v>
      </c>
      <c r="AD48" s="517" t="s">
        <v>69</v>
      </c>
      <c r="AE48" s="517" t="s">
        <v>69</v>
      </c>
      <c r="AF48" s="521" t="s">
        <v>426</v>
      </c>
      <c r="AG48" s="604" t="s">
        <v>69</v>
      </c>
      <c r="AH48" s="604" t="s">
        <v>69</v>
      </c>
      <c r="AI48" s="604" t="s">
        <v>69</v>
      </c>
      <c r="AJ48" s="604" t="s">
        <v>69</v>
      </c>
      <c r="AK48" s="604" t="s">
        <v>69</v>
      </c>
      <c r="AL48" s="519" t="s">
        <v>416</v>
      </c>
      <c r="AM48" s="600">
        <v>4</v>
      </c>
      <c r="AN48" s="600">
        <v>0</v>
      </c>
      <c r="AO48" s="600">
        <v>2</v>
      </c>
    </row>
    <row r="49" spans="1:41" ht="18">
      <c r="A49" s="601">
        <v>48</v>
      </c>
      <c r="B49" s="593" t="s">
        <v>338</v>
      </c>
      <c r="C49" s="500" t="s">
        <v>41</v>
      </c>
      <c r="D49" s="510" t="s">
        <v>412</v>
      </c>
      <c r="E49" s="511" t="s">
        <v>462</v>
      </c>
      <c r="F49" s="512" t="s">
        <v>457</v>
      </c>
      <c r="G49" s="513" t="s">
        <v>300</v>
      </c>
      <c r="H49" s="513" t="s">
        <v>415</v>
      </c>
      <c r="I49" s="518" t="s">
        <v>69</v>
      </c>
      <c r="J49" s="515" t="s">
        <v>69</v>
      </c>
      <c r="K49" s="517" t="s">
        <v>69</v>
      </c>
      <c r="L49" s="604" t="s">
        <v>69</v>
      </c>
      <c r="M49" s="518" t="s">
        <v>69</v>
      </c>
      <c r="N49" s="602" t="s">
        <v>69</v>
      </c>
      <c r="O49" s="603" t="s">
        <v>108</v>
      </c>
      <c r="P49" s="517" t="s">
        <v>69</v>
      </c>
      <c r="Q49" s="517" t="s">
        <v>69</v>
      </c>
      <c r="R49" s="517" t="s">
        <v>69</v>
      </c>
      <c r="S49" s="604" t="s">
        <v>69</v>
      </c>
      <c r="T49" s="630" t="s">
        <v>410</v>
      </c>
      <c r="U49" s="606" t="s">
        <v>410</v>
      </c>
      <c r="V49" s="605" t="s">
        <v>108</v>
      </c>
      <c r="W49" s="517" t="s">
        <v>69</v>
      </c>
      <c r="X49" s="517" t="s">
        <v>69</v>
      </c>
      <c r="Y49" s="517" t="s">
        <v>69</v>
      </c>
      <c r="Z49" s="517" t="s">
        <v>69</v>
      </c>
      <c r="AA49" s="517" t="s">
        <v>69</v>
      </c>
      <c r="AB49" s="517" t="s">
        <v>69</v>
      </c>
      <c r="AC49" s="516" t="s">
        <v>108</v>
      </c>
      <c r="AD49" s="517" t="s">
        <v>69</v>
      </c>
      <c r="AE49" s="517" t="s">
        <v>69</v>
      </c>
      <c r="AF49" s="517" t="s">
        <v>69</v>
      </c>
      <c r="AG49" s="604" t="s">
        <v>69</v>
      </c>
      <c r="AH49" s="604" t="s">
        <v>69</v>
      </c>
      <c r="AI49" s="604" t="s">
        <v>69</v>
      </c>
      <c r="AJ49" s="604" t="s">
        <v>69</v>
      </c>
      <c r="AK49" s="604" t="s">
        <v>69</v>
      </c>
      <c r="AL49" s="604" t="s">
        <v>69</v>
      </c>
      <c r="AM49" s="600">
        <v>0</v>
      </c>
      <c r="AN49" s="600">
        <v>2</v>
      </c>
      <c r="AO49" s="600">
        <v>0</v>
      </c>
    </row>
    <row r="50" spans="1:41" ht="18">
      <c r="A50" s="601">
        <v>49</v>
      </c>
      <c r="B50" s="593" t="s">
        <v>470</v>
      </c>
      <c r="C50" s="622" t="s">
        <v>471</v>
      </c>
      <c r="D50" s="526" t="s">
        <v>412</v>
      </c>
      <c r="E50" s="536" t="s">
        <v>424</v>
      </c>
      <c r="F50" s="531" t="s">
        <v>414</v>
      </c>
      <c r="G50" s="513" t="s">
        <v>284</v>
      </c>
      <c r="H50" s="513" t="s">
        <v>415</v>
      </c>
      <c r="I50" s="518" t="s">
        <v>69</v>
      </c>
      <c r="J50" s="537" t="s">
        <v>416</v>
      </c>
      <c r="K50" s="517" t="s">
        <v>69</v>
      </c>
      <c r="L50" s="604" t="s">
        <v>69</v>
      </c>
      <c r="M50" s="609" t="s">
        <v>416</v>
      </c>
      <c r="N50" s="602" t="s">
        <v>69</v>
      </c>
      <c r="O50" s="540" t="s">
        <v>108</v>
      </c>
      <c r="P50" s="517" t="s">
        <v>69</v>
      </c>
      <c r="Q50" s="517" t="s">
        <v>69</v>
      </c>
      <c r="R50" s="517" t="s">
        <v>69</v>
      </c>
      <c r="S50" s="604" t="s">
        <v>69</v>
      </c>
      <c r="T50" s="604" t="s">
        <v>69</v>
      </c>
      <c r="U50" s="604" t="s">
        <v>69</v>
      </c>
      <c r="V50" s="605" t="s">
        <v>108</v>
      </c>
      <c r="W50" s="543" t="s">
        <v>69</v>
      </c>
      <c r="X50" s="543" t="s">
        <v>69</v>
      </c>
      <c r="Y50" s="543" t="s">
        <v>69</v>
      </c>
      <c r="Z50" s="543" t="s">
        <v>69</v>
      </c>
      <c r="AA50" s="543" t="s">
        <v>69</v>
      </c>
      <c r="AB50" s="543" t="s">
        <v>69</v>
      </c>
      <c r="AC50" s="516" t="s">
        <v>108</v>
      </c>
      <c r="AD50" s="517" t="s">
        <v>69</v>
      </c>
      <c r="AE50" s="517" t="s">
        <v>69</v>
      </c>
      <c r="AF50" s="517" t="s">
        <v>69</v>
      </c>
      <c r="AG50" s="517" t="s">
        <v>69</v>
      </c>
      <c r="AH50" s="517" t="s">
        <v>69</v>
      </c>
      <c r="AI50" s="517" t="s">
        <v>69</v>
      </c>
      <c r="AJ50" s="605" t="s">
        <v>108</v>
      </c>
      <c r="AK50" s="604" t="s">
        <v>69</v>
      </c>
      <c r="AL50" s="604" t="s">
        <v>69</v>
      </c>
      <c r="AM50" s="600">
        <v>2</v>
      </c>
      <c r="AN50" s="600">
        <v>0</v>
      </c>
      <c r="AO50" s="600">
        <v>0</v>
      </c>
    </row>
    <row r="51" spans="1:41" ht="18">
      <c r="A51" s="601">
        <v>50</v>
      </c>
      <c r="B51" s="593" t="s">
        <v>367</v>
      </c>
      <c r="C51" s="499" t="s">
        <v>228</v>
      </c>
      <c r="D51" s="510" t="s">
        <v>412</v>
      </c>
      <c r="E51" s="511" t="s">
        <v>418</v>
      </c>
      <c r="F51" s="512" t="s">
        <v>472</v>
      </c>
      <c r="G51" s="513" t="s">
        <v>292</v>
      </c>
      <c r="H51" s="513" t="s">
        <v>415</v>
      </c>
      <c r="I51" s="518" t="s">
        <v>69</v>
      </c>
      <c r="J51" s="515" t="s">
        <v>69</v>
      </c>
      <c r="K51" s="517" t="s">
        <v>69</v>
      </c>
      <c r="L51" s="604" t="s">
        <v>69</v>
      </c>
      <c r="M51" s="518" t="s">
        <v>69</v>
      </c>
      <c r="N51" s="610" t="s">
        <v>416</v>
      </c>
      <c r="O51" s="603" t="s">
        <v>108</v>
      </c>
      <c r="P51" s="517" t="s">
        <v>69</v>
      </c>
      <c r="Q51" s="517" t="s">
        <v>69</v>
      </c>
      <c r="R51" s="517" t="s">
        <v>69</v>
      </c>
      <c r="S51" s="606" t="s">
        <v>416</v>
      </c>
      <c r="T51" s="604" t="s">
        <v>69</v>
      </c>
      <c r="U51" s="604" t="s">
        <v>69</v>
      </c>
      <c r="V51" s="631" t="s">
        <v>108</v>
      </c>
      <c r="W51" s="507" t="s">
        <v>69</v>
      </c>
      <c r="X51" s="509" t="s">
        <v>69</v>
      </c>
      <c r="Y51" s="509" t="s">
        <v>69</v>
      </c>
      <c r="Z51" s="509" t="s">
        <v>69</v>
      </c>
      <c r="AA51" s="509" t="s">
        <v>69</v>
      </c>
      <c r="AB51" s="509" t="s">
        <v>69</v>
      </c>
      <c r="AC51" s="516" t="s">
        <v>108</v>
      </c>
      <c r="AD51" s="517" t="s">
        <v>69</v>
      </c>
      <c r="AE51" s="604" t="s">
        <v>69</v>
      </c>
      <c r="AF51" s="516" t="s">
        <v>267</v>
      </c>
      <c r="AG51" s="517" t="s">
        <v>69</v>
      </c>
      <c r="AH51" s="606" t="s">
        <v>416</v>
      </c>
      <c r="AI51" s="606" t="s">
        <v>416</v>
      </c>
      <c r="AJ51" s="605" t="s">
        <v>108</v>
      </c>
      <c r="AK51" s="519" t="s">
        <v>416</v>
      </c>
      <c r="AL51" s="519" t="s">
        <v>416</v>
      </c>
      <c r="AM51" s="600">
        <v>6</v>
      </c>
      <c r="AN51" s="600">
        <v>0</v>
      </c>
      <c r="AO51" s="600">
        <v>1</v>
      </c>
    </row>
    <row r="52" spans="1:41" ht="18">
      <c r="A52" s="601">
        <v>51</v>
      </c>
      <c r="B52" s="593" t="s">
        <v>310</v>
      </c>
      <c r="C52" s="499" t="s">
        <v>42</v>
      </c>
      <c r="D52" s="510" t="s">
        <v>412</v>
      </c>
      <c r="E52" s="536" t="s">
        <v>473</v>
      </c>
      <c r="F52" s="531" t="s">
        <v>446</v>
      </c>
      <c r="G52" s="513" t="s">
        <v>291</v>
      </c>
      <c r="H52" s="513" t="s">
        <v>415</v>
      </c>
      <c r="I52" s="518" t="s">
        <v>69</v>
      </c>
      <c r="J52" s="515" t="s">
        <v>69</v>
      </c>
      <c r="K52" s="517" t="s">
        <v>69</v>
      </c>
      <c r="L52" s="604" t="s">
        <v>69</v>
      </c>
      <c r="M52" s="518" t="s">
        <v>69</v>
      </c>
      <c r="N52" s="602" t="s">
        <v>69</v>
      </c>
      <c r="O52" s="540" t="s">
        <v>108</v>
      </c>
      <c r="P52" s="517" t="s">
        <v>69</v>
      </c>
      <c r="Q52" s="517" t="s">
        <v>69</v>
      </c>
      <c r="R52" s="606" t="s">
        <v>416</v>
      </c>
      <c r="S52" s="517" t="s">
        <v>69</v>
      </c>
      <c r="T52" s="604" t="s">
        <v>69</v>
      </c>
      <c r="U52" s="607" t="s">
        <v>426</v>
      </c>
      <c r="V52" s="605" t="s">
        <v>108</v>
      </c>
      <c r="W52" s="517" t="s">
        <v>69</v>
      </c>
      <c r="X52" s="517" t="s">
        <v>69</v>
      </c>
      <c r="Y52" s="517" t="s">
        <v>69</v>
      </c>
      <c r="Z52" s="517" t="s">
        <v>69</v>
      </c>
      <c r="AA52" s="611" t="s">
        <v>267</v>
      </c>
      <c r="AB52" s="517" t="s">
        <v>69</v>
      </c>
      <c r="AC52" s="516" t="s">
        <v>108</v>
      </c>
      <c r="AD52" s="517" t="s">
        <v>69</v>
      </c>
      <c r="AE52" s="517" t="s">
        <v>69</v>
      </c>
      <c r="AF52" s="606" t="s">
        <v>416</v>
      </c>
      <c r="AG52" s="521" t="s">
        <v>426</v>
      </c>
      <c r="AH52" s="604" t="s">
        <v>69</v>
      </c>
      <c r="AI52" s="604" t="s">
        <v>69</v>
      </c>
      <c r="AJ52" s="605" t="s">
        <v>108</v>
      </c>
      <c r="AK52" s="604" t="s">
        <v>69</v>
      </c>
      <c r="AL52" s="604" t="s">
        <v>69</v>
      </c>
      <c r="AM52" s="600">
        <v>3</v>
      </c>
      <c r="AN52" s="600">
        <v>0</v>
      </c>
      <c r="AO52" s="600">
        <v>1</v>
      </c>
    </row>
    <row r="53" spans="1:41" ht="18">
      <c r="A53" s="601">
        <v>52</v>
      </c>
      <c r="B53" s="593" t="s">
        <v>364</v>
      </c>
      <c r="C53" s="608" t="s">
        <v>229</v>
      </c>
      <c r="D53" s="526" t="s">
        <v>412</v>
      </c>
      <c r="E53" s="511" t="s">
        <v>413</v>
      </c>
      <c r="F53" s="512" t="s">
        <v>474</v>
      </c>
      <c r="G53" s="513" t="s">
        <v>284</v>
      </c>
      <c r="H53" s="513" t="s">
        <v>415</v>
      </c>
      <c r="I53" s="518" t="s">
        <v>69</v>
      </c>
      <c r="J53" s="538" t="s">
        <v>69</v>
      </c>
      <c r="K53" s="517" t="s">
        <v>69</v>
      </c>
      <c r="L53" s="604" t="s">
        <v>69</v>
      </c>
      <c r="M53" s="518" t="s">
        <v>69</v>
      </c>
      <c r="N53" s="602" t="s">
        <v>69</v>
      </c>
      <c r="O53" s="603" t="s">
        <v>108</v>
      </c>
      <c r="P53" s="517" t="s">
        <v>69</v>
      </c>
      <c r="Q53" s="517" t="s">
        <v>69</v>
      </c>
      <c r="R53" s="517" t="s">
        <v>69</v>
      </c>
      <c r="S53" s="606" t="s">
        <v>416</v>
      </c>
      <c r="T53" s="604" t="s">
        <v>69</v>
      </c>
      <c r="U53" s="604" t="s">
        <v>69</v>
      </c>
      <c r="V53" s="605" t="s">
        <v>108</v>
      </c>
      <c r="W53" s="517" t="s">
        <v>69</v>
      </c>
      <c r="X53" s="517" t="s">
        <v>69</v>
      </c>
      <c r="Y53" s="517" t="s">
        <v>69</v>
      </c>
      <c r="Z53" s="517" t="s">
        <v>69</v>
      </c>
      <c r="AA53" s="517" t="s">
        <v>69</v>
      </c>
      <c r="AB53" s="517" t="s">
        <v>69</v>
      </c>
      <c r="AC53" s="516" t="s">
        <v>108</v>
      </c>
      <c r="AD53" s="517" t="s">
        <v>69</v>
      </c>
      <c r="AE53" s="517" t="s">
        <v>69</v>
      </c>
      <c r="AF53" s="606" t="s">
        <v>416</v>
      </c>
      <c r="AG53" s="604" t="s">
        <v>69</v>
      </c>
      <c r="AH53" s="604" t="s">
        <v>69</v>
      </c>
      <c r="AI53" s="604" t="s">
        <v>69</v>
      </c>
      <c r="AJ53" s="605" t="s">
        <v>108</v>
      </c>
      <c r="AK53" s="604" t="s">
        <v>69</v>
      </c>
      <c r="AL53" s="604" t="s">
        <v>69</v>
      </c>
      <c r="AM53" s="600">
        <v>2</v>
      </c>
      <c r="AN53" s="600">
        <v>0</v>
      </c>
      <c r="AO53" s="600">
        <v>0</v>
      </c>
    </row>
    <row r="54" spans="1:41" ht="18">
      <c r="A54" s="601">
        <v>53</v>
      </c>
      <c r="B54" s="593" t="s">
        <v>507</v>
      </c>
      <c r="C54" s="632" t="s">
        <v>508</v>
      </c>
      <c r="D54" s="510" t="s">
        <v>412</v>
      </c>
      <c r="E54" s="536" t="s">
        <v>475</v>
      </c>
      <c r="F54" s="531" t="s">
        <v>464</v>
      </c>
      <c r="G54" s="513" t="s">
        <v>293</v>
      </c>
      <c r="H54" s="513" t="s">
        <v>415</v>
      </c>
      <c r="I54" s="518" t="s">
        <v>69</v>
      </c>
      <c r="J54" s="507" t="s">
        <v>69</v>
      </c>
      <c r="K54" s="517" t="s">
        <v>69</v>
      </c>
      <c r="L54" s="604" t="s">
        <v>69</v>
      </c>
      <c r="M54" s="518" t="s">
        <v>69</v>
      </c>
      <c r="N54" s="602" t="s">
        <v>69</v>
      </c>
      <c r="O54" s="540" t="s">
        <v>108</v>
      </c>
      <c r="P54" s="517" t="s">
        <v>69</v>
      </c>
      <c r="Q54" s="517" t="s">
        <v>69</v>
      </c>
      <c r="R54" s="517" t="s">
        <v>69</v>
      </c>
      <c r="S54" s="410" t="s">
        <v>69</v>
      </c>
      <c r="T54" s="604" t="s">
        <v>69</v>
      </c>
      <c r="U54" s="604" t="s">
        <v>69</v>
      </c>
      <c r="V54" s="605" t="s">
        <v>108</v>
      </c>
      <c r="W54" s="517" t="s">
        <v>69</v>
      </c>
      <c r="X54" s="517" t="s">
        <v>69</v>
      </c>
      <c r="Y54" s="517" t="s">
        <v>69</v>
      </c>
      <c r="Z54" s="517" t="s">
        <v>69</v>
      </c>
      <c r="AA54" s="517" t="s">
        <v>69</v>
      </c>
      <c r="AB54" s="517" t="s">
        <v>69</v>
      </c>
      <c r="AC54" s="516" t="s">
        <v>108</v>
      </c>
      <c r="AD54" s="517" t="s">
        <v>69</v>
      </c>
      <c r="AE54" s="517" t="s">
        <v>69</v>
      </c>
      <c r="AF54" s="517" t="s">
        <v>69</v>
      </c>
      <c r="AG54" s="604" t="s">
        <v>69</v>
      </c>
      <c r="AH54" s="521" t="s">
        <v>426</v>
      </c>
      <c r="AI54" s="604" t="s">
        <v>69</v>
      </c>
      <c r="AJ54" s="605" t="s">
        <v>108</v>
      </c>
      <c r="AK54" s="604" t="s">
        <v>69</v>
      </c>
      <c r="AL54" s="604" t="s">
        <v>69</v>
      </c>
      <c r="AM54" s="600">
        <v>0.5</v>
      </c>
      <c r="AN54" s="600">
        <v>0</v>
      </c>
      <c r="AO54" s="600">
        <v>0</v>
      </c>
    </row>
    <row r="55" spans="1:41" ht="18">
      <c r="A55" s="601">
        <v>54</v>
      </c>
      <c r="B55" s="593" t="s">
        <v>353</v>
      </c>
      <c r="C55" s="608" t="s">
        <v>509</v>
      </c>
      <c r="D55" s="526" t="s">
        <v>412</v>
      </c>
      <c r="E55" s="511" t="s">
        <v>462</v>
      </c>
      <c r="F55" s="512" t="s">
        <v>476</v>
      </c>
      <c r="G55" s="513" t="s">
        <v>291</v>
      </c>
      <c r="H55" s="513" t="s">
        <v>415</v>
      </c>
      <c r="I55" s="518" t="s">
        <v>69</v>
      </c>
      <c r="J55" s="537" t="s">
        <v>416</v>
      </c>
      <c r="K55" s="517" t="s">
        <v>69</v>
      </c>
      <c r="L55" s="517" t="s">
        <v>69</v>
      </c>
      <c r="M55" s="518" t="s">
        <v>69</v>
      </c>
      <c r="N55" s="610" t="s">
        <v>416</v>
      </c>
      <c r="O55" s="603" t="s">
        <v>108</v>
      </c>
      <c r="P55" s="521" t="s">
        <v>426</v>
      </c>
      <c r="Q55" s="517" t="s">
        <v>69</v>
      </c>
      <c r="R55" s="517" t="s">
        <v>69</v>
      </c>
      <c r="S55" s="410" t="s">
        <v>69</v>
      </c>
      <c r="T55" s="604" t="s">
        <v>69</v>
      </c>
      <c r="U55" s="606" t="s">
        <v>416</v>
      </c>
      <c r="V55" s="605" t="s">
        <v>108</v>
      </c>
      <c r="W55" s="519" t="s">
        <v>416</v>
      </c>
      <c r="X55" s="517" t="s">
        <v>69</v>
      </c>
      <c r="Y55" s="517" t="s">
        <v>69</v>
      </c>
      <c r="Z55" s="517" t="s">
        <v>69</v>
      </c>
      <c r="AA55" s="517" t="s">
        <v>69</v>
      </c>
      <c r="AB55" s="517" t="s">
        <v>69</v>
      </c>
      <c r="AC55" s="516" t="s">
        <v>108</v>
      </c>
      <c r="AD55" s="519" t="s">
        <v>416</v>
      </c>
      <c r="AE55" s="517" t="s">
        <v>69</v>
      </c>
      <c r="AF55" s="606" t="s">
        <v>416</v>
      </c>
      <c r="AG55" s="604" t="s">
        <v>69</v>
      </c>
      <c r="AH55" s="604" t="s">
        <v>69</v>
      </c>
      <c r="AI55" s="604" t="s">
        <v>69</v>
      </c>
      <c r="AJ55" s="604" t="s">
        <v>69</v>
      </c>
      <c r="AK55" s="604" t="s">
        <v>69</v>
      </c>
      <c r="AL55" s="519" t="s">
        <v>416</v>
      </c>
      <c r="AM55" s="600">
        <v>7.5</v>
      </c>
      <c r="AN55" s="600">
        <v>0</v>
      </c>
      <c r="AO55" s="600">
        <v>0</v>
      </c>
    </row>
    <row r="56" spans="1:41" ht="18">
      <c r="A56" s="601">
        <v>55</v>
      </c>
      <c r="B56" s="593" t="s">
        <v>336</v>
      </c>
      <c r="C56" s="499" t="s">
        <v>47</v>
      </c>
      <c r="D56" s="510" t="s">
        <v>412</v>
      </c>
      <c r="E56" s="511" t="s">
        <v>418</v>
      </c>
      <c r="F56" s="512" t="s">
        <v>457</v>
      </c>
      <c r="G56" s="513" t="s">
        <v>300</v>
      </c>
      <c r="H56" s="513" t="s">
        <v>415</v>
      </c>
      <c r="I56" s="518" t="s">
        <v>69</v>
      </c>
      <c r="J56" s="617" t="s">
        <v>69</v>
      </c>
      <c r="K56" s="517" t="s">
        <v>69</v>
      </c>
      <c r="L56" s="517" t="s">
        <v>69</v>
      </c>
      <c r="M56" s="518" t="s">
        <v>69</v>
      </c>
      <c r="N56" s="602" t="s">
        <v>69</v>
      </c>
      <c r="O56" s="540" t="s">
        <v>108</v>
      </c>
      <c r="P56" s="517" t="s">
        <v>69</v>
      </c>
      <c r="Q56" s="517" t="s">
        <v>69</v>
      </c>
      <c r="R56" s="517" t="s">
        <v>69</v>
      </c>
      <c r="S56" s="633" t="s">
        <v>410</v>
      </c>
      <c r="T56" s="633" t="s">
        <v>410</v>
      </c>
      <c r="U56" s="633" t="s">
        <v>410</v>
      </c>
      <c r="V56" s="633" t="s">
        <v>410</v>
      </c>
      <c r="W56" s="633" t="s">
        <v>410</v>
      </c>
      <c r="X56" s="633" t="s">
        <v>410</v>
      </c>
      <c r="Y56" s="633" t="s">
        <v>410</v>
      </c>
      <c r="Z56" s="633" t="s">
        <v>410</v>
      </c>
      <c r="AA56" s="633" t="s">
        <v>410</v>
      </c>
      <c r="AB56" s="633" t="s">
        <v>410</v>
      </c>
      <c r="AC56" s="633" t="s">
        <v>410</v>
      </c>
      <c r="AD56" s="633" t="s">
        <v>410</v>
      </c>
      <c r="AE56" s="633" t="s">
        <v>410</v>
      </c>
      <c r="AF56" s="633" t="s">
        <v>410</v>
      </c>
      <c r="AG56" s="604" t="s">
        <v>69</v>
      </c>
      <c r="AH56" s="604" t="s">
        <v>69</v>
      </c>
      <c r="AI56" s="604" t="s">
        <v>69</v>
      </c>
      <c r="AJ56" s="605" t="s">
        <v>108</v>
      </c>
      <c r="AK56" s="604" t="s">
        <v>69</v>
      </c>
      <c r="AL56" s="604" t="s">
        <v>69</v>
      </c>
      <c r="AM56" s="600">
        <v>0</v>
      </c>
      <c r="AN56" s="600">
        <v>14</v>
      </c>
      <c r="AO56" s="600">
        <v>0</v>
      </c>
    </row>
    <row r="57" spans="1:41" ht="18">
      <c r="A57" s="601">
        <v>56</v>
      </c>
      <c r="B57" s="593" t="s">
        <v>317</v>
      </c>
      <c r="C57" s="499" t="s">
        <v>49</v>
      </c>
      <c r="D57" s="510" t="s">
        <v>412</v>
      </c>
      <c r="E57" s="511" t="s">
        <v>443</v>
      </c>
      <c r="F57" s="512" t="s">
        <v>446</v>
      </c>
      <c r="G57" s="513" t="s">
        <v>291</v>
      </c>
      <c r="H57" s="513" t="s">
        <v>415</v>
      </c>
      <c r="I57" s="518" t="s">
        <v>69</v>
      </c>
      <c r="J57" s="617" t="s">
        <v>69</v>
      </c>
      <c r="K57" s="517" t="s">
        <v>69</v>
      </c>
      <c r="L57" s="517" t="s">
        <v>69</v>
      </c>
      <c r="M57" s="518" t="s">
        <v>69</v>
      </c>
      <c r="N57" s="602" t="s">
        <v>69</v>
      </c>
      <c r="O57" s="603" t="s">
        <v>108</v>
      </c>
      <c r="P57" s="517" t="s">
        <v>69</v>
      </c>
      <c r="Q57" s="517" t="s">
        <v>69</v>
      </c>
      <c r="R57" s="517" t="s">
        <v>69</v>
      </c>
      <c r="S57" s="410" t="s">
        <v>69</v>
      </c>
      <c r="T57" s="604" t="s">
        <v>69</v>
      </c>
      <c r="U57" s="604" t="s">
        <v>69</v>
      </c>
      <c r="V57" s="605" t="s">
        <v>108</v>
      </c>
      <c r="W57" s="604" t="s">
        <v>69</v>
      </c>
      <c r="X57" s="604" t="s">
        <v>69</v>
      </c>
      <c r="Y57" s="604" t="s">
        <v>69</v>
      </c>
      <c r="Z57" s="604" t="s">
        <v>69</v>
      </c>
      <c r="AA57" s="604" t="s">
        <v>69</v>
      </c>
      <c r="AB57" s="604" t="s">
        <v>69</v>
      </c>
      <c r="AC57" s="516" t="s">
        <v>108</v>
      </c>
      <c r="AD57" s="517" t="s">
        <v>69</v>
      </c>
      <c r="AE57" s="517" t="s">
        <v>69</v>
      </c>
      <c r="AF57" s="517" t="s">
        <v>69</v>
      </c>
      <c r="AG57" s="517" t="s">
        <v>69</v>
      </c>
      <c r="AH57" s="517" t="s">
        <v>69</v>
      </c>
      <c r="AI57" s="517" t="s">
        <v>69</v>
      </c>
      <c r="AJ57" s="605" t="s">
        <v>108</v>
      </c>
      <c r="AK57" s="604" t="s">
        <v>69</v>
      </c>
      <c r="AL57" s="604" t="s">
        <v>69</v>
      </c>
      <c r="AM57" s="600">
        <v>0</v>
      </c>
      <c r="AN57" s="600">
        <v>0</v>
      </c>
      <c r="AO57" s="600">
        <v>0</v>
      </c>
    </row>
    <row r="58" spans="1:41" ht="18">
      <c r="A58" s="601">
        <v>57</v>
      </c>
      <c r="B58" s="593" t="s">
        <v>361</v>
      </c>
      <c r="C58" s="499" t="s">
        <v>203</v>
      </c>
      <c r="D58" s="510" t="s">
        <v>412</v>
      </c>
      <c r="E58" s="511" t="s">
        <v>462</v>
      </c>
      <c r="F58" s="512" t="s">
        <v>421</v>
      </c>
      <c r="G58" s="513" t="s">
        <v>286</v>
      </c>
      <c r="H58" s="513" t="s">
        <v>415</v>
      </c>
      <c r="I58" s="518" t="s">
        <v>69</v>
      </c>
      <c r="J58" s="617" t="s">
        <v>69</v>
      </c>
      <c r="K58" s="517" t="s">
        <v>69</v>
      </c>
      <c r="L58" s="517" t="s">
        <v>69</v>
      </c>
      <c r="M58" s="518" t="s">
        <v>69</v>
      </c>
      <c r="N58" s="602" t="s">
        <v>69</v>
      </c>
      <c r="O58" s="540" t="s">
        <v>108</v>
      </c>
      <c r="P58" s="517" t="s">
        <v>69</v>
      </c>
      <c r="Q58" s="517" t="s">
        <v>69</v>
      </c>
      <c r="R58" s="517" t="s">
        <v>69</v>
      </c>
      <c r="S58" s="410" t="s">
        <v>69</v>
      </c>
      <c r="T58" s="604" t="s">
        <v>69</v>
      </c>
      <c r="U58" s="612" t="s">
        <v>69</v>
      </c>
      <c r="V58" s="605" t="s">
        <v>108</v>
      </c>
      <c r="W58" s="604" t="s">
        <v>69</v>
      </c>
      <c r="X58" s="604" t="s">
        <v>69</v>
      </c>
      <c r="Y58" s="604" t="s">
        <v>69</v>
      </c>
      <c r="Z58" s="604" t="s">
        <v>69</v>
      </c>
      <c r="AA58" s="604" t="s">
        <v>69</v>
      </c>
      <c r="AB58" s="604" t="s">
        <v>69</v>
      </c>
      <c r="AC58" s="516" t="s">
        <v>108</v>
      </c>
      <c r="AD58" s="517" t="s">
        <v>69</v>
      </c>
      <c r="AE58" s="517" t="s">
        <v>69</v>
      </c>
      <c r="AF58" s="517" t="s">
        <v>69</v>
      </c>
      <c r="AG58" s="517" t="s">
        <v>69</v>
      </c>
      <c r="AH58" s="517" t="s">
        <v>69</v>
      </c>
      <c r="AI58" s="517" t="s">
        <v>69</v>
      </c>
      <c r="AJ58" s="517" t="s">
        <v>69</v>
      </c>
      <c r="AK58" s="517" t="s">
        <v>69</v>
      </c>
      <c r="AL58" s="517" t="s">
        <v>69</v>
      </c>
      <c r="AM58" s="600">
        <v>0</v>
      </c>
      <c r="AN58" s="600">
        <v>0</v>
      </c>
      <c r="AO58" s="600">
        <v>0</v>
      </c>
    </row>
    <row r="59" spans="1:41" ht="18">
      <c r="A59" s="601">
        <v>58</v>
      </c>
      <c r="B59" s="593" t="s">
        <v>399</v>
      </c>
      <c r="C59" s="499" t="s">
        <v>185</v>
      </c>
      <c r="D59" s="510" t="s">
        <v>412</v>
      </c>
      <c r="E59" s="536" t="s">
        <v>462</v>
      </c>
      <c r="F59" s="531" t="s">
        <v>477</v>
      </c>
      <c r="G59" s="513" t="s">
        <v>296</v>
      </c>
      <c r="H59" s="513" t="s">
        <v>415</v>
      </c>
      <c r="I59" s="518" t="s">
        <v>69</v>
      </c>
      <c r="J59" s="617" t="s">
        <v>69</v>
      </c>
      <c r="K59" s="517" t="s">
        <v>69</v>
      </c>
      <c r="L59" s="517" t="s">
        <v>69</v>
      </c>
      <c r="M59" s="518" t="s">
        <v>69</v>
      </c>
      <c r="N59" s="602" t="s">
        <v>69</v>
      </c>
      <c r="O59" s="603" t="s">
        <v>108</v>
      </c>
      <c r="P59" s="517" t="s">
        <v>69</v>
      </c>
      <c r="Q59" s="517" t="s">
        <v>69</v>
      </c>
      <c r="R59" s="606" t="s">
        <v>416</v>
      </c>
      <c r="S59" s="410" t="s">
        <v>69</v>
      </c>
      <c r="T59" s="613" t="s">
        <v>69</v>
      </c>
      <c r="U59" s="597" t="s">
        <v>416</v>
      </c>
      <c r="V59" s="605" t="s">
        <v>108</v>
      </c>
      <c r="W59" s="604" t="s">
        <v>69</v>
      </c>
      <c r="X59" s="604" t="s">
        <v>69</v>
      </c>
      <c r="Y59" s="604" t="s">
        <v>69</v>
      </c>
      <c r="Z59" s="604" t="s">
        <v>69</v>
      </c>
      <c r="AA59" s="604" t="s">
        <v>69</v>
      </c>
      <c r="AB59" s="606" t="s">
        <v>416</v>
      </c>
      <c r="AC59" s="516" t="s">
        <v>108</v>
      </c>
      <c r="AD59" s="604" t="s">
        <v>69</v>
      </c>
      <c r="AE59" s="604" t="s">
        <v>69</v>
      </c>
      <c r="AF59" s="606" t="s">
        <v>416</v>
      </c>
      <c r="AG59" s="517" t="s">
        <v>69</v>
      </c>
      <c r="AH59" s="517" t="s">
        <v>69</v>
      </c>
      <c r="AI59" s="517" t="s">
        <v>69</v>
      </c>
      <c r="AJ59" s="517" t="s">
        <v>69</v>
      </c>
      <c r="AK59" s="517" t="s">
        <v>69</v>
      </c>
      <c r="AL59" s="517" t="s">
        <v>69</v>
      </c>
      <c r="AM59" s="600">
        <v>4</v>
      </c>
      <c r="AN59" s="600">
        <v>0</v>
      </c>
      <c r="AO59" s="600">
        <v>0</v>
      </c>
    </row>
    <row r="60" spans="1:41" ht="18">
      <c r="A60" s="601">
        <v>59</v>
      </c>
      <c r="B60" s="593" t="s">
        <v>374</v>
      </c>
      <c r="C60" s="499" t="s">
        <v>244</v>
      </c>
      <c r="D60" s="510" t="s">
        <v>412</v>
      </c>
      <c r="E60" s="511" t="s">
        <v>418</v>
      </c>
      <c r="F60" s="512" t="s">
        <v>478</v>
      </c>
      <c r="G60" s="513" t="s">
        <v>284</v>
      </c>
      <c r="H60" s="513" t="s">
        <v>415</v>
      </c>
      <c r="I60" s="518" t="s">
        <v>69</v>
      </c>
      <c r="J60" s="537" t="s">
        <v>416</v>
      </c>
      <c r="K60" s="517" t="s">
        <v>69</v>
      </c>
      <c r="L60" s="604" t="s">
        <v>69</v>
      </c>
      <c r="M60" s="613" t="s">
        <v>69</v>
      </c>
      <c r="N60" s="602" t="s">
        <v>69</v>
      </c>
      <c r="O60" s="540" t="s">
        <v>108</v>
      </c>
      <c r="P60" s="517" t="s">
        <v>69</v>
      </c>
      <c r="Q60" s="517" t="s">
        <v>69</v>
      </c>
      <c r="R60" s="517" t="s">
        <v>69</v>
      </c>
      <c r="S60" s="606" t="s">
        <v>416</v>
      </c>
      <c r="T60" s="613" t="s">
        <v>69</v>
      </c>
      <c r="U60" s="617" t="s">
        <v>69</v>
      </c>
      <c r="V60" s="605" t="s">
        <v>108</v>
      </c>
      <c r="W60" s="604" t="s">
        <v>69</v>
      </c>
      <c r="X60" s="604" t="s">
        <v>69</v>
      </c>
      <c r="Y60" s="604" t="s">
        <v>69</v>
      </c>
      <c r="Z60" s="604" t="s">
        <v>69</v>
      </c>
      <c r="AA60" s="604" t="s">
        <v>69</v>
      </c>
      <c r="AB60" s="604" t="s">
        <v>69</v>
      </c>
      <c r="AC60" s="516" t="s">
        <v>108</v>
      </c>
      <c r="AD60" s="517" t="s">
        <v>69</v>
      </c>
      <c r="AE60" s="517" t="s">
        <v>69</v>
      </c>
      <c r="AF60" s="517" t="s">
        <v>69</v>
      </c>
      <c r="AG60" s="517" t="s">
        <v>69</v>
      </c>
      <c r="AH60" s="517" t="s">
        <v>69</v>
      </c>
      <c r="AI60" s="517" t="s">
        <v>69</v>
      </c>
      <c r="AJ60" s="605" t="s">
        <v>108</v>
      </c>
      <c r="AK60" s="517" t="s">
        <v>69</v>
      </c>
      <c r="AL60" s="517" t="s">
        <v>69</v>
      </c>
      <c r="AM60" s="600">
        <v>2</v>
      </c>
      <c r="AN60" s="600">
        <v>0</v>
      </c>
      <c r="AO60" s="600">
        <v>0</v>
      </c>
    </row>
    <row r="61" spans="1:41" ht="18">
      <c r="A61" s="601">
        <v>60</v>
      </c>
      <c r="B61" s="593" t="s">
        <v>337</v>
      </c>
      <c r="C61" s="499" t="s">
        <v>50</v>
      </c>
      <c r="D61" s="510" t="s">
        <v>412</v>
      </c>
      <c r="E61" s="511" t="s">
        <v>462</v>
      </c>
      <c r="F61" s="512" t="s">
        <v>474</v>
      </c>
      <c r="G61" s="513" t="s">
        <v>284</v>
      </c>
      <c r="H61" s="513" t="s">
        <v>415</v>
      </c>
      <c r="I61" s="518" t="s">
        <v>69</v>
      </c>
      <c r="J61" s="515" t="s">
        <v>69</v>
      </c>
      <c r="K61" s="517" t="s">
        <v>69</v>
      </c>
      <c r="L61" s="518" t="s">
        <v>69</v>
      </c>
      <c r="M61" s="602" t="s">
        <v>69</v>
      </c>
      <c r="N61" s="602" t="s">
        <v>69</v>
      </c>
      <c r="O61" s="603" t="s">
        <v>108</v>
      </c>
      <c r="P61" s="518" t="s">
        <v>69</v>
      </c>
      <c r="Q61" s="518" t="s">
        <v>69</v>
      </c>
      <c r="R61" s="515" t="s">
        <v>69</v>
      </c>
      <c r="S61" s="410" t="s">
        <v>69</v>
      </c>
      <c r="T61" s="410" t="s">
        <v>69</v>
      </c>
      <c r="U61" s="517" t="s">
        <v>69</v>
      </c>
      <c r="V61" s="605" t="s">
        <v>108</v>
      </c>
      <c r="W61" s="604" t="s">
        <v>69</v>
      </c>
      <c r="X61" s="604" t="s">
        <v>69</v>
      </c>
      <c r="Y61" s="604" t="s">
        <v>69</v>
      </c>
      <c r="Z61" s="604" t="s">
        <v>69</v>
      </c>
      <c r="AA61" s="604" t="s">
        <v>69</v>
      </c>
      <c r="AB61" s="517" t="s">
        <v>69</v>
      </c>
      <c r="AC61" s="516" t="s">
        <v>108</v>
      </c>
      <c r="AD61" s="604" t="s">
        <v>69</v>
      </c>
      <c r="AE61" s="604" t="s">
        <v>69</v>
      </c>
      <c r="AF61" s="606" t="s">
        <v>416</v>
      </c>
      <c r="AG61" s="517" t="s">
        <v>69</v>
      </c>
      <c r="AH61" s="517" t="s">
        <v>69</v>
      </c>
      <c r="AI61" s="517" t="s">
        <v>69</v>
      </c>
      <c r="AJ61" s="517" t="s">
        <v>69</v>
      </c>
      <c r="AK61" s="517" t="s">
        <v>69</v>
      </c>
      <c r="AL61" s="517" t="s">
        <v>69</v>
      </c>
      <c r="AM61" s="600">
        <v>1</v>
      </c>
      <c r="AN61" s="600">
        <v>0</v>
      </c>
      <c r="AO61" s="600">
        <v>0</v>
      </c>
    </row>
    <row r="62" spans="1:41" ht="18">
      <c r="A62" s="601">
        <v>61</v>
      </c>
      <c r="B62" s="593" t="s">
        <v>358</v>
      </c>
      <c r="C62" s="535" t="s">
        <v>186</v>
      </c>
      <c r="D62" s="510" t="s">
        <v>412</v>
      </c>
      <c r="E62" s="511" t="s">
        <v>462</v>
      </c>
      <c r="F62" s="512" t="s">
        <v>446</v>
      </c>
      <c r="G62" s="513" t="s">
        <v>291</v>
      </c>
      <c r="H62" s="513" t="s">
        <v>415</v>
      </c>
      <c r="I62" s="518" t="s">
        <v>69</v>
      </c>
      <c r="J62" s="515" t="s">
        <v>69</v>
      </c>
      <c r="K62" s="517" t="s">
        <v>69</v>
      </c>
      <c r="L62" s="517" t="s">
        <v>69</v>
      </c>
      <c r="M62" s="613" t="s">
        <v>69</v>
      </c>
      <c r="N62" s="602" t="s">
        <v>69</v>
      </c>
      <c r="O62" s="540" t="s">
        <v>108</v>
      </c>
      <c r="P62" s="604" t="s">
        <v>69</v>
      </c>
      <c r="Q62" s="604" t="s">
        <v>69</v>
      </c>
      <c r="R62" s="604" t="s">
        <v>69</v>
      </c>
      <c r="S62" s="410" t="s">
        <v>69</v>
      </c>
      <c r="T62" s="410" t="s">
        <v>69</v>
      </c>
      <c r="U62" s="517" t="s">
        <v>69</v>
      </c>
      <c r="V62" s="605" t="s">
        <v>108</v>
      </c>
      <c r="W62" s="517" t="s">
        <v>69</v>
      </c>
      <c r="X62" s="517" t="s">
        <v>69</v>
      </c>
      <c r="Y62" s="517" t="s">
        <v>69</v>
      </c>
      <c r="Z62" s="517" t="s">
        <v>69</v>
      </c>
      <c r="AA62" s="517" t="s">
        <v>69</v>
      </c>
      <c r="AB62" s="517" t="s">
        <v>69</v>
      </c>
      <c r="AC62" s="516" t="s">
        <v>108</v>
      </c>
      <c r="AD62" s="519" t="s">
        <v>416</v>
      </c>
      <c r="AE62" s="517" t="s">
        <v>69</v>
      </c>
      <c r="AF62" s="517" t="s">
        <v>69</v>
      </c>
      <c r="AG62" s="517" t="s">
        <v>69</v>
      </c>
      <c r="AH62" s="517" t="s">
        <v>69</v>
      </c>
      <c r="AI62" s="517" t="s">
        <v>69</v>
      </c>
      <c r="AJ62" s="517" t="s">
        <v>69</v>
      </c>
      <c r="AK62" s="517" t="s">
        <v>69</v>
      </c>
      <c r="AL62" s="519" t="s">
        <v>416</v>
      </c>
      <c r="AM62" s="600">
        <v>2</v>
      </c>
      <c r="AN62" s="600">
        <v>0</v>
      </c>
      <c r="AO62" s="600">
        <v>0</v>
      </c>
    </row>
    <row r="63" spans="1:41" ht="18">
      <c r="A63" s="601">
        <v>62</v>
      </c>
      <c r="B63" s="593" t="s">
        <v>369</v>
      </c>
      <c r="C63" s="634" t="s">
        <v>510</v>
      </c>
      <c r="D63" s="526" t="s">
        <v>412</v>
      </c>
      <c r="E63" s="511" t="s">
        <v>413</v>
      </c>
      <c r="F63" s="512" t="s">
        <v>459</v>
      </c>
      <c r="G63" s="513" t="s">
        <v>301</v>
      </c>
      <c r="H63" s="513" t="s">
        <v>415</v>
      </c>
      <c r="I63" s="518" t="s">
        <v>69</v>
      </c>
      <c r="J63" s="515" t="s">
        <v>69</v>
      </c>
      <c r="K63" s="517" t="s">
        <v>69</v>
      </c>
      <c r="L63" s="517" t="s">
        <v>69</v>
      </c>
      <c r="M63" s="518" t="s">
        <v>69</v>
      </c>
      <c r="N63" s="602" t="s">
        <v>69</v>
      </c>
      <c r="O63" s="603" t="s">
        <v>108</v>
      </c>
      <c r="P63" s="604" t="s">
        <v>69</v>
      </c>
      <c r="Q63" s="606" t="s">
        <v>416</v>
      </c>
      <c r="R63" s="604" t="s">
        <v>69</v>
      </c>
      <c r="S63" s="410" t="s">
        <v>69</v>
      </c>
      <c r="T63" s="410" t="s">
        <v>69</v>
      </c>
      <c r="U63" s="410" t="s">
        <v>69</v>
      </c>
      <c r="V63" s="605" t="s">
        <v>108</v>
      </c>
      <c r="W63" s="517" t="s">
        <v>69</v>
      </c>
      <c r="X63" s="517" t="s">
        <v>69</v>
      </c>
      <c r="Y63" s="517" t="s">
        <v>69</v>
      </c>
      <c r="Z63" s="517" t="s">
        <v>69</v>
      </c>
      <c r="AA63" s="517" t="s">
        <v>69</v>
      </c>
      <c r="AB63" s="517" t="s">
        <v>69</v>
      </c>
      <c r="AC63" s="516" t="s">
        <v>108</v>
      </c>
      <c r="AD63" s="517" t="s">
        <v>69</v>
      </c>
      <c r="AE63" s="517" t="s">
        <v>69</v>
      </c>
      <c r="AF63" s="517" t="s">
        <v>69</v>
      </c>
      <c r="AG63" s="517" t="s">
        <v>69</v>
      </c>
      <c r="AH63" s="606" t="s">
        <v>416</v>
      </c>
      <c r="AI63" s="517" t="s">
        <v>69</v>
      </c>
      <c r="AJ63" s="605" t="s">
        <v>108</v>
      </c>
      <c r="AK63" s="517" t="s">
        <v>69</v>
      </c>
      <c r="AL63" s="517" t="s">
        <v>69</v>
      </c>
      <c r="AM63" s="600">
        <v>2</v>
      </c>
      <c r="AN63" s="600">
        <v>0</v>
      </c>
      <c r="AO63" s="600">
        <v>0</v>
      </c>
    </row>
    <row r="64" spans="1:41" ht="18">
      <c r="A64" s="601">
        <v>63</v>
      </c>
      <c r="B64" s="593" t="s">
        <v>327</v>
      </c>
      <c r="C64" s="499" t="s">
        <v>52</v>
      </c>
      <c r="D64" s="510" t="s">
        <v>412</v>
      </c>
      <c r="E64" s="511" t="s">
        <v>443</v>
      </c>
      <c r="F64" s="512" t="s">
        <v>428</v>
      </c>
      <c r="G64" s="513" t="s">
        <v>133</v>
      </c>
      <c r="H64" s="513" t="s">
        <v>415</v>
      </c>
      <c r="I64" s="518" t="s">
        <v>69</v>
      </c>
      <c r="J64" s="515" t="s">
        <v>69</v>
      </c>
      <c r="K64" s="517" t="s">
        <v>69</v>
      </c>
      <c r="L64" s="518" t="s">
        <v>69</v>
      </c>
      <c r="M64" s="534" t="s">
        <v>69</v>
      </c>
      <c r="N64" s="602" t="s">
        <v>69</v>
      </c>
      <c r="O64" s="540" t="s">
        <v>108</v>
      </c>
      <c r="P64" s="604" t="s">
        <v>69</v>
      </c>
      <c r="Q64" s="604" t="s">
        <v>69</v>
      </c>
      <c r="R64" s="604" t="s">
        <v>69</v>
      </c>
      <c r="S64" s="410" t="s">
        <v>69</v>
      </c>
      <c r="T64" s="410" t="s">
        <v>69</v>
      </c>
      <c r="U64" s="410" t="s">
        <v>69</v>
      </c>
      <c r="V64" s="605" t="s">
        <v>108</v>
      </c>
      <c r="W64" s="517" t="s">
        <v>69</v>
      </c>
      <c r="X64" s="517" t="s">
        <v>69</v>
      </c>
      <c r="Y64" s="517" t="s">
        <v>69</v>
      </c>
      <c r="Z64" s="517" t="s">
        <v>69</v>
      </c>
      <c r="AA64" s="521" t="s">
        <v>426</v>
      </c>
      <c r="AB64" s="606" t="s">
        <v>416</v>
      </c>
      <c r="AC64" s="516" t="s">
        <v>108</v>
      </c>
      <c r="AD64" s="517" t="s">
        <v>69</v>
      </c>
      <c r="AE64" s="517" t="s">
        <v>69</v>
      </c>
      <c r="AF64" s="517" t="s">
        <v>69</v>
      </c>
      <c r="AG64" s="517" t="s">
        <v>69</v>
      </c>
      <c r="AH64" s="517" t="s">
        <v>69</v>
      </c>
      <c r="AI64" s="517" t="s">
        <v>69</v>
      </c>
      <c r="AJ64" s="516" t="s">
        <v>108</v>
      </c>
      <c r="AK64" s="517" t="s">
        <v>69</v>
      </c>
      <c r="AL64" s="517" t="s">
        <v>69</v>
      </c>
      <c r="AM64" s="600">
        <v>1.5</v>
      </c>
      <c r="AN64" s="600">
        <v>0</v>
      </c>
      <c r="AO64" s="600">
        <v>0</v>
      </c>
    </row>
    <row r="65" spans="1:41" ht="18">
      <c r="A65" s="601">
        <v>64</v>
      </c>
      <c r="B65" s="593" t="s">
        <v>311</v>
      </c>
      <c r="C65" s="499" t="s">
        <v>53</v>
      </c>
      <c r="D65" s="510" t="s">
        <v>412</v>
      </c>
      <c r="E65" s="511" t="s">
        <v>413</v>
      </c>
      <c r="F65" s="512" t="s">
        <v>476</v>
      </c>
      <c r="G65" s="513" t="s">
        <v>291</v>
      </c>
      <c r="H65" s="513" t="s">
        <v>415</v>
      </c>
      <c r="I65" s="518" t="s">
        <v>69</v>
      </c>
      <c r="J65" s="537" t="s">
        <v>416</v>
      </c>
      <c r="K65" s="517" t="s">
        <v>69</v>
      </c>
      <c r="L65" s="612" t="s">
        <v>69</v>
      </c>
      <c r="M65" s="518" t="s">
        <v>69</v>
      </c>
      <c r="N65" s="618" t="s">
        <v>426</v>
      </c>
      <c r="O65" s="540" t="s">
        <v>108</v>
      </c>
      <c r="P65" s="611" t="s">
        <v>267</v>
      </c>
      <c r="Q65" s="612" t="s">
        <v>69</v>
      </c>
      <c r="R65" s="612" t="s">
        <v>69</v>
      </c>
      <c r="S65" s="606" t="s">
        <v>416</v>
      </c>
      <c r="T65" s="410" t="s">
        <v>69</v>
      </c>
      <c r="U65" s="606" t="s">
        <v>416</v>
      </c>
      <c r="V65" s="605" t="s">
        <v>108</v>
      </c>
      <c r="W65" s="517" t="s">
        <v>69</v>
      </c>
      <c r="X65" s="517" t="s">
        <v>69</v>
      </c>
      <c r="Y65" s="517" t="s">
        <v>69</v>
      </c>
      <c r="Z65" s="517" t="s">
        <v>69</v>
      </c>
      <c r="AA65" s="517" t="s">
        <v>69</v>
      </c>
      <c r="AB65" s="606" t="s">
        <v>416</v>
      </c>
      <c r="AC65" s="516" t="s">
        <v>108</v>
      </c>
      <c r="AD65" s="517" t="s">
        <v>69</v>
      </c>
      <c r="AE65" s="517" t="s">
        <v>69</v>
      </c>
      <c r="AF65" s="516" t="s">
        <v>267</v>
      </c>
      <c r="AG65" s="606" t="s">
        <v>416</v>
      </c>
      <c r="AH65" s="521" t="s">
        <v>426</v>
      </c>
      <c r="AI65" s="521" t="s">
        <v>426</v>
      </c>
      <c r="AJ65" s="605" t="s">
        <v>108</v>
      </c>
      <c r="AK65" s="521" t="s">
        <v>426</v>
      </c>
      <c r="AL65" s="607" t="s">
        <v>426</v>
      </c>
      <c r="AM65" s="600">
        <v>7.5</v>
      </c>
      <c r="AN65" s="600">
        <v>0</v>
      </c>
      <c r="AO65" s="600">
        <v>2</v>
      </c>
    </row>
    <row r="66" spans="1:41" ht="18">
      <c r="A66" s="601">
        <v>65</v>
      </c>
      <c r="B66" s="593" t="s">
        <v>390</v>
      </c>
      <c r="C66" s="499" t="s">
        <v>274</v>
      </c>
      <c r="D66" s="510" t="s">
        <v>412</v>
      </c>
      <c r="E66" s="511" t="s">
        <v>462</v>
      </c>
      <c r="F66" s="512" t="s">
        <v>480</v>
      </c>
      <c r="G66" s="513" t="s">
        <v>296</v>
      </c>
      <c r="H66" s="513" t="s">
        <v>415</v>
      </c>
      <c r="I66" s="514" t="s">
        <v>416</v>
      </c>
      <c r="J66" s="537" t="s">
        <v>416</v>
      </c>
      <c r="K66" s="519" t="s">
        <v>416</v>
      </c>
      <c r="L66" s="597" t="s">
        <v>416</v>
      </c>
      <c r="M66" s="609" t="s">
        <v>416</v>
      </c>
      <c r="N66" s="610" t="s">
        <v>416</v>
      </c>
      <c r="O66" s="603" t="s">
        <v>108</v>
      </c>
      <c r="P66" s="606" t="s">
        <v>416</v>
      </c>
      <c r="Q66" s="597" t="s">
        <v>416</v>
      </c>
      <c r="R66" s="598" t="s">
        <v>69</v>
      </c>
      <c r="S66" s="604" t="s">
        <v>69</v>
      </c>
      <c r="T66" s="604" t="s">
        <v>69</v>
      </c>
      <c r="U66" s="517" t="s">
        <v>69</v>
      </c>
      <c r="V66" s="605" t="s">
        <v>108</v>
      </c>
      <c r="W66" s="517" t="s">
        <v>69</v>
      </c>
      <c r="X66" s="517" t="s">
        <v>69</v>
      </c>
      <c r="Y66" s="517" t="s">
        <v>69</v>
      </c>
      <c r="Z66" s="517" t="s">
        <v>69</v>
      </c>
      <c r="AA66" s="517" t="s">
        <v>69</v>
      </c>
      <c r="AB66" s="517" t="s">
        <v>69</v>
      </c>
      <c r="AC66" s="516" t="s">
        <v>108</v>
      </c>
      <c r="AD66" s="517" t="s">
        <v>69</v>
      </c>
      <c r="AE66" s="517" t="s">
        <v>69</v>
      </c>
      <c r="AF66" s="521" t="s">
        <v>426</v>
      </c>
      <c r="AG66" s="604" t="s">
        <v>69</v>
      </c>
      <c r="AH66" s="604" t="s">
        <v>69</v>
      </c>
      <c r="AI66" s="604" t="s">
        <v>69</v>
      </c>
      <c r="AJ66" s="604" t="s">
        <v>69</v>
      </c>
      <c r="AK66" s="604" t="s">
        <v>69</v>
      </c>
      <c r="AL66" s="604" t="s">
        <v>69</v>
      </c>
      <c r="AM66" s="600">
        <v>8.5</v>
      </c>
      <c r="AN66" s="600">
        <v>0</v>
      </c>
      <c r="AO66" s="600">
        <v>0</v>
      </c>
    </row>
    <row r="67" spans="1:41" ht="18">
      <c r="A67" s="601">
        <v>66</v>
      </c>
      <c r="B67" s="593" t="s">
        <v>483</v>
      </c>
      <c r="C67" s="622" t="s">
        <v>484</v>
      </c>
      <c r="D67" s="526" t="s">
        <v>412</v>
      </c>
      <c r="E67" s="511" t="s">
        <v>418</v>
      </c>
      <c r="F67" s="512" t="s">
        <v>482</v>
      </c>
      <c r="G67" s="513" t="s">
        <v>396</v>
      </c>
      <c r="H67" s="513" t="s">
        <v>415</v>
      </c>
      <c r="I67" s="518" t="s">
        <v>69</v>
      </c>
      <c r="J67" s="515" t="s">
        <v>69</v>
      </c>
      <c r="K67" s="517" t="s">
        <v>69</v>
      </c>
      <c r="L67" s="517" t="s">
        <v>69</v>
      </c>
      <c r="M67" s="518" t="s">
        <v>69</v>
      </c>
      <c r="N67" s="534" t="s">
        <v>69</v>
      </c>
      <c r="O67" s="540" t="s">
        <v>108</v>
      </c>
      <c r="P67" s="518" t="s">
        <v>69</v>
      </c>
      <c r="Q67" s="619" t="s">
        <v>426</v>
      </c>
      <c r="R67" s="604" t="s">
        <v>69</v>
      </c>
      <c r="S67" s="604" t="s">
        <v>69</v>
      </c>
      <c r="T67" s="604" t="s">
        <v>69</v>
      </c>
      <c r="U67" s="606" t="s">
        <v>416</v>
      </c>
      <c r="V67" s="605" t="s">
        <v>108</v>
      </c>
      <c r="W67" s="517" t="s">
        <v>69</v>
      </c>
      <c r="X67" s="517" t="s">
        <v>69</v>
      </c>
      <c r="Y67" s="517" t="s">
        <v>69</v>
      </c>
      <c r="Z67" s="517" t="s">
        <v>69</v>
      </c>
      <c r="AA67" s="517" t="s">
        <v>69</v>
      </c>
      <c r="AB67" s="517" t="s">
        <v>69</v>
      </c>
      <c r="AC67" s="516" t="s">
        <v>108</v>
      </c>
      <c r="AD67" s="517" t="s">
        <v>69</v>
      </c>
      <c r="AE67" s="517" t="s">
        <v>69</v>
      </c>
      <c r="AF67" s="517" t="s">
        <v>69</v>
      </c>
      <c r="AG67" s="604" t="s">
        <v>69</v>
      </c>
      <c r="AH67" s="604" t="s">
        <v>69</v>
      </c>
      <c r="AI67" s="604" t="s">
        <v>69</v>
      </c>
      <c r="AJ67" s="605" t="s">
        <v>108</v>
      </c>
      <c r="AK67" s="604" t="s">
        <v>69</v>
      </c>
      <c r="AL67" s="604" t="s">
        <v>69</v>
      </c>
      <c r="AM67" s="600">
        <v>1.5</v>
      </c>
      <c r="AN67" s="600">
        <v>0</v>
      </c>
      <c r="AO67" s="600">
        <v>0</v>
      </c>
    </row>
    <row r="68" spans="1:41" ht="18">
      <c r="A68" s="601">
        <v>67</v>
      </c>
      <c r="B68" s="593" t="s">
        <v>363</v>
      </c>
      <c r="C68" s="608" t="s">
        <v>511</v>
      </c>
      <c r="D68" s="526" t="s">
        <v>412</v>
      </c>
      <c r="E68" s="511" t="s">
        <v>418</v>
      </c>
      <c r="F68" s="531" t="s">
        <v>485</v>
      </c>
      <c r="G68" s="513" t="s">
        <v>286</v>
      </c>
      <c r="H68" s="513" t="s">
        <v>415</v>
      </c>
      <c r="I68" s="518" t="s">
        <v>69</v>
      </c>
      <c r="J68" s="537" t="s">
        <v>416</v>
      </c>
      <c r="K68" s="517" t="s">
        <v>69</v>
      </c>
      <c r="L68" s="517" t="s">
        <v>69</v>
      </c>
      <c r="M68" s="518" t="s">
        <v>69</v>
      </c>
      <c r="N68" s="534" t="s">
        <v>69</v>
      </c>
      <c r="O68" s="540" t="s">
        <v>108</v>
      </c>
      <c r="P68" s="518" t="s">
        <v>69</v>
      </c>
      <c r="Q68" s="515" t="s">
        <v>69</v>
      </c>
      <c r="R68" s="517" t="s">
        <v>69</v>
      </c>
      <c r="S68" s="604" t="s">
        <v>69</v>
      </c>
      <c r="T68" s="604" t="s">
        <v>69</v>
      </c>
      <c r="U68" s="606" t="s">
        <v>416</v>
      </c>
      <c r="V68" s="605" t="s">
        <v>108</v>
      </c>
      <c r="W68" s="604" t="s">
        <v>69</v>
      </c>
      <c r="X68" s="524" t="s">
        <v>267</v>
      </c>
      <c r="Y68" s="604" t="s">
        <v>69</v>
      </c>
      <c r="Z68" s="604" t="s">
        <v>69</v>
      </c>
      <c r="AA68" s="604" t="s">
        <v>69</v>
      </c>
      <c r="AB68" s="517" t="s">
        <v>69</v>
      </c>
      <c r="AC68" s="516" t="s">
        <v>108</v>
      </c>
      <c r="AD68" s="517" t="s">
        <v>69</v>
      </c>
      <c r="AE68" s="517" t="s">
        <v>69</v>
      </c>
      <c r="AF68" s="517" t="s">
        <v>69</v>
      </c>
      <c r="AG68" s="517" t="s">
        <v>69</v>
      </c>
      <c r="AH68" s="517" t="s">
        <v>69</v>
      </c>
      <c r="AI68" s="517" t="s">
        <v>69</v>
      </c>
      <c r="AJ68" s="517" t="s">
        <v>69</v>
      </c>
      <c r="AK68" s="517" t="s">
        <v>69</v>
      </c>
      <c r="AL68" s="519" t="s">
        <v>416</v>
      </c>
      <c r="AM68" s="600">
        <v>3</v>
      </c>
      <c r="AN68" s="600">
        <v>0</v>
      </c>
      <c r="AO68" s="600">
        <v>1</v>
      </c>
    </row>
    <row r="69" spans="1:41" ht="18">
      <c r="A69" s="601">
        <v>68</v>
      </c>
      <c r="B69" s="593" t="s">
        <v>329</v>
      </c>
      <c r="C69" s="499" t="s">
        <v>55</v>
      </c>
      <c r="D69" s="510" t="s">
        <v>412</v>
      </c>
      <c r="E69" s="511" t="s">
        <v>462</v>
      </c>
      <c r="F69" s="512" t="s">
        <v>474</v>
      </c>
      <c r="G69" s="513" t="s">
        <v>284</v>
      </c>
      <c r="H69" s="513" t="s">
        <v>415</v>
      </c>
      <c r="I69" s="518" t="s">
        <v>69</v>
      </c>
      <c r="J69" s="537" t="s">
        <v>416</v>
      </c>
      <c r="K69" s="517" t="s">
        <v>69</v>
      </c>
      <c r="L69" s="517" t="s">
        <v>69</v>
      </c>
      <c r="M69" s="518" t="s">
        <v>69</v>
      </c>
      <c r="N69" s="534" t="s">
        <v>69</v>
      </c>
      <c r="O69" s="603" t="s">
        <v>108</v>
      </c>
      <c r="P69" s="517" t="s">
        <v>69</v>
      </c>
      <c r="Q69" s="517" t="s">
        <v>69</v>
      </c>
      <c r="R69" s="517" t="s">
        <v>69</v>
      </c>
      <c r="S69" s="604" t="s">
        <v>69</v>
      </c>
      <c r="T69" s="604" t="s">
        <v>69</v>
      </c>
      <c r="U69" s="606" t="s">
        <v>416</v>
      </c>
      <c r="V69" s="605" t="s">
        <v>108</v>
      </c>
      <c r="W69" s="604" t="s">
        <v>69</v>
      </c>
      <c r="X69" s="604" t="s">
        <v>69</v>
      </c>
      <c r="Y69" s="604" t="s">
        <v>69</v>
      </c>
      <c r="Z69" s="604" t="s">
        <v>69</v>
      </c>
      <c r="AA69" s="604" t="s">
        <v>69</v>
      </c>
      <c r="AB69" s="517" t="s">
        <v>69</v>
      </c>
      <c r="AC69" s="516" t="s">
        <v>108</v>
      </c>
      <c r="AD69" s="517" t="s">
        <v>69</v>
      </c>
      <c r="AE69" s="517" t="s">
        <v>69</v>
      </c>
      <c r="AF69" s="517" t="s">
        <v>69</v>
      </c>
      <c r="AG69" s="517" t="s">
        <v>69</v>
      </c>
      <c r="AH69" s="517" t="s">
        <v>69</v>
      </c>
      <c r="AI69" s="517" t="s">
        <v>69</v>
      </c>
      <c r="AJ69" s="517" t="s">
        <v>69</v>
      </c>
      <c r="AK69" s="517" t="s">
        <v>69</v>
      </c>
      <c r="AL69" s="517" t="s">
        <v>69</v>
      </c>
      <c r="AM69" s="600">
        <v>2</v>
      </c>
      <c r="AN69" s="600">
        <v>0</v>
      </c>
      <c r="AO69" s="600">
        <v>0</v>
      </c>
    </row>
    <row r="70" spans="1:41" ht="18">
      <c r="A70" s="601">
        <v>69</v>
      </c>
      <c r="B70" s="593" t="s">
        <v>365</v>
      </c>
      <c r="C70" s="499" t="s">
        <v>233</v>
      </c>
      <c r="D70" s="510" t="s">
        <v>412</v>
      </c>
      <c r="E70" s="511" t="s">
        <v>462</v>
      </c>
      <c r="F70" s="512" t="s">
        <v>428</v>
      </c>
      <c r="G70" s="513" t="s">
        <v>133</v>
      </c>
      <c r="H70" s="513" t="s">
        <v>487</v>
      </c>
      <c r="I70" s="518" t="s">
        <v>69</v>
      </c>
      <c r="J70" s="515" t="s">
        <v>69</v>
      </c>
      <c r="K70" s="517" t="s">
        <v>69</v>
      </c>
      <c r="L70" s="517" t="s">
        <v>69</v>
      </c>
      <c r="M70" s="518" t="s">
        <v>69</v>
      </c>
      <c r="N70" s="534" t="s">
        <v>69</v>
      </c>
      <c r="O70" s="540" t="s">
        <v>108</v>
      </c>
      <c r="P70" s="517" t="s">
        <v>69</v>
      </c>
      <c r="Q70" s="517" t="s">
        <v>69</v>
      </c>
      <c r="R70" s="517" t="s">
        <v>69</v>
      </c>
      <c r="S70" s="604" t="s">
        <v>69</v>
      </c>
      <c r="T70" s="604" t="s">
        <v>69</v>
      </c>
      <c r="U70" s="604" t="s">
        <v>69</v>
      </c>
      <c r="V70" s="605" t="s">
        <v>108</v>
      </c>
      <c r="W70" s="604" t="s">
        <v>69</v>
      </c>
      <c r="X70" s="604" t="s">
        <v>69</v>
      </c>
      <c r="Y70" s="604" t="s">
        <v>69</v>
      </c>
      <c r="Z70" s="604" t="s">
        <v>69</v>
      </c>
      <c r="AA70" s="604" t="s">
        <v>69</v>
      </c>
      <c r="AB70" s="604" t="s">
        <v>69</v>
      </c>
      <c r="AC70" s="516" t="s">
        <v>108</v>
      </c>
      <c r="AD70" s="604" t="s">
        <v>69</v>
      </c>
      <c r="AE70" s="604" t="s">
        <v>69</v>
      </c>
      <c r="AF70" s="604" t="s">
        <v>69</v>
      </c>
      <c r="AG70" s="604" t="s">
        <v>69</v>
      </c>
      <c r="AH70" s="604" t="s">
        <v>69</v>
      </c>
      <c r="AI70" s="604" t="s">
        <v>69</v>
      </c>
      <c r="AJ70" s="516" t="s">
        <v>108</v>
      </c>
      <c r="AK70" s="517" t="s">
        <v>69</v>
      </c>
      <c r="AL70" s="517" t="s">
        <v>69</v>
      </c>
      <c r="AM70" s="600">
        <v>0</v>
      </c>
      <c r="AN70" s="600">
        <v>0</v>
      </c>
      <c r="AO70" s="600">
        <v>0</v>
      </c>
    </row>
    <row r="71" spans="1:41" ht="18">
      <c r="A71" s="601">
        <v>70</v>
      </c>
      <c r="B71" s="593" t="s">
        <v>333</v>
      </c>
      <c r="C71" s="499" t="s">
        <v>57</v>
      </c>
      <c r="D71" s="510" t="s">
        <v>412</v>
      </c>
      <c r="E71" s="511" t="s">
        <v>462</v>
      </c>
      <c r="F71" s="512" t="s">
        <v>467</v>
      </c>
      <c r="G71" s="513" t="s">
        <v>296</v>
      </c>
      <c r="H71" s="513" t="s">
        <v>415</v>
      </c>
      <c r="I71" s="518" t="s">
        <v>69</v>
      </c>
      <c r="J71" s="515" t="s">
        <v>69</v>
      </c>
      <c r="K71" s="517" t="s">
        <v>69</v>
      </c>
      <c r="L71" s="517" t="s">
        <v>69</v>
      </c>
      <c r="M71" s="518" t="s">
        <v>69</v>
      </c>
      <c r="N71" s="534" t="s">
        <v>69</v>
      </c>
      <c r="O71" s="540" t="s">
        <v>108</v>
      </c>
      <c r="P71" s="517" t="s">
        <v>69</v>
      </c>
      <c r="Q71" s="517" t="s">
        <v>69</v>
      </c>
      <c r="R71" s="606" t="s">
        <v>416</v>
      </c>
      <c r="S71" s="606" t="s">
        <v>416</v>
      </c>
      <c r="T71" s="606" t="s">
        <v>416</v>
      </c>
      <c r="U71" s="606" t="s">
        <v>416</v>
      </c>
      <c r="V71" s="605" t="s">
        <v>108</v>
      </c>
      <c r="W71" s="519" t="s">
        <v>416</v>
      </c>
      <c r="X71" s="607" t="s">
        <v>426</v>
      </c>
      <c r="Y71" s="607" t="s">
        <v>426</v>
      </c>
      <c r="Z71" s="611" t="s">
        <v>267</v>
      </c>
      <c r="AA71" s="517" t="s">
        <v>69</v>
      </c>
      <c r="AB71" s="517" t="s">
        <v>69</v>
      </c>
      <c r="AC71" s="516" t="s">
        <v>108</v>
      </c>
      <c r="AD71" s="517" t="s">
        <v>69</v>
      </c>
      <c r="AE71" s="517" t="s">
        <v>69</v>
      </c>
      <c r="AF71" s="517" t="s">
        <v>69</v>
      </c>
      <c r="AG71" s="517" t="s">
        <v>69</v>
      </c>
      <c r="AH71" s="517" t="s">
        <v>69</v>
      </c>
      <c r="AI71" s="517" t="s">
        <v>69</v>
      </c>
      <c r="AJ71" s="517" t="s">
        <v>69</v>
      </c>
      <c r="AK71" s="517" t="s">
        <v>69</v>
      </c>
      <c r="AL71" s="517" t="s">
        <v>69</v>
      </c>
      <c r="AM71" s="600">
        <v>6</v>
      </c>
      <c r="AN71" s="600">
        <v>0</v>
      </c>
      <c r="AO71" s="600">
        <v>1</v>
      </c>
    </row>
    <row r="72" spans="1:41" ht="18">
      <c r="A72" s="601">
        <v>71</v>
      </c>
      <c r="B72" s="593" t="s">
        <v>377</v>
      </c>
      <c r="C72" s="608" t="s">
        <v>248</v>
      </c>
      <c r="D72" s="526" t="s">
        <v>412</v>
      </c>
      <c r="E72" s="511" t="s">
        <v>413</v>
      </c>
      <c r="F72" s="512" t="s">
        <v>488</v>
      </c>
      <c r="G72" s="513" t="s">
        <v>303</v>
      </c>
      <c r="H72" s="513" t="s">
        <v>415</v>
      </c>
      <c r="I72" s="518" t="s">
        <v>69</v>
      </c>
      <c r="J72" s="515" t="s">
        <v>69</v>
      </c>
      <c r="K72" s="517" t="s">
        <v>69</v>
      </c>
      <c r="L72" s="517" t="s">
        <v>69</v>
      </c>
      <c r="M72" s="518" t="s">
        <v>69</v>
      </c>
      <c r="N72" s="534" t="s">
        <v>69</v>
      </c>
      <c r="O72" s="603" t="s">
        <v>108</v>
      </c>
      <c r="P72" s="606" t="s">
        <v>416</v>
      </c>
      <c r="Q72" s="517" t="s">
        <v>69</v>
      </c>
      <c r="R72" s="517" t="s">
        <v>69</v>
      </c>
      <c r="S72" s="606" t="s">
        <v>410</v>
      </c>
      <c r="T72" s="606" t="s">
        <v>410</v>
      </c>
      <c r="U72" s="606" t="s">
        <v>410</v>
      </c>
      <c r="V72" s="606" t="s">
        <v>410</v>
      </c>
      <c r="W72" s="606" t="s">
        <v>410</v>
      </c>
      <c r="X72" s="606" t="s">
        <v>410</v>
      </c>
      <c r="Y72" s="606" t="s">
        <v>410</v>
      </c>
      <c r="Z72" s="606" t="s">
        <v>410</v>
      </c>
      <c r="AA72" s="606" t="s">
        <v>410</v>
      </c>
      <c r="AB72" s="606" t="s">
        <v>410</v>
      </c>
      <c r="AC72" s="606" t="s">
        <v>410</v>
      </c>
      <c r="AD72" s="606" t="s">
        <v>410</v>
      </c>
      <c r="AE72" s="606" t="s">
        <v>410</v>
      </c>
      <c r="AF72" s="606" t="s">
        <v>410</v>
      </c>
      <c r="AG72" s="606" t="s">
        <v>410</v>
      </c>
      <c r="AH72" s="606" t="s">
        <v>410</v>
      </c>
      <c r="AI72" s="606" t="s">
        <v>410</v>
      </c>
      <c r="AJ72" s="606" t="s">
        <v>410</v>
      </c>
      <c r="AK72" s="606" t="s">
        <v>410</v>
      </c>
      <c r="AL72" s="606" t="s">
        <v>410</v>
      </c>
      <c r="AM72" s="600">
        <v>1</v>
      </c>
      <c r="AN72" s="600">
        <v>20</v>
      </c>
      <c r="AO72" s="600">
        <v>0</v>
      </c>
    </row>
    <row r="73" spans="1:41" ht="18">
      <c r="A73" s="601">
        <v>72</v>
      </c>
      <c r="B73" s="593" t="s">
        <v>344</v>
      </c>
      <c r="C73" s="608" t="s">
        <v>60</v>
      </c>
      <c r="D73" s="526" t="s">
        <v>412</v>
      </c>
      <c r="E73" s="511" t="s">
        <v>491</v>
      </c>
      <c r="F73" s="512" t="s">
        <v>453</v>
      </c>
      <c r="G73" s="513" t="s">
        <v>289</v>
      </c>
      <c r="H73" s="513" t="s">
        <v>415</v>
      </c>
      <c r="I73" s="518" t="s">
        <v>69</v>
      </c>
      <c r="J73" s="515" t="s">
        <v>69</v>
      </c>
      <c r="K73" s="519" t="s">
        <v>416</v>
      </c>
      <c r="L73" s="606" t="s">
        <v>416</v>
      </c>
      <c r="M73" s="609" t="s">
        <v>416</v>
      </c>
      <c r="N73" s="610" t="s">
        <v>416</v>
      </c>
      <c r="O73" s="540" t="s">
        <v>416</v>
      </c>
      <c r="P73" s="519" t="s">
        <v>416</v>
      </c>
      <c r="Q73" s="519" t="s">
        <v>416</v>
      </c>
      <c r="R73" s="519" t="s">
        <v>416</v>
      </c>
      <c r="S73" s="519" t="s">
        <v>416</v>
      </c>
      <c r="T73" s="519" t="s">
        <v>416</v>
      </c>
      <c r="U73" s="519" t="s">
        <v>416</v>
      </c>
      <c r="V73" s="605" t="s">
        <v>108</v>
      </c>
      <c r="W73" s="519" t="s">
        <v>416</v>
      </c>
      <c r="X73" s="519" t="s">
        <v>416</v>
      </c>
      <c r="Y73" s="519" t="s">
        <v>416</v>
      </c>
      <c r="Z73" s="519" t="s">
        <v>416</v>
      </c>
      <c r="AA73" s="519" t="s">
        <v>416</v>
      </c>
      <c r="AB73" s="519" t="s">
        <v>416</v>
      </c>
      <c r="AC73" s="516" t="s">
        <v>108</v>
      </c>
      <c r="AD73" s="519" t="s">
        <v>416</v>
      </c>
      <c r="AE73" s="519" t="s">
        <v>416</v>
      </c>
      <c r="AF73" s="519" t="s">
        <v>416</v>
      </c>
      <c r="AG73" s="519" t="s">
        <v>416</v>
      </c>
      <c r="AH73" s="519" t="s">
        <v>416</v>
      </c>
      <c r="AI73" s="519" t="s">
        <v>416</v>
      </c>
      <c r="AJ73" s="605" t="s">
        <v>108</v>
      </c>
      <c r="AK73" s="519" t="s">
        <v>416</v>
      </c>
      <c r="AL73" s="519" t="s">
        <v>416</v>
      </c>
      <c r="AM73" s="600">
        <v>25</v>
      </c>
      <c r="AN73" s="600">
        <v>0</v>
      </c>
      <c r="AO73" s="600">
        <v>0</v>
      </c>
    </row>
    <row r="74" spans="1:41" ht="18">
      <c r="A74" s="601">
        <v>73</v>
      </c>
      <c r="B74" s="593" t="s">
        <v>356</v>
      </c>
      <c r="C74" s="499" t="s">
        <v>106</v>
      </c>
      <c r="D74" s="510" t="s">
        <v>412</v>
      </c>
      <c r="E74" s="511" t="s">
        <v>424</v>
      </c>
      <c r="F74" s="512" t="s">
        <v>464</v>
      </c>
      <c r="G74" s="513" t="s">
        <v>306</v>
      </c>
      <c r="H74" s="513" t="s">
        <v>415</v>
      </c>
      <c r="I74" s="518" t="s">
        <v>69</v>
      </c>
      <c r="J74" s="515" t="s">
        <v>69</v>
      </c>
      <c r="K74" s="517" t="s">
        <v>69</v>
      </c>
      <c r="L74" s="517" t="s">
        <v>69</v>
      </c>
      <c r="M74" s="613" t="s">
        <v>69</v>
      </c>
      <c r="N74" s="602" t="s">
        <v>69</v>
      </c>
      <c r="O74" s="540" t="s">
        <v>108</v>
      </c>
      <c r="P74" s="517" t="s">
        <v>69</v>
      </c>
      <c r="Q74" s="517" t="s">
        <v>69</v>
      </c>
      <c r="R74" s="635" t="s">
        <v>426</v>
      </c>
      <c r="S74" s="606" t="s">
        <v>416</v>
      </c>
      <c r="T74" s="604" t="s">
        <v>69</v>
      </c>
      <c r="U74" s="604" t="s">
        <v>69</v>
      </c>
      <c r="V74" s="605" t="s">
        <v>108</v>
      </c>
      <c r="W74" s="604" t="s">
        <v>69</v>
      </c>
      <c r="X74" s="604" t="s">
        <v>69</v>
      </c>
      <c r="Y74" s="604" t="s">
        <v>69</v>
      </c>
      <c r="Z74" s="604" t="s">
        <v>69</v>
      </c>
      <c r="AA74" s="606" t="s">
        <v>416</v>
      </c>
      <c r="AB74" s="604" t="s">
        <v>69</v>
      </c>
      <c r="AC74" s="516" t="s">
        <v>108</v>
      </c>
      <c r="AD74" s="517" t="s">
        <v>69</v>
      </c>
      <c r="AE74" s="517" t="s">
        <v>69</v>
      </c>
      <c r="AF74" s="517" t="s">
        <v>69</v>
      </c>
      <c r="AG74" s="517" t="s">
        <v>69</v>
      </c>
      <c r="AH74" s="517" t="s">
        <v>69</v>
      </c>
      <c r="AI74" s="517" t="s">
        <v>69</v>
      </c>
      <c r="AJ74" s="516" t="s">
        <v>108</v>
      </c>
      <c r="AK74" s="517" t="s">
        <v>69</v>
      </c>
      <c r="AL74" s="517" t="s">
        <v>69</v>
      </c>
      <c r="AM74" s="600">
        <v>2.5</v>
      </c>
      <c r="AN74" s="600">
        <v>0</v>
      </c>
      <c r="AO74" s="600">
        <v>0</v>
      </c>
    </row>
    <row r="75" spans="1:41" ht="18">
      <c r="A75" s="601">
        <v>74</v>
      </c>
      <c r="B75" s="593" t="s">
        <v>316</v>
      </c>
      <c r="C75" s="499" t="s">
        <v>61</v>
      </c>
      <c r="D75" s="510" t="s">
        <v>412</v>
      </c>
      <c r="E75" s="511" t="s">
        <v>492</v>
      </c>
      <c r="F75" s="512" t="s">
        <v>490</v>
      </c>
      <c r="G75" s="523" t="s">
        <v>133</v>
      </c>
      <c r="H75" s="513" t="s">
        <v>415</v>
      </c>
      <c r="I75" s="518" t="s">
        <v>69</v>
      </c>
      <c r="J75" s="515" t="s">
        <v>69</v>
      </c>
      <c r="K75" s="517" t="s">
        <v>69</v>
      </c>
      <c r="L75" s="517" t="s">
        <v>69</v>
      </c>
      <c r="M75" s="3" t="s">
        <v>69</v>
      </c>
      <c r="N75" s="614" t="s">
        <v>69</v>
      </c>
      <c r="O75" s="603" t="s">
        <v>108</v>
      </c>
      <c r="P75" s="517" t="s">
        <v>69</v>
      </c>
      <c r="Q75" s="517" t="s">
        <v>69</v>
      </c>
      <c r="R75" s="517" t="s">
        <v>69</v>
      </c>
      <c r="S75" s="604" t="s">
        <v>69</v>
      </c>
      <c r="T75" s="604" t="s">
        <v>69</v>
      </c>
      <c r="U75" s="606" t="s">
        <v>416</v>
      </c>
      <c r="V75" s="605" t="s">
        <v>108</v>
      </c>
      <c r="W75" s="604" t="s">
        <v>69</v>
      </c>
      <c r="X75" s="604" t="s">
        <v>69</v>
      </c>
      <c r="Y75" s="604" t="s">
        <v>69</v>
      </c>
      <c r="Z75" s="604" t="s">
        <v>69</v>
      </c>
      <c r="AA75" s="604" t="s">
        <v>69</v>
      </c>
      <c r="AB75" s="604" t="s">
        <v>69</v>
      </c>
      <c r="AC75" s="516" t="s">
        <v>108</v>
      </c>
      <c r="AD75" s="522" t="s">
        <v>267</v>
      </c>
      <c r="AE75" s="517" t="s">
        <v>69</v>
      </c>
      <c r="AF75" s="517" t="s">
        <v>69</v>
      </c>
      <c r="AG75" s="517" t="s">
        <v>69</v>
      </c>
      <c r="AH75" s="606" t="s">
        <v>416</v>
      </c>
      <c r="AI75" s="517" t="s">
        <v>69</v>
      </c>
      <c r="AJ75" s="605" t="s">
        <v>108</v>
      </c>
      <c r="AK75" s="611" t="s">
        <v>267</v>
      </c>
      <c r="AL75" s="517" t="s">
        <v>69</v>
      </c>
      <c r="AM75" s="600">
        <v>2</v>
      </c>
      <c r="AN75" s="600">
        <v>0</v>
      </c>
      <c r="AO75" s="600">
        <v>2</v>
      </c>
    </row>
    <row r="76" spans="1:41" ht="18">
      <c r="A76" s="601">
        <v>75</v>
      </c>
      <c r="B76" s="593" t="s">
        <v>318</v>
      </c>
      <c r="C76" s="608" t="s">
        <v>512</v>
      </c>
      <c r="D76" s="526" t="s">
        <v>412</v>
      </c>
      <c r="E76" s="542" t="s">
        <v>413</v>
      </c>
      <c r="F76" s="512" t="s">
        <v>459</v>
      </c>
      <c r="G76" s="513" t="s">
        <v>301</v>
      </c>
      <c r="H76" s="513" t="s">
        <v>415</v>
      </c>
      <c r="I76" s="518" t="s">
        <v>69</v>
      </c>
      <c r="J76" s="515" t="s">
        <v>69</v>
      </c>
      <c r="K76" s="517" t="s">
        <v>69</v>
      </c>
      <c r="L76" s="518" t="s">
        <v>69</v>
      </c>
      <c r="M76" s="615" t="s">
        <v>69</v>
      </c>
      <c r="N76" s="598" t="s">
        <v>69</v>
      </c>
      <c r="O76" s="516" t="s">
        <v>108</v>
      </c>
      <c r="P76" s="606" t="s">
        <v>416</v>
      </c>
      <c r="Q76" s="517" t="s">
        <v>69</v>
      </c>
      <c r="R76" s="517" t="s">
        <v>69</v>
      </c>
      <c r="S76" s="604" t="s">
        <v>69</v>
      </c>
      <c r="T76" s="604" t="s">
        <v>69</v>
      </c>
      <c r="U76" s="604" t="s">
        <v>69</v>
      </c>
      <c r="V76" s="605" t="s">
        <v>108</v>
      </c>
      <c r="W76" s="604" t="s">
        <v>69</v>
      </c>
      <c r="X76" s="604" t="s">
        <v>69</v>
      </c>
      <c r="Y76" s="604" t="s">
        <v>69</v>
      </c>
      <c r="Z76" s="604" t="s">
        <v>69</v>
      </c>
      <c r="AA76" s="606" t="s">
        <v>416</v>
      </c>
      <c r="AB76" s="606" t="s">
        <v>416</v>
      </c>
      <c r="AC76" s="516" t="s">
        <v>108</v>
      </c>
      <c r="AD76" s="518" t="s">
        <v>69</v>
      </c>
      <c r="AE76" s="534" t="s">
        <v>69</v>
      </c>
      <c r="AF76" s="534" t="s">
        <v>69</v>
      </c>
      <c r="AG76" s="534" t="s">
        <v>69</v>
      </c>
      <c r="AH76" s="534" t="s">
        <v>69</v>
      </c>
      <c r="AI76" s="534" t="s">
        <v>69</v>
      </c>
      <c r="AJ76" s="540" t="s">
        <v>108</v>
      </c>
      <c r="AK76" s="604" t="s">
        <v>69</v>
      </c>
      <c r="AL76" s="604" t="s">
        <v>69</v>
      </c>
      <c r="AM76" s="600">
        <v>3</v>
      </c>
      <c r="AN76" s="600">
        <v>0</v>
      </c>
      <c r="AO76" s="600">
        <v>0</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918B-9849-4254-85AB-8A3A9B888A64}">
  <dimension ref="A1:AP74"/>
  <sheetViews>
    <sheetView tabSelected="1" topLeftCell="Z1" workbookViewId="0">
      <selection activeCell="AN2" sqref="AN2"/>
    </sheetView>
  </sheetViews>
  <sheetFormatPr defaultRowHeight="14.25"/>
  <cols>
    <col min="2" max="3" width="42.1328125" customWidth="1"/>
    <col min="4" max="4" width="29.59765625" bestFit="1" customWidth="1"/>
    <col min="5" max="5" width="35.265625" bestFit="1" customWidth="1"/>
    <col min="6" max="6" width="14.59765625" bestFit="1" customWidth="1"/>
    <col min="7" max="7" width="19.1328125" bestFit="1" customWidth="1"/>
    <col min="8" max="8" width="16.86328125" customWidth="1"/>
    <col min="28" max="28" width="10.86328125" customWidth="1"/>
    <col min="39" max="39" width="8.6640625" bestFit="1" customWidth="1"/>
    <col min="40" max="40" width="11.33203125" bestFit="1" customWidth="1"/>
    <col min="41" max="41" width="4.265625" bestFit="1" customWidth="1"/>
    <col min="42" max="42" width="2.3984375" bestFit="1" customWidth="1"/>
  </cols>
  <sheetData>
    <row r="1" spans="1:42" ht="36">
      <c r="A1" s="29" t="s">
        <v>64</v>
      </c>
      <c r="B1" s="29" t="s">
        <v>513</v>
      </c>
      <c r="C1" s="29" t="s">
        <v>65</v>
      </c>
      <c r="D1" s="586" t="s">
        <v>405</v>
      </c>
      <c r="E1" s="586" t="s">
        <v>406</v>
      </c>
      <c r="F1" s="586" t="s">
        <v>407</v>
      </c>
      <c r="G1" s="586" t="s">
        <v>278</v>
      </c>
      <c r="H1" s="586" t="s">
        <v>408</v>
      </c>
      <c r="I1" s="165">
        <v>1</v>
      </c>
      <c r="J1" s="165">
        <v>2</v>
      </c>
      <c r="K1" s="165">
        <v>3</v>
      </c>
      <c r="L1" s="165">
        <v>4</v>
      </c>
      <c r="M1" s="165">
        <v>5</v>
      </c>
      <c r="N1" s="165">
        <v>6</v>
      </c>
      <c r="O1" s="165">
        <v>7</v>
      </c>
      <c r="P1" s="122">
        <v>8</v>
      </c>
      <c r="Q1" s="165">
        <v>9</v>
      </c>
      <c r="R1" s="165">
        <v>10</v>
      </c>
      <c r="S1" s="165">
        <v>11</v>
      </c>
      <c r="T1" s="165">
        <v>12</v>
      </c>
      <c r="U1" s="165">
        <v>13</v>
      </c>
      <c r="V1" s="165">
        <v>14</v>
      </c>
      <c r="W1" s="165">
        <v>15</v>
      </c>
      <c r="X1" s="165">
        <v>16</v>
      </c>
      <c r="Y1" s="165">
        <v>17</v>
      </c>
      <c r="Z1" s="165">
        <v>18</v>
      </c>
      <c r="AA1" s="165">
        <v>19</v>
      </c>
      <c r="AB1" s="165">
        <v>20</v>
      </c>
      <c r="AC1" s="165">
        <v>21</v>
      </c>
      <c r="AD1" s="165">
        <v>22</v>
      </c>
      <c r="AE1" s="165">
        <v>23</v>
      </c>
      <c r="AF1" s="165">
        <v>24</v>
      </c>
      <c r="AG1" s="165">
        <v>25</v>
      </c>
      <c r="AH1" s="165">
        <v>26</v>
      </c>
      <c r="AI1" s="165">
        <v>27</v>
      </c>
      <c r="AJ1" s="165">
        <v>28</v>
      </c>
      <c r="AK1" s="166">
        <v>29</v>
      </c>
      <c r="AL1" s="668">
        <v>30</v>
      </c>
      <c r="AM1" s="360">
        <v>31</v>
      </c>
      <c r="AN1" s="591" t="s">
        <v>494</v>
      </c>
      <c r="AO1" s="591" t="s">
        <v>410</v>
      </c>
      <c r="AP1" s="591" t="s">
        <v>267</v>
      </c>
    </row>
    <row r="2" spans="1:42" ht="18">
      <c r="A2" s="5">
        <v>1</v>
      </c>
      <c r="B2" s="694" t="s">
        <v>319</v>
      </c>
      <c r="C2" s="254" t="s">
        <v>6</v>
      </c>
      <c r="D2" s="502" t="s">
        <v>412</v>
      </c>
      <c r="E2" s="503" t="s">
        <v>413</v>
      </c>
      <c r="F2" s="504" t="s">
        <v>414</v>
      </c>
      <c r="G2" s="505" t="s">
        <v>284</v>
      </c>
      <c r="H2" s="505" t="s">
        <v>415</v>
      </c>
      <c r="I2" s="239" t="s">
        <v>69</v>
      </c>
      <c r="J2" s="239" t="s">
        <v>69</v>
      </c>
      <c r="K2" s="239" t="s">
        <v>69</v>
      </c>
      <c r="L2" s="239" t="s">
        <v>69</v>
      </c>
      <c r="M2" s="468" t="s">
        <v>108</v>
      </c>
      <c r="N2" s="477" t="s">
        <v>69</v>
      </c>
      <c r="O2" s="197" t="s">
        <v>416</v>
      </c>
      <c r="P2" s="572" t="s">
        <v>69</v>
      </c>
      <c r="Q2" s="572" t="s">
        <v>69</v>
      </c>
      <c r="R2" s="572" t="s">
        <v>69</v>
      </c>
      <c r="S2" s="572" t="s">
        <v>69</v>
      </c>
      <c r="T2" s="469" t="s">
        <v>108</v>
      </c>
      <c r="U2" s="141" t="s">
        <v>69</v>
      </c>
      <c r="V2" s="141" t="s">
        <v>69</v>
      </c>
      <c r="W2" s="141" t="s">
        <v>69</v>
      </c>
      <c r="X2" s="141" t="s">
        <v>69</v>
      </c>
      <c r="Y2" s="141" t="s">
        <v>69</v>
      </c>
      <c r="Z2" s="141" t="s">
        <v>69</v>
      </c>
      <c r="AA2" s="583" t="s">
        <v>108</v>
      </c>
      <c r="AB2" s="141" t="s">
        <v>69</v>
      </c>
      <c r="AC2" s="406" t="s">
        <v>416</v>
      </c>
      <c r="AD2" s="134" t="s">
        <v>69</v>
      </c>
      <c r="AE2" s="134" t="s">
        <v>69</v>
      </c>
      <c r="AF2" s="134" t="s">
        <v>69</v>
      </c>
      <c r="AG2" s="168" t="s">
        <v>69</v>
      </c>
      <c r="AH2" s="329" t="s">
        <v>108</v>
      </c>
      <c r="AI2" s="120" t="s">
        <v>69</v>
      </c>
      <c r="AJ2" s="120" t="s">
        <v>69</v>
      </c>
      <c r="AK2" s="120" t="s">
        <v>69</v>
      </c>
      <c r="AL2" s="120" t="s">
        <v>69</v>
      </c>
      <c r="AM2" s="120" t="s">
        <v>69</v>
      </c>
      <c r="AN2">
        <f>COUNTIF(I2:AM2, "L")+COUNTIF(I2:AM2, "HD-L")/2</f>
        <v>2</v>
      </c>
      <c r="AO2">
        <f>COUNTIF(I2:AM2, "LWP")</f>
        <v>0</v>
      </c>
      <c r="AP2">
        <f t="shared" ref="AP2:AP65" si="0">COUNTIF(K2:AO2, "HD-L")</f>
        <v>0</v>
      </c>
    </row>
    <row r="3" spans="1:42" ht="18">
      <c r="A3" s="5">
        <v>2</v>
      </c>
      <c r="B3" s="694" t="s">
        <v>382</v>
      </c>
      <c r="C3" s="254" t="s">
        <v>249</v>
      </c>
      <c r="D3" s="510" t="s">
        <v>412</v>
      </c>
      <c r="E3" s="511" t="s">
        <v>418</v>
      </c>
      <c r="F3" s="512" t="s">
        <v>419</v>
      </c>
      <c r="G3" s="513" t="s">
        <v>285</v>
      </c>
      <c r="H3" s="513" t="s">
        <v>415</v>
      </c>
      <c r="I3" s="215" t="s">
        <v>514</v>
      </c>
      <c r="J3" s="239" t="s">
        <v>69</v>
      </c>
      <c r="K3" s="239" t="s">
        <v>69</v>
      </c>
      <c r="L3" s="239" t="s">
        <v>69</v>
      </c>
      <c r="M3" s="433" t="s">
        <v>108</v>
      </c>
      <c r="N3" s="477" t="s">
        <v>69</v>
      </c>
      <c r="O3" s="9" t="s">
        <v>69</v>
      </c>
      <c r="P3" s="572" t="s">
        <v>69</v>
      </c>
      <c r="Q3" s="436" t="s">
        <v>416</v>
      </c>
      <c r="R3" s="436" t="s">
        <v>416</v>
      </c>
      <c r="S3" s="572" t="s">
        <v>69</v>
      </c>
      <c r="T3" s="648" t="s">
        <v>108</v>
      </c>
      <c r="U3" s="141" t="s">
        <v>69</v>
      </c>
      <c r="V3" s="141" t="s">
        <v>69</v>
      </c>
      <c r="W3" s="141" t="s">
        <v>69</v>
      </c>
      <c r="X3" s="141" t="s">
        <v>69</v>
      </c>
      <c r="Y3" s="171" t="s">
        <v>69</v>
      </c>
      <c r="Z3" s="218" t="s">
        <v>416</v>
      </c>
      <c r="AA3" s="583" t="s">
        <v>108</v>
      </c>
      <c r="AB3" s="141" t="s">
        <v>69</v>
      </c>
      <c r="AC3" s="141" t="s">
        <v>69</v>
      </c>
      <c r="AD3" s="141" t="s">
        <v>69</v>
      </c>
      <c r="AE3" s="141" t="s">
        <v>69</v>
      </c>
      <c r="AF3" s="141" t="s">
        <v>69</v>
      </c>
      <c r="AG3" s="141" t="s">
        <v>69</v>
      </c>
      <c r="AH3" s="427" t="s">
        <v>108</v>
      </c>
      <c r="AI3" s="134" t="s">
        <v>69</v>
      </c>
      <c r="AJ3" s="134" t="s">
        <v>69</v>
      </c>
      <c r="AK3" s="134" t="s">
        <v>69</v>
      </c>
      <c r="AL3" s="134" t="s">
        <v>69</v>
      </c>
      <c r="AM3" s="134" t="s">
        <v>69</v>
      </c>
      <c r="AN3">
        <f t="shared" ref="AN3:AN66" si="1">COUNTIF(I3:AM3, "L")+COUNTIF(I3:AM3, "HD-L")/2</f>
        <v>3.5</v>
      </c>
      <c r="AO3">
        <f t="shared" ref="AO3:AO66" si="2">COUNTIF(I3:AM3, "LWP")</f>
        <v>0</v>
      </c>
      <c r="AP3">
        <f t="shared" si="0"/>
        <v>0</v>
      </c>
    </row>
    <row r="4" spans="1:42" ht="18">
      <c r="A4" s="5">
        <v>3</v>
      </c>
      <c r="B4" s="694" t="s">
        <v>313</v>
      </c>
      <c r="C4" s="254" t="s">
        <v>7</v>
      </c>
      <c r="D4" s="510" t="s">
        <v>412</v>
      </c>
      <c r="E4" s="511" t="s">
        <v>413</v>
      </c>
      <c r="F4" s="512" t="s">
        <v>421</v>
      </c>
      <c r="G4" s="513" t="s">
        <v>286</v>
      </c>
      <c r="H4" s="513" t="s">
        <v>415</v>
      </c>
      <c r="I4" s="239" t="s">
        <v>69</v>
      </c>
      <c r="J4" s="239" t="s">
        <v>69</v>
      </c>
      <c r="K4" s="239" t="s">
        <v>69</v>
      </c>
      <c r="L4" s="239" t="s">
        <v>69</v>
      </c>
      <c r="M4" s="433" t="s">
        <v>108</v>
      </c>
      <c r="N4" s="477" t="s">
        <v>69</v>
      </c>
      <c r="O4" s="637" t="s">
        <v>69</v>
      </c>
      <c r="P4" s="637" t="s">
        <v>69</v>
      </c>
      <c r="Q4" s="637" t="s">
        <v>69</v>
      </c>
      <c r="R4" s="637" t="s">
        <v>69</v>
      </c>
      <c r="S4" s="436" t="s">
        <v>416</v>
      </c>
      <c r="T4" s="469" t="s">
        <v>108</v>
      </c>
      <c r="U4" s="218" t="s">
        <v>416</v>
      </c>
      <c r="V4" s="141" t="s">
        <v>69</v>
      </c>
      <c r="W4" s="141" t="s">
        <v>69</v>
      </c>
      <c r="X4" s="663" t="s">
        <v>111</v>
      </c>
      <c r="Y4" s="171" t="s">
        <v>69</v>
      </c>
      <c r="Z4" s="171" t="s">
        <v>69</v>
      </c>
      <c r="AA4" s="583" t="s">
        <v>108</v>
      </c>
      <c r="AB4" s="141" t="s">
        <v>69</v>
      </c>
      <c r="AC4" s="141" t="s">
        <v>69</v>
      </c>
      <c r="AD4" s="141" t="s">
        <v>69</v>
      </c>
      <c r="AE4" s="141" t="s">
        <v>69</v>
      </c>
      <c r="AF4" s="141" t="s">
        <v>69</v>
      </c>
      <c r="AG4" s="141" t="s">
        <v>69</v>
      </c>
      <c r="AH4" s="329" t="s">
        <v>108</v>
      </c>
      <c r="AI4" s="134" t="s">
        <v>69</v>
      </c>
      <c r="AJ4" s="134" t="s">
        <v>69</v>
      </c>
      <c r="AK4" s="134" t="s">
        <v>69</v>
      </c>
      <c r="AL4" s="134" t="s">
        <v>69</v>
      </c>
      <c r="AM4" s="134" t="s">
        <v>69</v>
      </c>
      <c r="AN4">
        <f t="shared" si="1"/>
        <v>2</v>
      </c>
      <c r="AO4">
        <f t="shared" si="2"/>
        <v>0</v>
      </c>
      <c r="AP4">
        <f t="shared" si="0"/>
        <v>0</v>
      </c>
    </row>
    <row r="5" spans="1:42" ht="18">
      <c r="A5" s="5">
        <v>4</v>
      </c>
      <c r="B5" s="695" t="s">
        <v>387</v>
      </c>
      <c r="C5" s="254" t="s">
        <v>423</v>
      </c>
      <c r="D5" s="510" t="s">
        <v>412</v>
      </c>
      <c r="E5" s="511" t="s">
        <v>424</v>
      </c>
      <c r="F5" s="512" t="s">
        <v>425</v>
      </c>
      <c r="G5" s="513" t="s">
        <v>284</v>
      </c>
      <c r="H5" s="513" t="s">
        <v>415</v>
      </c>
      <c r="I5" s="239" t="s">
        <v>69</v>
      </c>
      <c r="J5" s="239" t="s">
        <v>69</v>
      </c>
      <c r="K5" s="239" t="s">
        <v>69</v>
      </c>
      <c r="L5" s="239" t="s">
        <v>69</v>
      </c>
      <c r="M5" s="468" t="s">
        <v>108</v>
      </c>
      <c r="N5" s="477" t="s">
        <v>69</v>
      </c>
      <c r="O5" s="9" t="s">
        <v>69</v>
      </c>
      <c r="P5" s="9" t="s">
        <v>69</v>
      </c>
      <c r="Q5" s="9" t="s">
        <v>69</v>
      </c>
      <c r="R5" s="9" t="s">
        <v>69</v>
      </c>
      <c r="S5" s="572" t="s">
        <v>69</v>
      </c>
      <c r="T5" s="648" t="s">
        <v>108</v>
      </c>
      <c r="U5" s="141" t="s">
        <v>69</v>
      </c>
      <c r="V5" s="141" t="s">
        <v>69</v>
      </c>
      <c r="W5" s="141" t="s">
        <v>69</v>
      </c>
      <c r="X5" s="141" t="s">
        <v>69</v>
      </c>
      <c r="Y5" s="141" t="s">
        <v>69</v>
      </c>
      <c r="Z5" s="141" t="s">
        <v>69</v>
      </c>
      <c r="AA5" s="583" t="s">
        <v>108</v>
      </c>
      <c r="AB5" s="168" t="s">
        <v>69</v>
      </c>
      <c r="AC5" s="168" t="s">
        <v>69</v>
      </c>
      <c r="AD5" s="168" t="s">
        <v>69</v>
      </c>
      <c r="AE5" s="121" t="s">
        <v>416</v>
      </c>
      <c r="AF5" s="121" t="s">
        <v>416</v>
      </c>
      <c r="AG5" s="121" t="s">
        <v>416</v>
      </c>
      <c r="AH5" s="427" t="s">
        <v>108</v>
      </c>
      <c r="AI5" s="131" t="s">
        <v>416</v>
      </c>
      <c r="AJ5" s="131" t="s">
        <v>416</v>
      </c>
      <c r="AK5" s="131" t="s">
        <v>416</v>
      </c>
      <c r="AL5" s="131" t="s">
        <v>416</v>
      </c>
      <c r="AM5" s="131" t="s">
        <v>416</v>
      </c>
      <c r="AN5">
        <f t="shared" si="1"/>
        <v>8</v>
      </c>
      <c r="AO5">
        <f t="shared" si="2"/>
        <v>0</v>
      </c>
      <c r="AP5">
        <f t="shared" si="0"/>
        <v>0</v>
      </c>
    </row>
    <row r="6" spans="1:42" ht="18">
      <c r="A6" s="5">
        <v>5</v>
      </c>
      <c r="B6" s="694" t="s">
        <v>388</v>
      </c>
      <c r="C6" s="254" t="s">
        <v>266</v>
      </c>
      <c r="D6" s="510" t="s">
        <v>412</v>
      </c>
      <c r="E6" s="511" t="s">
        <v>418</v>
      </c>
      <c r="F6" s="512" t="s">
        <v>428</v>
      </c>
      <c r="G6" s="513" t="s">
        <v>133</v>
      </c>
      <c r="H6" s="513" t="s">
        <v>415</v>
      </c>
      <c r="I6" s="153" t="s">
        <v>416</v>
      </c>
      <c r="J6" s="134" t="s">
        <v>69</v>
      </c>
      <c r="K6" s="134" t="s">
        <v>69</v>
      </c>
      <c r="L6" s="134" t="s">
        <v>69</v>
      </c>
      <c r="M6" s="468" t="s">
        <v>108</v>
      </c>
      <c r="N6" s="477" t="s">
        <v>69</v>
      </c>
      <c r="O6" s="637" t="s">
        <v>69</v>
      </c>
      <c r="P6" s="637" t="s">
        <v>69</v>
      </c>
      <c r="Q6" s="637" t="s">
        <v>69</v>
      </c>
      <c r="R6" s="637" t="s">
        <v>69</v>
      </c>
      <c r="S6" s="637" t="s">
        <v>69</v>
      </c>
      <c r="T6" s="469" t="s">
        <v>108</v>
      </c>
      <c r="U6" s="572" t="s">
        <v>69</v>
      </c>
      <c r="V6" s="572" t="s">
        <v>69</v>
      </c>
      <c r="W6" s="141" t="s">
        <v>69</v>
      </c>
      <c r="X6" s="141" t="s">
        <v>69</v>
      </c>
      <c r="Y6" s="141" t="s">
        <v>69</v>
      </c>
      <c r="Z6" s="141" t="s">
        <v>69</v>
      </c>
      <c r="AA6" s="583" t="s">
        <v>108</v>
      </c>
      <c r="AB6" s="672" t="s">
        <v>515</v>
      </c>
      <c r="AC6" s="134" t="s">
        <v>69</v>
      </c>
      <c r="AD6" s="121" t="s">
        <v>416</v>
      </c>
      <c r="AE6" s="121" t="s">
        <v>416</v>
      </c>
      <c r="AF6" s="121" t="s">
        <v>416</v>
      </c>
      <c r="AG6" s="121" t="s">
        <v>416</v>
      </c>
      <c r="AH6" s="329" t="s">
        <v>108</v>
      </c>
      <c r="AI6" s="121" t="s">
        <v>416</v>
      </c>
      <c r="AJ6" s="121" t="s">
        <v>416</v>
      </c>
      <c r="AK6" s="121" t="s">
        <v>416</v>
      </c>
      <c r="AL6" s="121" t="s">
        <v>416</v>
      </c>
      <c r="AM6" s="121" t="s">
        <v>416</v>
      </c>
      <c r="AN6">
        <f t="shared" si="1"/>
        <v>10</v>
      </c>
      <c r="AO6">
        <f t="shared" si="2"/>
        <v>0</v>
      </c>
      <c r="AP6">
        <f t="shared" si="0"/>
        <v>0</v>
      </c>
    </row>
    <row r="7" spans="1:42" ht="18">
      <c r="A7" s="5">
        <v>6</v>
      </c>
      <c r="B7" s="696" t="s">
        <v>430</v>
      </c>
      <c r="C7" s="254" t="s">
        <v>431</v>
      </c>
      <c r="D7" s="510" t="s">
        <v>412</v>
      </c>
      <c r="E7" s="511" t="s">
        <v>418</v>
      </c>
      <c r="F7" s="512" t="s">
        <v>432</v>
      </c>
      <c r="G7" s="513" t="s">
        <v>133</v>
      </c>
      <c r="H7" s="513" t="s">
        <v>415</v>
      </c>
      <c r="I7" s="239" t="s">
        <v>69</v>
      </c>
      <c r="J7" s="134" t="s">
        <v>69</v>
      </c>
      <c r="K7" s="134" t="s">
        <v>69</v>
      </c>
      <c r="L7" s="134" t="s">
        <v>69</v>
      </c>
      <c r="M7" s="433" t="s">
        <v>108</v>
      </c>
      <c r="N7" s="477" t="s">
        <v>69</v>
      </c>
      <c r="O7" s="9" t="s">
        <v>69</v>
      </c>
      <c r="P7" s="572" t="s">
        <v>69</v>
      </c>
      <c r="Q7" s="584" t="s">
        <v>514</v>
      </c>
      <c r="R7" s="572" t="s">
        <v>69</v>
      </c>
      <c r="S7" s="572" t="s">
        <v>69</v>
      </c>
      <c r="T7" s="648" t="s">
        <v>108</v>
      </c>
      <c r="U7" s="572" t="s">
        <v>69</v>
      </c>
      <c r="V7" s="658" t="s">
        <v>92</v>
      </c>
      <c r="W7" s="141" t="s">
        <v>69</v>
      </c>
      <c r="X7" s="141" t="s">
        <v>69</v>
      </c>
      <c r="Y7" s="141" t="s">
        <v>69</v>
      </c>
      <c r="Z7" s="141" t="s">
        <v>69</v>
      </c>
      <c r="AA7" s="583" t="s">
        <v>108</v>
      </c>
      <c r="AB7" s="141" t="s">
        <v>69</v>
      </c>
      <c r="AC7" s="141" t="s">
        <v>69</v>
      </c>
      <c r="AD7" s="141" t="s">
        <v>69</v>
      </c>
      <c r="AE7" s="141" t="s">
        <v>69</v>
      </c>
      <c r="AF7" s="141" t="s">
        <v>69</v>
      </c>
      <c r="AG7" s="141" t="s">
        <v>69</v>
      </c>
      <c r="AH7" s="427" t="s">
        <v>108</v>
      </c>
      <c r="AI7" s="134" t="s">
        <v>69</v>
      </c>
      <c r="AJ7" s="134" t="s">
        <v>69</v>
      </c>
      <c r="AK7" s="134" t="s">
        <v>69</v>
      </c>
      <c r="AL7" s="134" t="s">
        <v>69</v>
      </c>
      <c r="AM7" s="672" t="s">
        <v>69</v>
      </c>
      <c r="AN7">
        <f t="shared" si="1"/>
        <v>0.5</v>
      </c>
      <c r="AO7">
        <f t="shared" si="2"/>
        <v>0</v>
      </c>
      <c r="AP7">
        <f t="shared" si="0"/>
        <v>1</v>
      </c>
    </row>
    <row r="8" spans="1:42" ht="18">
      <c r="A8" s="5">
        <v>7</v>
      </c>
      <c r="B8" s="694" t="s">
        <v>320</v>
      </c>
      <c r="C8" s="254" t="s">
        <v>11</v>
      </c>
      <c r="D8" s="510" t="s">
        <v>412</v>
      </c>
      <c r="E8" s="511" t="s">
        <v>413</v>
      </c>
      <c r="F8" s="512" t="s">
        <v>434</v>
      </c>
      <c r="G8" s="513" t="s">
        <v>288</v>
      </c>
      <c r="H8" s="513" t="s">
        <v>415</v>
      </c>
      <c r="I8" s="153" t="s">
        <v>416</v>
      </c>
      <c r="J8" s="134" t="s">
        <v>69</v>
      </c>
      <c r="K8" s="134" t="s">
        <v>69</v>
      </c>
      <c r="L8" s="134" t="s">
        <v>69</v>
      </c>
      <c r="M8" s="433" t="s">
        <v>108</v>
      </c>
      <c r="N8" s="477" t="s">
        <v>69</v>
      </c>
      <c r="O8" s="637" t="s">
        <v>69</v>
      </c>
      <c r="P8" s="436" t="s">
        <v>416</v>
      </c>
      <c r="Q8" s="572" t="s">
        <v>69</v>
      </c>
      <c r="R8" s="104" t="s">
        <v>69</v>
      </c>
      <c r="S8" s="572" t="s">
        <v>69</v>
      </c>
      <c r="T8" s="469" t="s">
        <v>108</v>
      </c>
      <c r="U8" s="584" t="s">
        <v>514</v>
      </c>
      <c r="V8" s="171" t="s">
        <v>69</v>
      </c>
      <c r="W8" s="141" t="s">
        <v>69</v>
      </c>
      <c r="X8" s="141" t="s">
        <v>69</v>
      </c>
      <c r="Y8" s="141" t="s">
        <v>69</v>
      </c>
      <c r="Z8" s="141" t="s">
        <v>69</v>
      </c>
      <c r="AA8" s="583" t="s">
        <v>108</v>
      </c>
      <c r="AB8" s="218" t="s">
        <v>416</v>
      </c>
      <c r="AC8" s="134" t="s">
        <v>69</v>
      </c>
      <c r="AD8" s="134" t="s">
        <v>69</v>
      </c>
      <c r="AE8" s="134" t="s">
        <v>69</v>
      </c>
      <c r="AF8" s="134" t="s">
        <v>69</v>
      </c>
      <c r="AG8" s="134" t="s">
        <v>69</v>
      </c>
      <c r="AH8" s="329" t="s">
        <v>108</v>
      </c>
      <c r="AI8" s="134" t="s">
        <v>69</v>
      </c>
      <c r="AJ8" s="134" t="s">
        <v>69</v>
      </c>
      <c r="AK8" s="121" t="s">
        <v>416</v>
      </c>
      <c r="AL8" s="134" t="s">
        <v>69</v>
      </c>
      <c r="AM8" s="134" t="s">
        <v>69</v>
      </c>
      <c r="AN8">
        <f t="shared" si="1"/>
        <v>4.5</v>
      </c>
      <c r="AO8">
        <f t="shared" si="2"/>
        <v>0</v>
      </c>
      <c r="AP8">
        <f t="shared" si="0"/>
        <v>1</v>
      </c>
    </row>
    <row r="9" spans="1:42" ht="18">
      <c r="A9" s="5">
        <v>8</v>
      </c>
      <c r="B9" s="694" t="s">
        <v>362</v>
      </c>
      <c r="C9" s="254" t="s">
        <v>10</v>
      </c>
      <c r="D9" s="510" t="s">
        <v>412</v>
      </c>
      <c r="E9" s="511" t="s">
        <v>436</v>
      </c>
      <c r="F9" s="512" t="s">
        <v>437</v>
      </c>
      <c r="G9" s="513" t="s">
        <v>289</v>
      </c>
      <c r="H9" s="513" t="s">
        <v>415</v>
      </c>
      <c r="I9" s="239" t="s">
        <v>69</v>
      </c>
      <c r="J9" s="239" t="s">
        <v>69</v>
      </c>
      <c r="K9" s="239" t="s">
        <v>69</v>
      </c>
      <c r="L9" s="134" t="s">
        <v>69</v>
      </c>
      <c r="M9" s="468" t="s">
        <v>108</v>
      </c>
      <c r="N9" s="477" t="s">
        <v>69</v>
      </c>
      <c r="O9" s="9" t="s">
        <v>69</v>
      </c>
      <c r="P9" s="9" t="s">
        <v>69</v>
      </c>
      <c r="Q9" s="436" t="s">
        <v>416</v>
      </c>
      <c r="R9" s="436" t="s">
        <v>416</v>
      </c>
      <c r="S9" s="572" t="s">
        <v>69</v>
      </c>
      <c r="T9" s="648" t="s">
        <v>108</v>
      </c>
      <c r="U9" s="584" t="s">
        <v>514</v>
      </c>
      <c r="V9" s="584" t="s">
        <v>514</v>
      </c>
      <c r="W9" s="141" t="s">
        <v>69</v>
      </c>
      <c r="X9" s="141" t="s">
        <v>69</v>
      </c>
      <c r="Y9" s="141" t="s">
        <v>69</v>
      </c>
      <c r="Z9" s="141" t="s">
        <v>69</v>
      </c>
      <c r="AA9" s="583" t="s">
        <v>108</v>
      </c>
      <c r="AB9" s="141" t="s">
        <v>69</v>
      </c>
      <c r="AC9" s="141" t="s">
        <v>69</v>
      </c>
      <c r="AD9" s="141" t="s">
        <v>69</v>
      </c>
      <c r="AE9" s="141" t="s">
        <v>69</v>
      </c>
      <c r="AF9" s="141" t="s">
        <v>69</v>
      </c>
      <c r="AG9" s="141" t="s">
        <v>69</v>
      </c>
      <c r="AH9" s="427" t="s">
        <v>108</v>
      </c>
      <c r="AI9" s="134" t="s">
        <v>69</v>
      </c>
      <c r="AJ9" s="121" t="s">
        <v>416</v>
      </c>
      <c r="AK9" s="134" t="s">
        <v>69</v>
      </c>
      <c r="AL9" s="134" t="s">
        <v>69</v>
      </c>
      <c r="AM9" s="134" t="s">
        <v>69</v>
      </c>
      <c r="AN9">
        <f t="shared" si="1"/>
        <v>4</v>
      </c>
      <c r="AO9">
        <f t="shared" si="2"/>
        <v>0</v>
      </c>
      <c r="AP9">
        <f t="shared" si="0"/>
        <v>2</v>
      </c>
    </row>
    <row r="10" spans="1:42" ht="18">
      <c r="A10" s="5">
        <v>9</v>
      </c>
      <c r="B10" s="694" t="s">
        <v>346</v>
      </c>
      <c r="C10" s="254" t="s">
        <v>290</v>
      </c>
      <c r="D10" s="510" t="s">
        <v>412</v>
      </c>
      <c r="E10" s="511" t="s">
        <v>424</v>
      </c>
      <c r="F10" s="512" t="s">
        <v>438</v>
      </c>
      <c r="G10" s="513" t="s">
        <v>291</v>
      </c>
      <c r="H10" s="513" t="s">
        <v>415</v>
      </c>
      <c r="I10" s="239" t="s">
        <v>69</v>
      </c>
      <c r="J10" s="212" t="s">
        <v>69</v>
      </c>
      <c r="K10" s="212" t="s">
        <v>69</v>
      </c>
      <c r="L10" s="134" t="s">
        <v>69</v>
      </c>
      <c r="M10" s="468" t="s">
        <v>108</v>
      </c>
      <c r="N10" s="477" t="s">
        <v>69</v>
      </c>
      <c r="O10" s="637" t="s">
        <v>69</v>
      </c>
      <c r="P10" s="572" t="s">
        <v>69</v>
      </c>
      <c r="Q10" s="572" t="s">
        <v>69</v>
      </c>
      <c r="R10" s="572" t="s">
        <v>69</v>
      </c>
      <c r="S10" s="572" t="s">
        <v>69</v>
      </c>
      <c r="T10" s="469" t="s">
        <v>108</v>
      </c>
      <c r="U10" s="576" t="s">
        <v>514</v>
      </c>
      <c r="V10" s="171" t="s">
        <v>69</v>
      </c>
      <c r="W10" s="141" t="s">
        <v>69</v>
      </c>
      <c r="X10" s="576" t="s">
        <v>514</v>
      </c>
      <c r="Y10" s="141" t="s">
        <v>69</v>
      </c>
      <c r="Z10" s="141" t="s">
        <v>69</v>
      </c>
      <c r="AA10" s="583" t="s">
        <v>108</v>
      </c>
      <c r="AB10" s="141" t="s">
        <v>69</v>
      </c>
      <c r="AC10" s="141" t="s">
        <v>69</v>
      </c>
      <c r="AD10" s="141" t="s">
        <v>69</v>
      </c>
      <c r="AE10" s="141" t="s">
        <v>69</v>
      </c>
      <c r="AF10" s="141" t="s">
        <v>69</v>
      </c>
      <c r="AG10" s="141" t="s">
        <v>69</v>
      </c>
      <c r="AH10" s="329" t="s">
        <v>108</v>
      </c>
      <c r="AI10" s="134" t="s">
        <v>69</v>
      </c>
      <c r="AJ10" s="134" t="s">
        <v>69</v>
      </c>
      <c r="AK10" s="134" t="s">
        <v>69</v>
      </c>
      <c r="AL10" s="134" t="s">
        <v>69</v>
      </c>
      <c r="AM10" s="134" t="s">
        <v>69</v>
      </c>
      <c r="AN10">
        <f t="shared" si="1"/>
        <v>1</v>
      </c>
      <c r="AO10">
        <f t="shared" si="2"/>
        <v>0</v>
      </c>
      <c r="AP10">
        <f t="shared" si="0"/>
        <v>2</v>
      </c>
    </row>
    <row r="11" spans="1:42" ht="18">
      <c r="A11" s="5">
        <v>10</v>
      </c>
      <c r="B11" s="694" t="s">
        <v>328</v>
      </c>
      <c r="C11" s="254" t="s">
        <v>13</v>
      </c>
      <c r="D11" s="510" t="s">
        <v>412</v>
      </c>
      <c r="E11" s="511" t="s">
        <v>436</v>
      </c>
      <c r="F11" s="512" t="s">
        <v>440</v>
      </c>
      <c r="G11" s="513" t="s">
        <v>133</v>
      </c>
      <c r="H11" s="513" t="s">
        <v>415</v>
      </c>
      <c r="I11" s="239" t="s">
        <v>69</v>
      </c>
      <c r="J11" s="134" t="s">
        <v>69</v>
      </c>
      <c r="K11" s="134" t="s">
        <v>69</v>
      </c>
      <c r="L11" s="134" t="s">
        <v>69</v>
      </c>
      <c r="M11" s="433" t="s">
        <v>108</v>
      </c>
      <c r="N11" s="574" t="s">
        <v>69</v>
      </c>
      <c r="O11" s="637" t="s">
        <v>69</v>
      </c>
      <c r="P11" s="637" t="s">
        <v>69</v>
      </c>
      <c r="Q11" s="637" t="s">
        <v>69</v>
      </c>
      <c r="R11" s="637" t="s">
        <v>69</v>
      </c>
      <c r="S11" s="572" t="s">
        <v>69</v>
      </c>
      <c r="T11" s="648" t="s">
        <v>108</v>
      </c>
      <c r="U11" s="158" t="s">
        <v>69</v>
      </c>
      <c r="V11" s="158" t="s">
        <v>69</v>
      </c>
      <c r="W11" s="141" t="s">
        <v>69</v>
      </c>
      <c r="X11" s="158" t="s">
        <v>69</v>
      </c>
      <c r="Y11" s="141" t="s">
        <v>69</v>
      </c>
      <c r="Z11" s="141" t="s">
        <v>69</v>
      </c>
      <c r="AA11" s="583" t="s">
        <v>108</v>
      </c>
      <c r="AB11" s="141" t="s">
        <v>69</v>
      </c>
      <c r="AC11" s="141" t="s">
        <v>69</v>
      </c>
      <c r="AD11" s="141" t="s">
        <v>69</v>
      </c>
      <c r="AE11" s="141" t="s">
        <v>69</v>
      </c>
      <c r="AF11" s="141" t="s">
        <v>69</v>
      </c>
      <c r="AG11" s="131" t="s">
        <v>416</v>
      </c>
      <c r="AH11" s="427" t="s">
        <v>108</v>
      </c>
      <c r="AI11" s="120" t="s">
        <v>69</v>
      </c>
      <c r="AJ11" s="120" t="s">
        <v>69</v>
      </c>
      <c r="AK11" s="120" t="s">
        <v>69</v>
      </c>
      <c r="AL11" s="120" t="s">
        <v>69</v>
      </c>
      <c r="AM11" s="120" t="s">
        <v>69</v>
      </c>
      <c r="AN11">
        <f t="shared" si="1"/>
        <v>1</v>
      </c>
      <c r="AO11">
        <f t="shared" si="2"/>
        <v>0</v>
      </c>
      <c r="AP11">
        <f t="shared" si="0"/>
        <v>0</v>
      </c>
    </row>
    <row r="12" spans="1:42" ht="18">
      <c r="A12" s="5">
        <v>11</v>
      </c>
      <c r="B12" s="694" t="s">
        <v>496</v>
      </c>
      <c r="C12" s="254" t="s">
        <v>497</v>
      </c>
      <c r="D12" s="510" t="s">
        <v>412</v>
      </c>
      <c r="E12" s="697" t="s">
        <v>418</v>
      </c>
      <c r="F12" s="697" t="s">
        <v>459</v>
      </c>
      <c r="G12" s="697" t="s">
        <v>301</v>
      </c>
      <c r="H12" s="513" t="s">
        <v>415</v>
      </c>
      <c r="I12" s="239" t="s">
        <v>69</v>
      </c>
      <c r="J12" s="134" t="s">
        <v>69</v>
      </c>
      <c r="K12" s="134" t="s">
        <v>69</v>
      </c>
      <c r="L12" s="134" t="s">
        <v>69</v>
      </c>
      <c r="M12" s="433" t="s">
        <v>108</v>
      </c>
      <c r="N12" s="239" t="s">
        <v>69</v>
      </c>
      <c r="O12" s="9" t="s">
        <v>69</v>
      </c>
      <c r="P12" s="9" t="s">
        <v>69</v>
      </c>
      <c r="Q12" s="9" t="s">
        <v>69</v>
      </c>
      <c r="R12" s="9" t="s">
        <v>69</v>
      </c>
      <c r="S12" s="572" t="s">
        <v>69</v>
      </c>
      <c r="T12" s="582" t="s">
        <v>108</v>
      </c>
      <c r="U12" s="134" t="s">
        <v>69</v>
      </c>
      <c r="V12" s="147" t="s">
        <v>92</v>
      </c>
      <c r="W12" s="239" t="s">
        <v>69</v>
      </c>
      <c r="X12" s="121" t="s">
        <v>416</v>
      </c>
      <c r="Y12" s="141" t="s">
        <v>69</v>
      </c>
      <c r="Z12" s="141" t="s">
        <v>69</v>
      </c>
      <c r="AA12" s="583" t="s">
        <v>108</v>
      </c>
      <c r="AB12" s="141" t="s">
        <v>69</v>
      </c>
      <c r="AC12" s="132" t="s">
        <v>514</v>
      </c>
      <c r="AD12" s="147" t="s">
        <v>92</v>
      </c>
      <c r="AE12" s="134" t="s">
        <v>69</v>
      </c>
      <c r="AF12" s="134" t="s">
        <v>69</v>
      </c>
      <c r="AG12" s="134" t="s">
        <v>69</v>
      </c>
      <c r="AH12" s="329" t="s">
        <v>108</v>
      </c>
      <c r="AI12" s="120" t="s">
        <v>69</v>
      </c>
      <c r="AJ12" s="120" t="s">
        <v>69</v>
      </c>
      <c r="AK12" s="120" t="s">
        <v>69</v>
      </c>
      <c r="AL12" s="120" t="s">
        <v>69</v>
      </c>
      <c r="AM12" s="120" t="s">
        <v>69</v>
      </c>
      <c r="AN12">
        <f t="shared" si="1"/>
        <v>1.5</v>
      </c>
      <c r="AO12">
        <f t="shared" si="2"/>
        <v>0</v>
      </c>
      <c r="AP12">
        <f t="shared" si="0"/>
        <v>1</v>
      </c>
    </row>
    <row r="13" spans="1:42" ht="18">
      <c r="A13" s="5">
        <v>12</v>
      </c>
      <c r="B13" s="695" t="s">
        <v>360</v>
      </c>
      <c r="C13" s="254" t="s">
        <v>498</v>
      </c>
      <c r="D13" s="510" t="s">
        <v>412</v>
      </c>
      <c r="E13" s="511" t="s">
        <v>418</v>
      </c>
      <c r="F13" s="512" t="s">
        <v>441</v>
      </c>
      <c r="G13" s="513" t="s">
        <v>292</v>
      </c>
      <c r="H13" s="513" t="s">
        <v>415</v>
      </c>
      <c r="I13" s="239" t="s">
        <v>69</v>
      </c>
      <c r="J13" s="134" t="s">
        <v>69</v>
      </c>
      <c r="K13" s="134" t="s">
        <v>69</v>
      </c>
      <c r="L13" s="134" t="s">
        <v>69</v>
      </c>
      <c r="M13" s="468" t="s">
        <v>108</v>
      </c>
      <c r="N13" s="477" t="s">
        <v>69</v>
      </c>
      <c r="O13" s="9" t="s">
        <v>69</v>
      </c>
      <c r="P13" s="9" t="s">
        <v>69</v>
      </c>
      <c r="Q13" s="9" t="s">
        <v>69</v>
      </c>
      <c r="R13" s="9" t="s">
        <v>69</v>
      </c>
      <c r="S13" s="572" t="s">
        <v>69</v>
      </c>
      <c r="T13" s="648" t="s">
        <v>108</v>
      </c>
      <c r="U13" s="134" t="s">
        <v>69</v>
      </c>
      <c r="V13" s="134" t="s">
        <v>69</v>
      </c>
      <c r="W13" s="171" t="s">
        <v>69</v>
      </c>
      <c r="X13" s="664" t="s">
        <v>69</v>
      </c>
      <c r="Y13" s="664" t="s">
        <v>69</v>
      </c>
      <c r="Z13" s="222" t="s">
        <v>416</v>
      </c>
      <c r="AA13" s="583" t="s">
        <v>108</v>
      </c>
      <c r="AB13" s="141" t="s">
        <v>69</v>
      </c>
      <c r="AC13" s="141" t="s">
        <v>69</v>
      </c>
      <c r="AD13" s="141" t="s">
        <v>69</v>
      </c>
      <c r="AE13" s="141" t="s">
        <v>69</v>
      </c>
      <c r="AF13" s="141" t="s">
        <v>69</v>
      </c>
      <c r="AG13" s="141" t="s">
        <v>69</v>
      </c>
      <c r="AH13" s="427" t="s">
        <v>108</v>
      </c>
      <c r="AI13" s="120" t="s">
        <v>69</v>
      </c>
      <c r="AJ13" s="120" t="s">
        <v>69</v>
      </c>
      <c r="AK13" s="120" t="s">
        <v>69</v>
      </c>
      <c r="AL13" s="120" t="s">
        <v>69</v>
      </c>
      <c r="AM13" s="120" t="s">
        <v>69</v>
      </c>
      <c r="AN13">
        <f t="shared" si="1"/>
        <v>1</v>
      </c>
      <c r="AO13">
        <f t="shared" si="2"/>
        <v>0</v>
      </c>
      <c r="AP13">
        <f t="shared" si="0"/>
        <v>0</v>
      </c>
    </row>
    <row r="14" spans="1:42" ht="18">
      <c r="A14" s="5">
        <v>13</v>
      </c>
      <c r="B14" s="694" t="s">
        <v>357</v>
      </c>
      <c r="C14" s="254" t="s">
        <v>177</v>
      </c>
      <c r="D14" s="510" t="s">
        <v>412</v>
      </c>
      <c r="E14" s="511" t="s">
        <v>424</v>
      </c>
      <c r="F14" s="512" t="s">
        <v>442</v>
      </c>
      <c r="G14" s="513" t="s">
        <v>293</v>
      </c>
      <c r="H14" s="513" t="s">
        <v>415</v>
      </c>
      <c r="I14" s="239" t="s">
        <v>69</v>
      </c>
      <c r="J14" s="134" t="s">
        <v>69</v>
      </c>
      <c r="K14" s="134" t="s">
        <v>69</v>
      </c>
      <c r="L14" s="144" t="s">
        <v>416</v>
      </c>
      <c r="M14" s="468" t="s">
        <v>108</v>
      </c>
      <c r="N14" s="477" t="s">
        <v>69</v>
      </c>
      <c r="O14" s="637" t="s">
        <v>69</v>
      </c>
      <c r="P14" s="250" t="s">
        <v>92</v>
      </c>
      <c r="Q14" s="572" t="s">
        <v>69</v>
      </c>
      <c r="R14" s="579" t="s">
        <v>69</v>
      </c>
      <c r="S14" s="572" t="s">
        <v>69</v>
      </c>
      <c r="T14" s="469" t="s">
        <v>108</v>
      </c>
      <c r="U14" s="583" t="s">
        <v>92</v>
      </c>
      <c r="V14" s="134" t="s">
        <v>69</v>
      </c>
      <c r="W14" s="171" t="s">
        <v>69</v>
      </c>
      <c r="X14" s="141" t="s">
        <v>69</v>
      </c>
      <c r="Y14" s="141" t="s">
        <v>69</v>
      </c>
      <c r="Z14" s="141" t="s">
        <v>69</v>
      </c>
      <c r="AA14" s="583" t="s">
        <v>108</v>
      </c>
      <c r="AB14" s="218" t="s">
        <v>416</v>
      </c>
      <c r="AC14" s="134" t="s">
        <v>69</v>
      </c>
      <c r="AD14" s="134" t="s">
        <v>69</v>
      </c>
      <c r="AE14" s="134" t="s">
        <v>69</v>
      </c>
      <c r="AF14" s="134" t="s">
        <v>69</v>
      </c>
      <c r="AG14" s="134" t="s">
        <v>69</v>
      </c>
      <c r="AH14" s="329" t="s">
        <v>108</v>
      </c>
      <c r="AI14" s="168" t="s">
        <v>69</v>
      </c>
      <c r="AJ14" s="168" t="s">
        <v>69</v>
      </c>
      <c r="AK14" s="168" t="s">
        <v>69</v>
      </c>
      <c r="AL14" s="168" t="s">
        <v>69</v>
      </c>
      <c r="AM14" s="168" t="s">
        <v>69</v>
      </c>
      <c r="AN14">
        <f t="shared" si="1"/>
        <v>2</v>
      </c>
      <c r="AO14">
        <f t="shared" si="2"/>
        <v>0</v>
      </c>
      <c r="AP14">
        <f t="shared" si="0"/>
        <v>0</v>
      </c>
    </row>
    <row r="15" spans="1:42" ht="18">
      <c r="A15" s="5">
        <v>14</v>
      </c>
      <c r="B15" s="694" t="s">
        <v>354</v>
      </c>
      <c r="C15" s="254" t="s">
        <v>294</v>
      </c>
      <c r="D15" s="510" t="s">
        <v>412</v>
      </c>
      <c r="E15" s="511" t="s">
        <v>443</v>
      </c>
      <c r="F15" s="512" t="s">
        <v>444</v>
      </c>
      <c r="G15" s="513" t="s">
        <v>295</v>
      </c>
      <c r="H15" s="513" t="s">
        <v>415</v>
      </c>
      <c r="I15" s="239" t="s">
        <v>69</v>
      </c>
      <c r="J15" s="134" t="s">
        <v>69</v>
      </c>
      <c r="K15" s="134" t="s">
        <v>69</v>
      </c>
      <c r="L15" s="144" t="s">
        <v>416</v>
      </c>
      <c r="M15" s="433" t="s">
        <v>108</v>
      </c>
      <c r="N15" s="677" t="s">
        <v>69</v>
      </c>
      <c r="O15" s="116" t="s">
        <v>69</v>
      </c>
      <c r="P15" s="116" t="s">
        <v>69</v>
      </c>
      <c r="Q15" s="140" t="s">
        <v>69</v>
      </c>
      <c r="R15" s="104" t="s">
        <v>69</v>
      </c>
      <c r="S15" s="572" t="s">
        <v>69</v>
      </c>
      <c r="T15" s="648" t="s">
        <v>108</v>
      </c>
      <c r="U15" s="141" t="s">
        <v>69</v>
      </c>
      <c r="V15" s="141" t="s">
        <v>69</v>
      </c>
      <c r="W15" s="670" t="s">
        <v>69</v>
      </c>
      <c r="X15" s="670" t="s">
        <v>69</v>
      </c>
      <c r="Y15" s="670" t="s">
        <v>69</v>
      </c>
      <c r="Z15" s="670" t="s">
        <v>69</v>
      </c>
      <c r="AA15" s="583" t="s">
        <v>108</v>
      </c>
      <c r="AB15" s="207" t="s">
        <v>69</v>
      </c>
      <c r="AC15" s="134" t="s">
        <v>69</v>
      </c>
      <c r="AD15" s="134" t="s">
        <v>69</v>
      </c>
      <c r="AE15" s="134" t="s">
        <v>69</v>
      </c>
      <c r="AF15" s="121" t="s">
        <v>416</v>
      </c>
      <c r="AG15" s="120" t="s">
        <v>69</v>
      </c>
      <c r="AH15" s="427" t="s">
        <v>108</v>
      </c>
      <c r="AI15" s="131" t="s">
        <v>416</v>
      </c>
      <c r="AJ15" s="168" t="s">
        <v>69</v>
      </c>
      <c r="AK15" s="134" t="s">
        <v>69</v>
      </c>
      <c r="AL15" s="168" t="s">
        <v>69</v>
      </c>
      <c r="AM15" s="168" t="s">
        <v>69</v>
      </c>
      <c r="AN15">
        <f t="shared" si="1"/>
        <v>3</v>
      </c>
      <c r="AO15">
        <f t="shared" si="2"/>
        <v>0</v>
      </c>
      <c r="AP15">
        <f t="shared" si="0"/>
        <v>0</v>
      </c>
    </row>
    <row r="16" spans="1:42" ht="18">
      <c r="A16" s="5">
        <v>15</v>
      </c>
      <c r="B16" s="694" t="s">
        <v>312</v>
      </c>
      <c r="C16" s="254" t="s">
        <v>17</v>
      </c>
      <c r="D16" s="510" t="s">
        <v>412</v>
      </c>
      <c r="E16" s="511" t="s">
        <v>445</v>
      </c>
      <c r="F16" s="512" t="s">
        <v>446</v>
      </c>
      <c r="G16" s="513" t="s">
        <v>291</v>
      </c>
      <c r="H16" s="513" t="s">
        <v>415</v>
      </c>
      <c r="I16" s="159" t="s">
        <v>267</v>
      </c>
      <c r="J16" s="134" t="s">
        <v>69</v>
      </c>
      <c r="K16" s="134" t="s">
        <v>69</v>
      </c>
      <c r="L16" s="147" t="s">
        <v>267</v>
      </c>
      <c r="M16" s="433" t="s">
        <v>108</v>
      </c>
      <c r="N16" s="477" t="s">
        <v>69</v>
      </c>
      <c r="O16" s="104" t="s">
        <v>69</v>
      </c>
      <c r="P16" s="669" t="s">
        <v>514</v>
      </c>
      <c r="Q16" s="140" t="s">
        <v>69</v>
      </c>
      <c r="R16" s="104" t="s">
        <v>69</v>
      </c>
      <c r="S16" s="572" t="s">
        <v>69</v>
      </c>
      <c r="T16" s="469" t="s">
        <v>108</v>
      </c>
      <c r="U16" s="219" t="s">
        <v>514</v>
      </c>
      <c r="V16" s="673" t="s">
        <v>69</v>
      </c>
      <c r="W16" s="670" t="s">
        <v>69</v>
      </c>
      <c r="X16" s="64" t="s">
        <v>514</v>
      </c>
      <c r="Y16" s="64" t="s">
        <v>514</v>
      </c>
      <c r="Z16" s="670" t="s">
        <v>69</v>
      </c>
      <c r="AA16" s="583" t="s">
        <v>108</v>
      </c>
      <c r="AB16" s="121" t="s">
        <v>416</v>
      </c>
      <c r="AC16" s="134" t="s">
        <v>69</v>
      </c>
      <c r="AD16" s="134" t="s">
        <v>69</v>
      </c>
      <c r="AE16" s="132" t="s">
        <v>514</v>
      </c>
      <c r="AF16" s="672" t="s">
        <v>69</v>
      </c>
      <c r="AG16" s="121" t="s">
        <v>416</v>
      </c>
      <c r="AH16" s="329" t="s">
        <v>108</v>
      </c>
      <c r="AI16" s="672" t="s">
        <v>69</v>
      </c>
      <c r="AJ16" s="672" t="s">
        <v>69</v>
      </c>
      <c r="AK16" s="672" t="s">
        <v>69</v>
      </c>
      <c r="AL16" s="121" t="s">
        <v>416</v>
      </c>
      <c r="AM16" s="121" t="s">
        <v>416</v>
      </c>
      <c r="AN16">
        <f t="shared" si="1"/>
        <v>6.5</v>
      </c>
      <c r="AO16">
        <f t="shared" si="2"/>
        <v>0</v>
      </c>
      <c r="AP16">
        <f t="shared" si="0"/>
        <v>5</v>
      </c>
    </row>
    <row r="17" spans="1:42" ht="18">
      <c r="A17" s="5">
        <v>16</v>
      </c>
      <c r="B17" s="694" t="s">
        <v>368</v>
      </c>
      <c r="C17" s="254" t="s">
        <v>18</v>
      </c>
      <c r="D17" s="510" t="s">
        <v>412</v>
      </c>
      <c r="E17" s="511" t="s">
        <v>418</v>
      </c>
      <c r="F17" s="512" t="s">
        <v>447</v>
      </c>
      <c r="G17" s="513" t="s">
        <v>286</v>
      </c>
      <c r="H17" s="513" t="s">
        <v>415</v>
      </c>
      <c r="I17" s="239" t="s">
        <v>69</v>
      </c>
      <c r="J17" s="134" t="s">
        <v>69</v>
      </c>
      <c r="K17" s="134" t="s">
        <v>69</v>
      </c>
      <c r="L17" s="134" t="s">
        <v>69</v>
      </c>
      <c r="M17" s="468" t="s">
        <v>108</v>
      </c>
      <c r="N17" s="477" t="s">
        <v>69</v>
      </c>
      <c r="O17" s="678" t="s">
        <v>516</v>
      </c>
      <c r="P17" s="573" t="s">
        <v>69</v>
      </c>
      <c r="Q17" s="578" t="s">
        <v>69</v>
      </c>
      <c r="R17" s="104" t="s">
        <v>69</v>
      </c>
      <c r="S17" s="579" t="s">
        <v>69</v>
      </c>
      <c r="T17" s="648" t="s">
        <v>108</v>
      </c>
      <c r="U17" s="579" t="s">
        <v>69</v>
      </c>
      <c r="V17" s="579" t="s">
        <v>69</v>
      </c>
      <c r="W17" s="670" t="s">
        <v>69</v>
      </c>
      <c r="X17" s="670" t="s">
        <v>69</v>
      </c>
      <c r="Y17" s="670" t="s">
        <v>69</v>
      </c>
      <c r="Z17" s="679" t="s">
        <v>69</v>
      </c>
      <c r="AA17" s="583" t="s">
        <v>108</v>
      </c>
      <c r="AB17" s="670" t="s">
        <v>69</v>
      </c>
      <c r="AC17" s="670" t="s">
        <v>69</v>
      </c>
      <c r="AD17" s="670" t="s">
        <v>69</v>
      </c>
      <c r="AE17" s="670" t="s">
        <v>69</v>
      </c>
      <c r="AF17" s="25" t="s">
        <v>416</v>
      </c>
      <c r="AG17" s="134" t="s">
        <v>69</v>
      </c>
      <c r="AH17" s="427" t="s">
        <v>108</v>
      </c>
      <c r="AI17" s="134" t="s">
        <v>69</v>
      </c>
      <c r="AJ17" s="134" t="s">
        <v>69</v>
      </c>
      <c r="AK17" s="134" t="s">
        <v>69</v>
      </c>
      <c r="AL17" s="134" t="s">
        <v>69</v>
      </c>
      <c r="AM17" s="134" t="s">
        <v>69</v>
      </c>
      <c r="AN17">
        <f t="shared" si="1"/>
        <v>1</v>
      </c>
      <c r="AO17">
        <f t="shared" si="2"/>
        <v>0</v>
      </c>
      <c r="AP17">
        <f t="shared" si="0"/>
        <v>0</v>
      </c>
    </row>
    <row r="18" spans="1:42" ht="18">
      <c r="A18" s="5">
        <v>17</v>
      </c>
      <c r="B18" s="695" t="s">
        <v>448</v>
      </c>
      <c r="C18" s="254" t="s">
        <v>449</v>
      </c>
      <c r="D18" s="526" t="s">
        <v>412</v>
      </c>
      <c r="E18" s="511" t="s">
        <v>418</v>
      </c>
      <c r="F18" s="512" t="s">
        <v>450</v>
      </c>
      <c r="G18" s="513" t="s">
        <v>296</v>
      </c>
      <c r="H18" s="513" t="s">
        <v>415</v>
      </c>
      <c r="I18" s="239" t="s">
        <v>69</v>
      </c>
      <c r="J18" s="134" t="s">
        <v>69</v>
      </c>
      <c r="K18" s="132" t="s">
        <v>514</v>
      </c>
      <c r="L18" s="134" t="s">
        <v>69</v>
      </c>
      <c r="M18" s="468" t="s">
        <v>108</v>
      </c>
      <c r="N18" s="642" t="s">
        <v>267</v>
      </c>
      <c r="O18" s="637" t="s">
        <v>69</v>
      </c>
      <c r="P18" s="573" t="s">
        <v>69</v>
      </c>
      <c r="Q18" s="578" t="s">
        <v>69</v>
      </c>
      <c r="R18" s="104" t="s">
        <v>69</v>
      </c>
      <c r="S18" s="104" t="s">
        <v>69</v>
      </c>
      <c r="T18" s="469" t="s">
        <v>108</v>
      </c>
      <c r="U18" s="104" t="s">
        <v>69</v>
      </c>
      <c r="V18" s="104" t="s">
        <v>69</v>
      </c>
      <c r="W18" s="153" t="s">
        <v>416</v>
      </c>
      <c r="X18" s="153" t="s">
        <v>416</v>
      </c>
      <c r="Y18" s="153" t="s">
        <v>416</v>
      </c>
      <c r="Z18" s="121" t="s">
        <v>416</v>
      </c>
      <c r="AA18" s="583" t="s">
        <v>108</v>
      </c>
      <c r="AB18" s="239" t="s">
        <v>69</v>
      </c>
      <c r="AC18" s="239" t="s">
        <v>69</v>
      </c>
      <c r="AD18" s="239" t="s">
        <v>69</v>
      </c>
      <c r="AE18" s="239" t="s">
        <v>69</v>
      </c>
      <c r="AF18" s="239" t="s">
        <v>69</v>
      </c>
      <c r="AG18" s="153" t="s">
        <v>416</v>
      </c>
      <c r="AH18" s="329" t="s">
        <v>108</v>
      </c>
      <c r="AI18" s="134" t="s">
        <v>69</v>
      </c>
      <c r="AJ18" s="134" t="s">
        <v>69</v>
      </c>
      <c r="AK18" s="134" t="s">
        <v>69</v>
      </c>
      <c r="AL18" s="134" t="s">
        <v>69</v>
      </c>
      <c r="AM18" s="134" t="s">
        <v>69</v>
      </c>
      <c r="AN18">
        <f t="shared" si="1"/>
        <v>5.5</v>
      </c>
      <c r="AO18">
        <f t="shared" si="2"/>
        <v>0</v>
      </c>
      <c r="AP18">
        <f t="shared" si="0"/>
        <v>1</v>
      </c>
    </row>
    <row r="19" spans="1:42" ht="18">
      <c r="A19" s="5">
        <v>18</v>
      </c>
      <c r="B19" s="694" t="s">
        <v>375</v>
      </c>
      <c r="C19" s="254" t="s">
        <v>238</v>
      </c>
      <c r="D19" s="510" t="s">
        <v>412</v>
      </c>
      <c r="E19" s="511" t="s">
        <v>424</v>
      </c>
      <c r="F19" s="512" t="s">
        <v>451</v>
      </c>
      <c r="G19" s="523" t="s">
        <v>297</v>
      </c>
      <c r="H19" s="513" t="s">
        <v>415</v>
      </c>
      <c r="I19" s="239" t="s">
        <v>69</v>
      </c>
      <c r="J19" s="134" t="s">
        <v>69</v>
      </c>
      <c r="K19" s="134" t="s">
        <v>69</v>
      </c>
      <c r="L19" s="134" t="s">
        <v>69</v>
      </c>
      <c r="M19" s="433" t="s">
        <v>108</v>
      </c>
      <c r="N19" s="212" t="s">
        <v>69</v>
      </c>
      <c r="O19" s="644" t="s">
        <v>69</v>
      </c>
      <c r="P19" s="572" t="s">
        <v>69</v>
      </c>
      <c r="Q19" s="578" t="s">
        <v>69</v>
      </c>
      <c r="R19" s="104" t="s">
        <v>69</v>
      </c>
      <c r="S19" s="108" t="s">
        <v>69</v>
      </c>
      <c r="T19" s="648" t="s">
        <v>108</v>
      </c>
      <c r="U19" s="108" t="s">
        <v>69</v>
      </c>
      <c r="V19" s="108" t="s">
        <v>69</v>
      </c>
      <c r="W19" s="239" t="s">
        <v>69</v>
      </c>
      <c r="X19" s="239" t="s">
        <v>69</v>
      </c>
      <c r="Y19" s="239" t="s">
        <v>69</v>
      </c>
      <c r="Z19" s="134" t="s">
        <v>69</v>
      </c>
      <c r="AA19" s="583" t="s">
        <v>108</v>
      </c>
      <c r="AB19" s="239" t="s">
        <v>69</v>
      </c>
      <c r="AC19" s="239" t="s">
        <v>69</v>
      </c>
      <c r="AD19" s="239" t="s">
        <v>69</v>
      </c>
      <c r="AE19" s="239" t="s">
        <v>69</v>
      </c>
      <c r="AF19" s="120" t="s">
        <v>69</v>
      </c>
      <c r="AG19" s="120" t="s">
        <v>69</v>
      </c>
      <c r="AH19" s="427" t="s">
        <v>108</v>
      </c>
      <c r="AI19" s="120" t="s">
        <v>69</v>
      </c>
      <c r="AJ19" s="168" t="s">
        <v>69</v>
      </c>
      <c r="AK19" s="121" t="s">
        <v>416</v>
      </c>
      <c r="AL19" s="134" t="s">
        <v>69</v>
      </c>
      <c r="AM19" s="120" t="s">
        <v>69</v>
      </c>
      <c r="AN19">
        <f t="shared" si="1"/>
        <v>1</v>
      </c>
      <c r="AO19">
        <f t="shared" si="2"/>
        <v>0</v>
      </c>
      <c r="AP19">
        <f t="shared" si="0"/>
        <v>0</v>
      </c>
    </row>
    <row r="20" spans="1:42" ht="18">
      <c r="A20" s="5">
        <v>19</v>
      </c>
      <c r="B20" s="695" t="s">
        <v>518</v>
      </c>
      <c r="C20" s="254" t="s">
        <v>519</v>
      </c>
      <c r="D20" s="510" t="s">
        <v>412</v>
      </c>
      <c r="E20" s="511" t="s">
        <v>413</v>
      </c>
      <c r="F20" s="512" t="s">
        <v>439</v>
      </c>
      <c r="G20" s="523" t="s">
        <v>292</v>
      </c>
      <c r="H20" s="513"/>
      <c r="I20" s="153" t="s">
        <v>410</v>
      </c>
      <c r="J20" s="153" t="s">
        <v>410</v>
      </c>
      <c r="K20" s="153" t="s">
        <v>410</v>
      </c>
      <c r="L20" s="153" t="s">
        <v>410</v>
      </c>
      <c r="M20" s="468" t="s">
        <v>108</v>
      </c>
      <c r="N20" s="153" t="s">
        <v>410</v>
      </c>
      <c r="O20" s="153" t="s">
        <v>410</v>
      </c>
      <c r="P20" s="153" t="s">
        <v>410</v>
      </c>
      <c r="Q20" s="153" t="s">
        <v>410</v>
      </c>
      <c r="R20" s="104" t="s">
        <v>69</v>
      </c>
      <c r="S20" s="153" t="s">
        <v>410</v>
      </c>
      <c r="T20" s="469" t="s">
        <v>108</v>
      </c>
      <c r="U20" s="153" t="s">
        <v>410</v>
      </c>
      <c r="V20" s="153" t="s">
        <v>410</v>
      </c>
      <c r="W20" s="153" t="s">
        <v>410</v>
      </c>
      <c r="X20" s="153" t="s">
        <v>410</v>
      </c>
      <c r="Y20" s="153" t="s">
        <v>410</v>
      </c>
      <c r="Z20" s="121" t="s">
        <v>410</v>
      </c>
      <c r="AA20" s="583" t="s">
        <v>108</v>
      </c>
      <c r="AB20" s="239" t="s">
        <v>69</v>
      </c>
      <c r="AC20" s="134" t="s">
        <v>69</v>
      </c>
      <c r="AD20" s="134" t="s">
        <v>69</v>
      </c>
      <c r="AE20" s="131" t="s">
        <v>416</v>
      </c>
      <c r="AF20" s="120" t="s">
        <v>69</v>
      </c>
      <c r="AG20" s="120" t="s">
        <v>69</v>
      </c>
      <c r="AH20" s="329" t="s">
        <v>108</v>
      </c>
      <c r="AI20" s="120" t="s">
        <v>69</v>
      </c>
      <c r="AJ20" s="120" t="s">
        <v>69</v>
      </c>
      <c r="AK20" s="120" t="s">
        <v>69</v>
      </c>
      <c r="AL20" s="120" t="s">
        <v>69</v>
      </c>
      <c r="AM20" s="132" t="s">
        <v>516</v>
      </c>
      <c r="AN20">
        <f t="shared" si="1"/>
        <v>1</v>
      </c>
      <c r="AO20">
        <f t="shared" si="2"/>
        <v>15</v>
      </c>
      <c r="AP20">
        <f t="shared" si="0"/>
        <v>0</v>
      </c>
    </row>
    <row r="21" spans="1:42" ht="18">
      <c r="A21" s="5">
        <v>20</v>
      </c>
      <c r="B21" s="694" t="s">
        <v>335</v>
      </c>
      <c r="C21" s="254" t="s">
        <v>22</v>
      </c>
      <c r="D21" s="510" t="s">
        <v>412</v>
      </c>
      <c r="E21" s="511" t="s">
        <v>418</v>
      </c>
      <c r="F21" s="512" t="s">
        <v>452</v>
      </c>
      <c r="G21" s="513" t="s">
        <v>285</v>
      </c>
      <c r="H21" s="513" t="s">
        <v>415</v>
      </c>
      <c r="I21" s="239" t="s">
        <v>69</v>
      </c>
      <c r="J21" s="134" t="s">
        <v>69</v>
      </c>
      <c r="K21" s="134" t="s">
        <v>69</v>
      </c>
      <c r="L21" s="134" t="s">
        <v>69</v>
      </c>
      <c r="M21" s="433" t="s">
        <v>108</v>
      </c>
      <c r="N21" s="239" t="s">
        <v>69</v>
      </c>
      <c r="O21" s="134" t="s">
        <v>69</v>
      </c>
      <c r="P21" s="572" t="s">
        <v>69</v>
      </c>
      <c r="Q21" s="578" t="s">
        <v>69</v>
      </c>
      <c r="R21" s="104" t="s">
        <v>69</v>
      </c>
      <c r="S21" s="104" t="s">
        <v>69</v>
      </c>
      <c r="T21" s="469" t="s">
        <v>108</v>
      </c>
      <c r="U21" s="108" t="s">
        <v>69</v>
      </c>
      <c r="V21" s="171" t="s">
        <v>69</v>
      </c>
      <c r="W21" s="239" t="s">
        <v>69</v>
      </c>
      <c r="X21" s="239" t="s">
        <v>69</v>
      </c>
      <c r="Y21" s="239" t="s">
        <v>69</v>
      </c>
      <c r="Z21" s="134" t="s">
        <v>69</v>
      </c>
      <c r="AA21" s="583" t="s">
        <v>108</v>
      </c>
      <c r="AB21" s="239" t="s">
        <v>69</v>
      </c>
      <c r="AC21" s="406" t="s">
        <v>416</v>
      </c>
      <c r="AD21" s="134" t="s">
        <v>69</v>
      </c>
      <c r="AE21" s="134" t="s">
        <v>69</v>
      </c>
      <c r="AF21" s="134" t="s">
        <v>69</v>
      </c>
      <c r="AG21" s="134" t="s">
        <v>69</v>
      </c>
      <c r="AH21" s="427" t="s">
        <v>108</v>
      </c>
      <c r="AI21" s="120" t="s">
        <v>69</v>
      </c>
      <c r="AJ21" s="120" t="s">
        <v>69</v>
      </c>
      <c r="AK21" s="120" t="s">
        <v>69</v>
      </c>
      <c r="AL21" s="120" t="s">
        <v>69</v>
      </c>
      <c r="AM21" s="134" t="s">
        <v>69</v>
      </c>
      <c r="AN21">
        <f t="shared" si="1"/>
        <v>1</v>
      </c>
      <c r="AO21">
        <f t="shared" si="2"/>
        <v>0</v>
      </c>
      <c r="AP21">
        <f t="shared" si="0"/>
        <v>0</v>
      </c>
    </row>
    <row r="22" spans="1:42" ht="18">
      <c r="A22" s="5">
        <v>21</v>
      </c>
      <c r="B22" s="695" t="s">
        <v>359</v>
      </c>
      <c r="C22" s="254" t="s">
        <v>499</v>
      </c>
      <c r="D22" s="510" t="s">
        <v>412</v>
      </c>
      <c r="E22" s="511" t="s">
        <v>424</v>
      </c>
      <c r="F22" s="512" t="s">
        <v>453</v>
      </c>
      <c r="G22" s="513" t="s">
        <v>289</v>
      </c>
      <c r="H22" s="513" t="s">
        <v>415</v>
      </c>
      <c r="I22" s="239" t="s">
        <v>69</v>
      </c>
      <c r="J22" s="134" t="s">
        <v>69</v>
      </c>
      <c r="K22" s="134" t="s">
        <v>69</v>
      </c>
      <c r="L22" s="134" t="s">
        <v>69</v>
      </c>
      <c r="M22" s="468" t="s">
        <v>108</v>
      </c>
      <c r="N22" s="643" t="s">
        <v>416</v>
      </c>
      <c r="O22" s="645" t="s">
        <v>416</v>
      </c>
      <c r="P22" s="572" t="s">
        <v>69</v>
      </c>
      <c r="Q22" s="140" t="s">
        <v>69</v>
      </c>
      <c r="R22" s="104" t="s">
        <v>69</v>
      </c>
      <c r="S22" s="104" t="s">
        <v>69</v>
      </c>
      <c r="T22" s="648" t="s">
        <v>108</v>
      </c>
      <c r="U22" s="108" t="s">
        <v>69</v>
      </c>
      <c r="V22" s="576" t="s">
        <v>514</v>
      </c>
      <c r="W22" s="239" t="s">
        <v>69</v>
      </c>
      <c r="X22" s="239" t="s">
        <v>69</v>
      </c>
      <c r="Y22" s="239" t="s">
        <v>69</v>
      </c>
      <c r="Z22" s="134" t="s">
        <v>69</v>
      </c>
      <c r="AA22" s="583" t="s">
        <v>108</v>
      </c>
      <c r="AB22" s="239" t="s">
        <v>69</v>
      </c>
      <c r="AC22" s="239" t="s">
        <v>69</v>
      </c>
      <c r="AD22" s="239" t="s">
        <v>69</v>
      </c>
      <c r="AE22" s="239" t="s">
        <v>69</v>
      </c>
      <c r="AF22" s="239" t="s">
        <v>69</v>
      </c>
      <c r="AG22" s="239" t="s">
        <v>69</v>
      </c>
      <c r="AH22" s="329" t="s">
        <v>108</v>
      </c>
      <c r="AI22" s="168" t="s">
        <v>69</v>
      </c>
      <c r="AJ22" s="168" t="s">
        <v>69</v>
      </c>
      <c r="AK22" s="168" t="s">
        <v>69</v>
      </c>
      <c r="AL22" s="168" t="s">
        <v>69</v>
      </c>
      <c r="AM22" s="134" t="s">
        <v>69</v>
      </c>
      <c r="AN22">
        <f t="shared" si="1"/>
        <v>2.5</v>
      </c>
      <c r="AO22">
        <f t="shared" si="2"/>
        <v>0</v>
      </c>
      <c r="AP22">
        <f t="shared" si="0"/>
        <v>1</v>
      </c>
    </row>
    <row r="23" spans="1:42" ht="18">
      <c r="A23" s="5">
        <v>22</v>
      </c>
      <c r="B23" s="695" t="s">
        <v>401</v>
      </c>
      <c r="C23" s="2" t="s">
        <v>500</v>
      </c>
      <c r="D23" s="510" t="s">
        <v>412</v>
      </c>
      <c r="E23" s="530" t="s">
        <v>424</v>
      </c>
      <c r="F23" s="531" t="s">
        <v>454</v>
      </c>
      <c r="G23" s="532" t="s">
        <v>303</v>
      </c>
      <c r="H23" s="513" t="s">
        <v>415</v>
      </c>
      <c r="I23" s="239" t="s">
        <v>69</v>
      </c>
      <c r="J23" s="134" t="s">
        <v>69</v>
      </c>
      <c r="K23" s="134" t="s">
        <v>69</v>
      </c>
      <c r="L23" s="134" t="s">
        <v>69</v>
      </c>
      <c r="M23" s="468" t="s">
        <v>108</v>
      </c>
      <c r="N23" s="575" t="s">
        <v>69</v>
      </c>
      <c r="O23" s="120" t="s">
        <v>69</v>
      </c>
      <c r="P23" s="572" t="s">
        <v>69</v>
      </c>
      <c r="Q23" s="152" t="s">
        <v>416</v>
      </c>
      <c r="R23" s="104" t="s">
        <v>69</v>
      </c>
      <c r="S23" s="104" t="s">
        <v>69</v>
      </c>
      <c r="T23" s="469" t="s">
        <v>108</v>
      </c>
      <c r="U23" s="108" t="s">
        <v>69</v>
      </c>
      <c r="V23" s="171" t="s">
        <v>69</v>
      </c>
      <c r="W23" s="239" t="s">
        <v>69</v>
      </c>
      <c r="X23" s="239" t="s">
        <v>69</v>
      </c>
      <c r="Y23" s="239" t="s">
        <v>69</v>
      </c>
      <c r="Z23" s="134" t="s">
        <v>69</v>
      </c>
      <c r="AA23" s="583" t="s">
        <v>108</v>
      </c>
      <c r="AB23" s="239" t="s">
        <v>69</v>
      </c>
      <c r="AC23" s="239" t="s">
        <v>69</v>
      </c>
      <c r="AD23" s="239" t="s">
        <v>69</v>
      </c>
      <c r="AE23" s="239" t="s">
        <v>69</v>
      </c>
      <c r="AF23" s="239" t="s">
        <v>69</v>
      </c>
      <c r="AG23" s="168" t="s">
        <v>69</v>
      </c>
      <c r="AH23" s="427" t="s">
        <v>108</v>
      </c>
      <c r="AI23" s="120" t="s">
        <v>69</v>
      </c>
      <c r="AJ23" s="120" t="s">
        <v>69</v>
      </c>
      <c r="AK23" s="447" t="s">
        <v>514</v>
      </c>
      <c r="AL23" s="168" t="s">
        <v>69</v>
      </c>
      <c r="AM23" s="121" t="s">
        <v>416</v>
      </c>
      <c r="AN23">
        <f t="shared" si="1"/>
        <v>2.5</v>
      </c>
      <c r="AO23">
        <f t="shared" si="2"/>
        <v>0</v>
      </c>
      <c r="AP23">
        <f t="shared" si="0"/>
        <v>1</v>
      </c>
    </row>
    <row r="24" spans="1:42" ht="18">
      <c r="A24" s="5">
        <v>23</v>
      </c>
      <c r="B24" s="694" t="s">
        <v>324</v>
      </c>
      <c r="C24" s="254" t="s">
        <v>140</v>
      </c>
      <c r="D24" s="510" t="s">
        <v>412</v>
      </c>
      <c r="E24" s="511" t="s">
        <v>456</v>
      </c>
      <c r="F24" s="512" t="s">
        <v>457</v>
      </c>
      <c r="G24" s="513" t="s">
        <v>300</v>
      </c>
      <c r="H24" s="513" t="s">
        <v>415</v>
      </c>
      <c r="I24" s="239" t="s">
        <v>69</v>
      </c>
      <c r="J24" s="134" t="s">
        <v>69</v>
      </c>
      <c r="K24" s="134" t="s">
        <v>69</v>
      </c>
      <c r="L24" s="134" t="s">
        <v>69</v>
      </c>
      <c r="M24" s="433" t="s">
        <v>108</v>
      </c>
      <c r="N24" s="239" t="s">
        <v>69</v>
      </c>
      <c r="O24" s="134" t="s">
        <v>69</v>
      </c>
      <c r="P24" s="134" t="s">
        <v>69</v>
      </c>
      <c r="Q24" s="134" t="s">
        <v>69</v>
      </c>
      <c r="R24" s="104" t="s">
        <v>69</v>
      </c>
      <c r="S24" s="134" t="s">
        <v>69</v>
      </c>
      <c r="T24" s="648" t="s">
        <v>108</v>
      </c>
      <c r="U24" s="108" t="s">
        <v>69</v>
      </c>
      <c r="V24" s="108" t="s">
        <v>69</v>
      </c>
      <c r="W24" s="239" t="s">
        <v>69</v>
      </c>
      <c r="X24" s="239" t="s">
        <v>69</v>
      </c>
      <c r="Y24" s="239" t="s">
        <v>69</v>
      </c>
      <c r="Z24" s="134" t="s">
        <v>69</v>
      </c>
      <c r="AA24" s="583" t="s">
        <v>108</v>
      </c>
      <c r="AB24" s="672" t="s">
        <v>69</v>
      </c>
      <c r="AC24" s="121" t="s">
        <v>416</v>
      </c>
      <c r="AD24" s="672" t="s">
        <v>69</v>
      </c>
      <c r="AE24" s="672" t="s">
        <v>69</v>
      </c>
      <c r="AF24" s="672" t="s">
        <v>69</v>
      </c>
      <c r="AG24" s="134" t="s">
        <v>69</v>
      </c>
      <c r="AH24" s="329" t="s">
        <v>108</v>
      </c>
      <c r="AI24" s="134" t="s">
        <v>69</v>
      </c>
      <c r="AJ24" s="134" t="s">
        <v>69</v>
      </c>
      <c r="AK24" s="134" t="s">
        <v>69</v>
      </c>
      <c r="AL24" s="134" t="s">
        <v>69</v>
      </c>
      <c r="AM24" s="134" t="s">
        <v>69</v>
      </c>
      <c r="AN24">
        <f t="shared" si="1"/>
        <v>1</v>
      </c>
      <c r="AO24">
        <f t="shared" si="2"/>
        <v>0</v>
      </c>
      <c r="AP24">
        <f t="shared" si="0"/>
        <v>0</v>
      </c>
    </row>
    <row r="25" spans="1:42" ht="18">
      <c r="A25" s="5">
        <v>24</v>
      </c>
      <c r="B25" s="694" t="s">
        <v>372</v>
      </c>
      <c r="C25" s="254" t="s">
        <v>222</v>
      </c>
      <c r="D25" s="510" t="s">
        <v>412</v>
      </c>
      <c r="E25" s="511" t="s">
        <v>418</v>
      </c>
      <c r="F25" s="512" t="s">
        <v>458</v>
      </c>
      <c r="G25" s="513" t="s">
        <v>296</v>
      </c>
      <c r="H25" s="513" t="s">
        <v>415</v>
      </c>
      <c r="I25" s="674" t="s">
        <v>69</v>
      </c>
      <c r="J25" s="134" t="s">
        <v>69</v>
      </c>
      <c r="K25" s="134" t="s">
        <v>69</v>
      </c>
      <c r="L25" s="134" t="s">
        <v>69</v>
      </c>
      <c r="M25" s="433" t="s">
        <v>108</v>
      </c>
      <c r="N25" s="140" t="s">
        <v>69</v>
      </c>
      <c r="O25" s="107" t="s">
        <v>69</v>
      </c>
      <c r="P25" s="436" t="s">
        <v>416</v>
      </c>
      <c r="Q25" s="134" t="s">
        <v>69</v>
      </c>
      <c r="R25" s="104" t="s">
        <v>69</v>
      </c>
      <c r="S25" s="134" t="s">
        <v>69</v>
      </c>
      <c r="T25" s="469" t="s">
        <v>108</v>
      </c>
      <c r="U25" s="108" t="s">
        <v>69</v>
      </c>
      <c r="V25" s="108" t="s">
        <v>69</v>
      </c>
      <c r="W25" s="153" t="s">
        <v>416</v>
      </c>
      <c r="X25" s="239" t="s">
        <v>69</v>
      </c>
      <c r="Y25" s="239" t="s">
        <v>69</v>
      </c>
      <c r="Z25" s="239" t="s">
        <v>69</v>
      </c>
      <c r="AA25" s="583" t="s">
        <v>108</v>
      </c>
      <c r="AB25" s="153" t="s">
        <v>416</v>
      </c>
      <c r="AC25" s="134" t="s">
        <v>69</v>
      </c>
      <c r="AD25" s="134" t="s">
        <v>69</v>
      </c>
      <c r="AE25" s="134" t="s">
        <v>69</v>
      </c>
      <c r="AF25" s="134" t="s">
        <v>69</v>
      </c>
      <c r="AG25" s="134" t="s">
        <v>69</v>
      </c>
      <c r="AH25" s="427" t="s">
        <v>108</v>
      </c>
      <c r="AI25" s="134" t="s">
        <v>69</v>
      </c>
      <c r="AJ25" s="134" t="s">
        <v>69</v>
      </c>
      <c r="AK25" s="134" t="s">
        <v>69</v>
      </c>
      <c r="AL25" s="134" t="s">
        <v>69</v>
      </c>
      <c r="AM25" s="134" t="s">
        <v>69</v>
      </c>
      <c r="AN25">
        <f t="shared" si="1"/>
        <v>3</v>
      </c>
      <c r="AO25">
        <f t="shared" si="2"/>
        <v>0</v>
      </c>
      <c r="AP25">
        <f t="shared" si="0"/>
        <v>0</v>
      </c>
    </row>
    <row r="26" spans="1:42" ht="18">
      <c r="A26" s="5">
        <v>25</v>
      </c>
      <c r="B26" s="694" t="s">
        <v>348</v>
      </c>
      <c r="C26" s="254" t="s">
        <v>114</v>
      </c>
      <c r="D26" s="510" t="s">
        <v>412</v>
      </c>
      <c r="E26" s="511" t="s">
        <v>418</v>
      </c>
      <c r="F26" s="512" t="s">
        <v>459</v>
      </c>
      <c r="G26" s="513" t="s">
        <v>301</v>
      </c>
      <c r="H26" s="513" t="s">
        <v>415</v>
      </c>
      <c r="I26" s="674" t="s">
        <v>69</v>
      </c>
      <c r="J26" s="134" t="s">
        <v>69</v>
      </c>
      <c r="K26" s="134" t="s">
        <v>69</v>
      </c>
      <c r="L26" s="134" t="s">
        <v>69</v>
      </c>
      <c r="M26" s="468" t="s">
        <v>108</v>
      </c>
      <c r="N26" s="575" t="s">
        <v>69</v>
      </c>
      <c r="O26" s="637" t="s">
        <v>69</v>
      </c>
      <c r="P26" s="637" t="s">
        <v>69</v>
      </c>
      <c r="Q26" s="637" t="s">
        <v>69</v>
      </c>
      <c r="R26" s="104" t="s">
        <v>69</v>
      </c>
      <c r="S26" s="637" t="s">
        <v>69</v>
      </c>
      <c r="T26" s="648" t="s">
        <v>108</v>
      </c>
      <c r="U26" s="108" t="s">
        <v>69</v>
      </c>
      <c r="V26" s="108" t="s">
        <v>69</v>
      </c>
      <c r="W26" s="239" t="s">
        <v>69</v>
      </c>
      <c r="X26" s="239" t="s">
        <v>69</v>
      </c>
      <c r="Y26" s="239" t="s">
        <v>69</v>
      </c>
      <c r="Z26" s="239" t="s">
        <v>69</v>
      </c>
      <c r="AA26" s="583" t="s">
        <v>108</v>
      </c>
      <c r="AB26" s="239" t="s">
        <v>69</v>
      </c>
      <c r="AC26" s="239" t="s">
        <v>69</v>
      </c>
      <c r="AD26" s="239" t="s">
        <v>69</v>
      </c>
      <c r="AE26" s="239" t="s">
        <v>69</v>
      </c>
      <c r="AF26" s="239" t="s">
        <v>69</v>
      </c>
      <c r="AG26" s="134" t="s">
        <v>69</v>
      </c>
      <c r="AH26" s="329" t="s">
        <v>108</v>
      </c>
      <c r="AI26" s="134" t="s">
        <v>69</v>
      </c>
      <c r="AJ26" s="134" t="s">
        <v>69</v>
      </c>
      <c r="AK26" s="134" t="s">
        <v>69</v>
      </c>
      <c r="AL26" s="134" t="s">
        <v>69</v>
      </c>
      <c r="AM26" s="134" t="s">
        <v>69</v>
      </c>
      <c r="AN26">
        <f t="shared" si="1"/>
        <v>0</v>
      </c>
      <c r="AO26">
        <f t="shared" si="2"/>
        <v>0</v>
      </c>
      <c r="AP26">
        <f t="shared" si="0"/>
        <v>0</v>
      </c>
    </row>
    <row r="27" spans="1:42" ht="18">
      <c r="A27" s="5">
        <v>26</v>
      </c>
      <c r="B27" s="694" t="s">
        <v>385</v>
      </c>
      <c r="C27" s="254" t="s">
        <v>253</v>
      </c>
      <c r="D27" s="510" t="s">
        <v>412</v>
      </c>
      <c r="E27" s="511" t="s">
        <v>460</v>
      </c>
      <c r="F27" s="512" t="s">
        <v>414</v>
      </c>
      <c r="G27" s="513" t="s">
        <v>284</v>
      </c>
      <c r="H27" s="513" t="s">
        <v>415</v>
      </c>
      <c r="I27" s="674" t="s">
        <v>69</v>
      </c>
      <c r="J27" s="134" t="s">
        <v>69</v>
      </c>
      <c r="K27" s="144" t="s">
        <v>416</v>
      </c>
      <c r="L27" s="134" t="s">
        <v>69</v>
      </c>
      <c r="M27" s="468" t="s">
        <v>108</v>
      </c>
      <c r="N27" s="140" t="s">
        <v>69</v>
      </c>
      <c r="O27" s="116" t="s">
        <v>69</v>
      </c>
      <c r="P27" s="572" t="s">
        <v>69</v>
      </c>
      <c r="Q27" s="215" t="s">
        <v>520</v>
      </c>
      <c r="R27" s="104" t="s">
        <v>69</v>
      </c>
      <c r="S27" s="171" t="s">
        <v>69</v>
      </c>
      <c r="T27" s="469" t="s">
        <v>108</v>
      </c>
      <c r="U27" s="108" t="s">
        <v>69</v>
      </c>
      <c r="V27" s="108" t="s">
        <v>69</v>
      </c>
      <c r="W27" s="108" t="s">
        <v>69</v>
      </c>
      <c r="X27" s="239" t="s">
        <v>69</v>
      </c>
      <c r="Y27" s="239" t="s">
        <v>69</v>
      </c>
      <c r="Z27" s="665" t="s">
        <v>416</v>
      </c>
      <c r="AA27" s="583" t="s">
        <v>108</v>
      </c>
      <c r="AB27" s="239" t="s">
        <v>69</v>
      </c>
      <c r="AC27" s="239" t="s">
        <v>69</v>
      </c>
      <c r="AD27" s="239" t="s">
        <v>69</v>
      </c>
      <c r="AE27" s="239" t="s">
        <v>69</v>
      </c>
      <c r="AF27" s="239" t="s">
        <v>69</v>
      </c>
      <c r="AG27" s="132" t="s">
        <v>514</v>
      </c>
      <c r="AH27" s="329" t="s">
        <v>108</v>
      </c>
      <c r="AI27" s="134" t="s">
        <v>69</v>
      </c>
      <c r="AJ27" s="134" t="s">
        <v>69</v>
      </c>
      <c r="AK27" s="121" t="s">
        <v>416</v>
      </c>
      <c r="AL27" s="121" t="s">
        <v>416</v>
      </c>
      <c r="AM27" s="120" t="s">
        <v>69</v>
      </c>
      <c r="AN27">
        <f t="shared" si="1"/>
        <v>4.5</v>
      </c>
      <c r="AO27">
        <f t="shared" si="2"/>
        <v>0</v>
      </c>
      <c r="AP27">
        <f t="shared" si="0"/>
        <v>1</v>
      </c>
    </row>
    <row r="28" spans="1:42" ht="18">
      <c r="A28" s="5">
        <v>27</v>
      </c>
      <c r="B28" s="694" t="s">
        <v>314</v>
      </c>
      <c r="C28" s="254" t="s">
        <v>26</v>
      </c>
      <c r="D28" s="510" t="s">
        <v>412</v>
      </c>
      <c r="E28" s="511" t="s">
        <v>461</v>
      </c>
      <c r="F28" s="512" t="s">
        <v>457</v>
      </c>
      <c r="G28" s="513" t="s">
        <v>300</v>
      </c>
      <c r="H28" s="513" t="s">
        <v>415</v>
      </c>
      <c r="I28" s="674" t="s">
        <v>69</v>
      </c>
      <c r="J28" s="147" t="s">
        <v>267</v>
      </c>
      <c r="K28" s="207" t="s">
        <v>69</v>
      </c>
      <c r="L28" s="147" t="s">
        <v>267</v>
      </c>
      <c r="M28" s="433" t="s">
        <v>108</v>
      </c>
      <c r="N28" s="140" t="s">
        <v>69</v>
      </c>
      <c r="O28" s="157" t="s">
        <v>69</v>
      </c>
      <c r="P28" s="157" t="s">
        <v>69</v>
      </c>
      <c r="Q28" s="157" t="s">
        <v>69</v>
      </c>
      <c r="R28" s="104" t="s">
        <v>69</v>
      </c>
      <c r="S28" s="157" t="s">
        <v>69</v>
      </c>
      <c r="T28" s="648" t="s">
        <v>108</v>
      </c>
      <c r="U28" s="108" t="s">
        <v>69</v>
      </c>
      <c r="V28" s="218" t="s">
        <v>416</v>
      </c>
      <c r="W28" s="218" t="s">
        <v>416</v>
      </c>
      <c r="X28" s="576" t="s">
        <v>514</v>
      </c>
      <c r="Y28" s="576" t="s">
        <v>514</v>
      </c>
      <c r="Z28" s="134" t="s">
        <v>69</v>
      </c>
      <c r="AA28" s="583" t="s">
        <v>108</v>
      </c>
      <c r="AB28" s="215" t="s">
        <v>514</v>
      </c>
      <c r="AC28" s="134" t="s">
        <v>69</v>
      </c>
      <c r="AD28" s="132" t="s">
        <v>514</v>
      </c>
      <c r="AE28" s="132" t="s">
        <v>514</v>
      </c>
      <c r="AF28" s="132" t="s">
        <v>514</v>
      </c>
      <c r="AG28" s="134" t="s">
        <v>69</v>
      </c>
      <c r="AH28" s="427" t="s">
        <v>108</v>
      </c>
      <c r="AI28" s="134" t="s">
        <v>69</v>
      </c>
      <c r="AJ28" s="168" t="s">
        <v>69</v>
      </c>
      <c r="AK28" s="134" t="s">
        <v>69</v>
      </c>
      <c r="AL28" s="132" t="s">
        <v>514</v>
      </c>
      <c r="AM28" s="132" t="s">
        <v>514</v>
      </c>
      <c r="AN28">
        <f t="shared" si="1"/>
        <v>6</v>
      </c>
      <c r="AO28">
        <f t="shared" si="2"/>
        <v>0</v>
      </c>
      <c r="AP28">
        <f t="shared" si="0"/>
        <v>8</v>
      </c>
    </row>
    <row r="29" spans="1:42" ht="18">
      <c r="A29" s="5">
        <v>28</v>
      </c>
      <c r="B29" s="694" t="s">
        <v>331</v>
      </c>
      <c r="C29" s="254" t="s">
        <v>27</v>
      </c>
      <c r="D29" s="510" t="s">
        <v>412</v>
      </c>
      <c r="E29" s="511" t="s">
        <v>462</v>
      </c>
      <c r="F29" s="512" t="s">
        <v>457</v>
      </c>
      <c r="G29" s="513" t="s">
        <v>300</v>
      </c>
      <c r="H29" s="513" t="s">
        <v>415</v>
      </c>
      <c r="I29" s="674" t="s">
        <v>69</v>
      </c>
      <c r="J29" s="672" t="s">
        <v>69</v>
      </c>
      <c r="K29" s="219" t="s">
        <v>514</v>
      </c>
      <c r="L29" s="134" t="s">
        <v>69</v>
      </c>
      <c r="M29" s="433" t="s">
        <v>108</v>
      </c>
      <c r="N29" s="140" t="s">
        <v>69</v>
      </c>
      <c r="O29" s="157" t="s">
        <v>69</v>
      </c>
      <c r="P29" s="436" t="s">
        <v>416</v>
      </c>
      <c r="Q29" s="157" t="s">
        <v>69</v>
      </c>
      <c r="R29" s="104" t="s">
        <v>69</v>
      </c>
      <c r="S29" s="157" t="s">
        <v>69</v>
      </c>
      <c r="T29" s="469" t="s">
        <v>108</v>
      </c>
      <c r="U29" s="108" t="s">
        <v>69</v>
      </c>
      <c r="V29" s="108" t="s">
        <v>69</v>
      </c>
      <c r="W29" s="141" t="s">
        <v>69</v>
      </c>
      <c r="X29" s="141" t="s">
        <v>69</v>
      </c>
      <c r="Y29" s="218" t="s">
        <v>416</v>
      </c>
      <c r="Z29" s="218" t="s">
        <v>416</v>
      </c>
      <c r="AA29" s="583" t="s">
        <v>108</v>
      </c>
      <c r="AB29" s="215" t="s">
        <v>514</v>
      </c>
      <c r="AC29" s="134" t="s">
        <v>69</v>
      </c>
      <c r="AD29" s="121" t="s">
        <v>416</v>
      </c>
      <c r="AE29" s="132" t="s">
        <v>514</v>
      </c>
      <c r="AF29" s="121" t="s">
        <v>416</v>
      </c>
      <c r="AG29" s="672" t="s">
        <v>69</v>
      </c>
      <c r="AH29" s="329" t="s">
        <v>108</v>
      </c>
      <c r="AI29" s="672" t="s">
        <v>69</v>
      </c>
      <c r="AJ29" s="672" t="s">
        <v>69</v>
      </c>
      <c r="AK29" s="672" t="s">
        <v>69</v>
      </c>
      <c r="AL29" s="672" t="s">
        <v>69</v>
      </c>
      <c r="AM29" s="121" t="s">
        <v>416</v>
      </c>
      <c r="AN29">
        <f t="shared" si="1"/>
        <v>7.5</v>
      </c>
      <c r="AO29">
        <f t="shared" si="2"/>
        <v>0</v>
      </c>
      <c r="AP29">
        <f t="shared" si="0"/>
        <v>3</v>
      </c>
    </row>
    <row r="30" spans="1:42" ht="18">
      <c r="A30" s="5">
        <v>29</v>
      </c>
      <c r="B30" s="694" t="s">
        <v>330</v>
      </c>
      <c r="C30" s="254" t="s">
        <v>28</v>
      </c>
      <c r="D30" s="510" t="s">
        <v>412</v>
      </c>
      <c r="E30" s="511" t="s">
        <v>443</v>
      </c>
      <c r="F30" s="512" t="s">
        <v>421</v>
      </c>
      <c r="G30" s="513" t="s">
        <v>286</v>
      </c>
      <c r="H30" s="513" t="s">
        <v>415</v>
      </c>
      <c r="I30" s="215" t="s">
        <v>514</v>
      </c>
      <c r="J30" s="147" t="s">
        <v>267</v>
      </c>
      <c r="K30" s="207" t="s">
        <v>69</v>
      </c>
      <c r="L30" s="673" t="s">
        <v>69</v>
      </c>
      <c r="M30" s="468" t="s">
        <v>108</v>
      </c>
      <c r="N30" s="140" t="s">
        <v>69</v>
      </c>
      <c r="O30" s="637" t="s">
        <v>69</v>
      </c>
      <c r="P30" s="637" t="s">
        <v>69</v>
      </c>
      <c r="Q30" s="637" t="s">
        <v>69</v>
      </c>
      <c r="R30" s="104" t="s">
        <v>69</v>
      </c>
      <c r="S30" s="637" t="s">
        <v>69</v>
      </c>
      <c r="T30" s="648" t="s">
        <v>108</v>
      </c>
      <c r="U30" s="108" t="s">
        <v>69</v>
      </c>
      <c r="V30" s="108" t="s">
        <v>69</v>
      </c>
      <c r="W30" s="108" t="s">
        <v>69</v>
      </c>
      <c r="X30" s="218" t="s">
        <v>111</v>
      </c>
      <c r="Y30" s="141" t="s">
        <v>69</v>
      </c>
      <c r="Z30" s="141" t="s">
        <v>69</v>
      </c>
      <c r="AA30" s="583" t="s">
        <v>108</v>
      </c>
      <c r="AB30" s="168" t="s">
        <v>69</v>
      </c>
      <c r="AC30" s="132" t="s">
        <v>521</v>
      </c>
      <c r="AD30" s="134" t="s">
        <v>69</v>
      </c>
      <c r="AE30" s="134" t="s">
        <v>69</v>
      </c>
      <c r="AF30" s="147" t="s">
        <v>92</v>
      </c>
      <c r="AG30" s="134" t="s">
        <v>69</v>
      </c>
      <c r="AH30" s="427" t="s">
        <v>108</v>
      </c>
      <c r="AI30" s="134" t="s">
        <v>69</v>
      </c>
      <c r="AJ30" s="134" t="s">
        <v>69</v>
      </c>
      <c r="AK30" s="134" t="s">
        <v>69</v>
      </c>
      <c r="AL30" s="134" t="s">
        <v>69</v>
      </c>
      <c r="AM30" s="672" t="s">
        <v>69</v>
      </c>
      <c r="AN30">
        <f t="shared" si="1"/>
        <v>0.5</v>
      </c>
      <c r="AO30">
        <f t="shared" si="2"/>
        <v>0</v>
      </c>
      <c r="AP30">
        <f t="shared" si="0"/>
        <v>0</v>
      </c>
    </row>
    <row r="31" spans="1:42" ht="18">
      <c r="A31" s="5">
        <v>30</v>
      </c>
      <c r="B31" s="694" t="s">
        <v>332</v>
      </c>
      <c r="C31" s="254" t="s">
        <v>29</v>
      </c>
      <c r="D31" s="510" t="s">
        <v>412</v>
      </c>
      <c r="E31" s="511" t="s">
        <v>413</v>
      </c>
      <c r="F31" s="512" t="s">
        <v>463</v>
      </c>
      <c r="G31" s="513" t="s">
        <v>303</v>
      </c>
      <c r="H31" s="513" t="s">
        <v>415</v>
      </c>
      <c r="I31" s="215" t="s">
        <v>514</v>
      </c>
      <c r="J31" s="134" t="s">
        <v>69</v>
      </c>
      <c r="K31" s="134" t="s">
        <v>69</v>
      </c>
      <c r="L31" s="134" t="s">
        <v>69</v>
      </c>
      <c r="M31" s="468" t="s">
        <v>108</v>
      </c>
      <c r="N31" s="140" t="s">
        <v>69</v>
      </c>
      <c r="O31" s="646" t="s">
        <v>69</v>
      </c>
      <c r="P31" s="646" t="s">
        <v>69</v>
      </c>
      <c r="Q31" s="646" t="s">
        <v>69</v>
      </c>
      <c r="R31" s="104" t="s">
        <v>69</v>
      </c>
      <c r="S31" s="646" t="s">
        <v>69</v>
      </c>
      <c r="T31" s="469" t="s">
        <v>108</v>
      </c>
      <c r="U31" s="108" t="s">
        <v>69</v>
      </c>
      <c r="V31" s="171" t="s">
        <v>69</v>
      </c>
      <c r="W31" s="141" t="s">
        <v>69</v>
      </c>
      <c r="X31" s="141" t="s">
        <v>69</v>
      </c>
      <c r="Y31" s="141" t="s">
        <v>69</v>
      </c>
      <c r="Z31" s="141" t="s">
        <v>69</v>
      </c>
      <c r="AA31" s="583" t="s">
        <v>108</v>
      </c>
      <c r="AB31" s="168" t="s">
        <v>69</v>
      </c>
      <c r="AC31" s="168" t="s">
        <v>69</v>
      </c>
      <c r="AD31" s="168" t="s">
        <v>69</v>
      </c>
      <c r="AE31" s="168" t="s">
        <v>69</v>
      </c>
      <c r="AF31" s="168" t="s">
        <v>69</v>
      </c>
      <c r="AG31" s="120" t="s">
        <v>69</v>
      </c>
      <c r="AH31" s="329" t="s">
        <v>108</v>
      </c>
      <c r="AI31" s="120" t="s">
        <v>69</v>
      </c>
      <c r="AJ31" s="168" t="s">
        <v>69</v>
      </c>
      <c r="AK31" s="672" t="s">
        <v>69</v>
      </c>
      <c r="AL31" s="672" t="s">
        <v>69</v>
      </c>
      <c r="AM31" s="672" t="s">
        <v>69</v>
      </c>
      <c r="AN31">
        <f t="shared" si="1"/>
        <v>0.5</v>
      </c>
      <c r="AO31">
        <f t="shared" si="2"/>
        <v>0</v>
      </c>
      <c r="AP31">
        <f t="shared" si="0"/>
        <v>0</v>
      </c>
    </row>
    <row r="32" spans="1:42" ht="18">
      <c r="A32" s="5">
        <v>31</v>
      </c>
      <c r="B32" s="694" t="s">
        <v>355</v>
      </c>
      <c r="C32" s="254" t="s">
        <v>181</v>
      </c>
      <c r="D32" s="510" t="s">
        <v>412</v>
      </c>
      <c r="E32" s="511" t="s">
        <v>443</v>
      </c>
      <c r="F32" s="512" t="s">
        <v>464</v>
      </c>
      <c r="G32" s="513" t="s">
        <v>293</v>
      </c>
      <c r="H32" s="513" t="s">
        <v>415</v>
      </c>
      <c r="I32" s="674" t="s">
        <v>69</v>
      </c>
      <c r="J32" s="672" t="s">
        <v>69</v>
      </c>
      <c r="K32" s="672" t="s">
        <v>69</v>
      </c>
      <c r="L32" s="672" t="s">
        <v>69</v>
      </c>
      <c r="M32" s="433" t="s">
        <v>108</v>
      </c>
      <c r="N32" s="140" t="s">
        <v>69</v>
      </c>
      <c r="O32" s="120" t="s">
        <v>69</v>
      </c>
      <c r="P32" s="120" t="s">
        <v>69</v>
      </c>
      <c r="Q32" s="120" t="s">
        <v>69</v>
      </c>
      <c r="R32" s="104" t="s">
        <v>69</v>
      </c>
      <c r="S32" s="157" t="s">
        <v>69</v>
      </c>
      <c r="T32" s="648" t="s">
        <v>108</v>
      </c>
      <c r="U32" s="108" t="s">
        <v>69</v>
      </c>
      <c r="V32" s="108" t="s">
        <v>69</v>
      </c>
      <c r="W32" s="141" t="s">
        <v>69</v>
      </c>
      <c r="X32" s="171" t="s">
        <v>69</v>
      </c>
      <c r="Y32" s="141" t="s">
        <v>69</v>
      </c>
      <c r="Z32" s="141" t="s">
        <v>69</v>
      </c>
      <c r="AA32" s="583" t="s">
        <v>108</v>
      </c>
      <c r="AB32" s="141" t="s">
        <v>69</v>
      </c>
      <c r="AC32" s="427" t="s">
        <v>69</v>
      </c>
      <c r="AD32" s="672" t="s">
        <v>69</v>
      </c>
      <c r="AE32" s="672" t="s">
        <v>69</v>
      </c>
      <c r="AF32" s="672" t="s">
        <v>69</v>
      </c>
      <c r="AG32" s="672" t="s">
        <v>69</v>
      </c>
      <c r="AH32" s="427" t="s">
        <v>108</v>
      </c>
      <c r="AI32" s="120" t="s">
        <v>69</v>
      </c>
      <c r="AJ32" s="447" t="s">
        <v>514</v>
      </c>
      <c r="AK32" s="447" t="s">
        <v>514</v>
      </c>
      <c r="AL32" s="120" t="s">
        <v>69</v>
      </c>
      <c r="AM32" s="672" t="s">
        <v>69</v>
      </c>
      <c r="AN32">
        <f t="shared" si="1"/>
        <v>1</v>
      </c>
      <c r="AO32">
        <f t="shared" si="2"/>
        <v>0</v>
      </c>
      <c r="AP32">
        <f t="shared" si="0"/>
        <v>2</v>
      </c>
    </row>
    <row r="33" spans="1:42" ht="18">
      <c r="A33" s="5">
        <v>32</v>
      </c>
      <c r="B33" s="694" t="s">
        <v>315</v>
      </c>
      <c r="C33" s="254" t="s">
        <v>30</v>
      </c>
      <c r="D33" s="510" t="s">
        <v>412</v>
      </c>
      <c r="E33" s="511" t="s">
        <v>443</v>
      </c>
      <c r="F33" s="512" t="s">
        <v>459</v>
      </c>
      <c r="G33" s="513" t="s">
        <v>301</v>
      </c>
      <c r="H33" s="513" t="s">
        <v>415</v>
      </c>
      <c r="I33" s="674" t="s">
        <v>69</v>
      </c>
      <c r="J33" s="672" t="s">
        <v>69</v>
      </c>
      <c r="K33" s="672" t="s">
        <v>69</v>
      </c>
      <c r="L33" s="672" t="s">
        <v>69</v>
      </c>
      <c r="M33" s="433" t="s">
        <v>108</v>
      </c>
      <c r="N33" s="140" t="s">
        <v>69</v>
      </c>
      <c r="O33" s="647" t="s">
        <v>416</v>
      </c>
      <c r="P33" s="673" t="s">
        <v>69</v>
      </c>
      <c r="Q33" s="477" t="s">
        <v>69</v>
      </c>
      <c r="R33" s="104" t="s">
        <v>69</v>
      </c>
      <c r="S33" s="104" t="s">
        <v>69</v>
      </c>
      <c r="T33" s="469" t="s">
        <v>108</v>
      </c>
      <c r="U33" s="104" t="s">
        <v>69</v>
      </c>
      <c r="V33" s="104" t="s">
        <v>69</v>
      </c>
      <c r="W33" s="141" t="s">
        <v>69</v>
      </c>
      <c r="X33" s="141" t="s">
        <v>69</v>
      </c>
      <c r="Y33" s="141" t="s">
        <v>69</v>
      </c>
      <c r="Z33" s="141" t="s">
        <v>69</v>
      </c>
      <c r="AA33" s="583" t="s">
        <v>108</v>
      </c>
      <c r="AB33" s="141" t="s">
        <v>69</v>
      </c>
      <c r="AC33" s="427" t="s">
        <v>69</v>
      </c>
      <c r="AD33" s="120" t="s">
        <v>69</v>
      </c>
      <c r="AE33" s="120" t="s">
        <v>69</v>
      </c>
      <c r="AF33" s="120" t="s">
        <v>69</v>
      </c>
      <c r="AG33" s="672" t="s">
        <v>69</v>
      </c>
      <c r="AH33" s="329" t="s">
        <v>108</v>
      </c>
      <c r="AI33" s="672" t="s">
        <v>69</v>
      </c>
      <c r="AJ33" s="168" t="s">
        <v>69</v>
      </c>
      <c r="AK33" s="134" t="s">
        <v>69</v>
      </c>
      <c r="AL33" s="134" t="s">
        <v>69</v>
      </c>
      <c r="AM33" s="672" t="s">
        <v>69</v>
      </c>
      <c r="AN33">
        <f t="shared" si="1"/>
        <v>1</v>
      </c>
      <c r="AO33">
        <f t="shared" si="2"/>
        <v>0</v>
      </c>
      <c r="AP33">
        <f t="shared" si="0"/>
        <v>0</v>
      </c>
    </row>
    <row r="34" spans="1:42" ht="18">
      <c r="A34" s="5">
        <v>33</v>
      </c>
      <c r="B34" s="694" t="s">
        <v>340</v>
      </c>
      <c r="C34" s="254" t="s">
        <v>31</v>
      </c>
      <c r="D34" s="510" t="s">
        <v>412</v>
      </c>
      <c r="E34" s="511" t="s">
        <v>461</v>
      </c>
      <c r="F34" s="512" t="s">
        <v>441</v>
      </c>
      <c r="G34" s="513" t="s">
        <v>292</v>
      </c>
      <c r="H34" s="513" t="s">
        <v>415</v>
      </c>
      <c r="I34" s="674" t="s">
        <v>69</v>
      </c>
      <c r="J34" s="672" t="s">
        <v>69</v>
      </c>
      <c r="K34" s="672" t="s">
        <v>69</v>
      </c>
      <c r="L34" s="672" t="s">
        <v>69</v>
      </c>
      <c r="M34" s="468" t="s">
        <v>108</v>
      </c>
      <c r="N34" s="140" t="s">
        <v>69</v>
      </c>
      <c r="O34" s="140" t="s">
        <v>69</v>
      </c>
      <c r="P34" s="140" t="s">
        <v>69</v>
      </c>
      <c r="Q34" s="477" t="s">
        <v>69</v>
      </c>
      <c r="R34" s="104" t="s">
        <v>69</v>
      </c>
      <c r="S34" s="108" t="s">
        <v>69</v>
      </c>
      <c r="T34" s="648" t="s">
        <v>108</v>
      </c>
      <c r="U34" s="104" t="s">
        <v>69</v>
      </c>
      <c r="V34" s="104" t="s">
        <v>69</v>
      </c>
      <c r="W34" s="168" t="s">
        <v>69</v>
      </c>
      <c r="X34" s="131" t="s">
        <v>416</v>
      </c>
      <c r="Y34" s="141" t="s">
        <v>69</v>
      </c>
      <c r="Z34" s="141" t="s">
        <v>69</v>
      </c>
      <c r="AA34" s="583" t="s">
        <v>108</v>
      </c>
      <c r="AB34" s="141" t="s">
        <v>69</v>
      </c>
      <c r="AC34" s="141" t="s">
        <v>69</v>
      </c>
      <c r="AD34" s="141" t="s">
        <v>69</v>
      </c>
      <c r="AE34" s="141" t="s">
        <v>69</v>
      </c>
      <c r="AF34" s="141" t="s">
        <v>69</v>
      </c>
      <c r="AG34" s="134" t="s">
        <v>69</v>
      </c>
      <c r="AH34" s="427" t="s">
        <v>108</v>
      </c>
      <c r="AI34" s="134" t="s">
        <v>69</v>
      </c>
      <c r="AJ34" s="134" t="s">
        <v>69</v>
      </c>
      <c r="AK34" s="121" t="s">
        <v>416</v>
      </c>
      <c r="AL34" s="672" t="s">
        <v>69</v>
      </c>
      <c r="AM34" s="672" t="s">
        <v>69</v>
      </c>
      <c r="AN34">
        <f t="shared" si="1"/>
        <v>2</v>
      </c>
      <c r="AO34">
        <f t="shared" si="2"/>
        <v>0</v>
      </c>
      <c r="AP34">
        <f t="shared" si="0"/>
        <v>0</v>
      </c>
    </row>
    <row r="35" spans="1:42" ht="18">
      <c r="A35" s="5">
        <v>34</v>
      </c>
      <c r="B35" s="695" t="s">
        <v>350</v>
      </c>
      <c r="C35" s="254" t="s">
        <v>502</v>
      </c>
      <c r="D35" s="510" t="s">
        <v>412</v>
      </c>
      <c r="E35" s="511" t="s">
        <v>462</v>
      </c>
      <c r="F35" s="512" t="s">
        <v>441</v>
      </c>
      <c r="G35" s="513" t="s">
        <v>292</v>
      </c>
      <c r="H35" s="513" t="s">
        <v>415</v>
      </c>
      <c r="I35" s="153" t="s">
        <v>416</v>
      </c>
      <c r="J35" s="672" t="s">
        <v>69</v>
      </c>
      <c r="K35" s="672" t="s">
        <v>69</v>
      </c>
      <c r="L35" s="120" t="s">
        <v>69</v>
      </c>
      <c r="M35" s="468" t="s">
        <v>108</v>
      </c>
      <c r="N35" s="140" t="s">
        <v>69</v>
      </c>
      <c r="O35" s="140" t="s">
        <v>69</v>
      </c>
      <c r="P35" s="148" t="s">
        <v>69</v>
      </c>
      <c r="Q35" s="574" t="s">
        <v>69</v>
      </c>
      <c r="R35" s="104" t="s">
        <v>69</v>
      </c>
      <c r="S35" s="108" t="s">
        <v>69</v>
      </c>
      <c r="T35" s="469" t="s">
        <v>108</v>
      </c>
      <c r="U35" s="68" t="s">
        <v>92</v>
      </c>
      <c r="V35" s="104" t="s">
        <v>69</v>
      </c>
      <c r="W35" s="134" t="s">
        <v>69</v>
      </c>
      <c r="X35" s="121" t="s">
        <v>416</v>
      </c>
      <c r="Y35" s="121" t="s">
        <v>416</v>
      </c>
      <c r="Z35" s="121" t="s">
        <v>416</v>
      </c>
      <c r="AA35" s="583" t="s">
        <v>108</v>
      </c>
      <c r="AB35" s="134" t="s">
        <v>69</v>
      </c>
      <c r="AC35" s="134" t="s">
        <v>69</v>
      </c>
      <c r="AD35" s="134" t="s">
        <v>69</v>
      </c>
      <c r="AE35" s="134" t="s">
        <v>69</v>
      </c>
      <c r="AF35" s="134" t="s">
        <v>69</v>
      </c>
      <c r="AG35" s="134" t="s">
        <v>69</v>
      </c>
      <c r="AH35" s="329" t="s">
        <v>108</v>
      </c>
      <c r="AI35" s="134" t="s">
        <v>69</v>
      </c>
      <c r="AJ35" s="134" t="s">
        <v>69</v>
      </c>
      <c r="AK35" s="121" t="s">
        <v>416</v>
      </c>
      <c r="AL35" s="672" t="s">
        <v>69</v>
      </c>
      <c r="AM35" s="120" t="s">
        <v>69</v>
      </c>
      <c r="AN35">
        <f t="shared" si="1"/>
        <v>5</v>
      </c>
      <c r="AO35">
        <f t="shared" si="2"/>
        <v>0</v>
      </c>
      <c r="AP35">
        <f t="shared" si="0"/>
        <v>0</v>
      </c>
    </row>
    <row r="36" spans="1:42" ht="18">
      <c r="A36" s="5">
        <v>35</v>
      </c>
      <c r="B36" s="694" t="s">
        <v>342</v>
      </c>
      <c r="C36" s="254" t="s">
        <v>33</v>
      </c>
      <c r="D36" s="510" t="s">
        <v>412</v>
      </c>
      <c r="E36" s="511" t="s">
        <v>413</v>
      </c>
      <c r="F36" s="512" t="s">
        <v>465</v>
      </c>
      <c r="G36" s="513" t="s">
        <v>300</v>
      </c>
      <c r="H36" s="513" t="s">
        <v>415</v>
      </c>
      <c r="I36" s="215" t="s">
        <v>514</v>
      </c>
      <c r="J36" s="672" t="s">
        <v>69</v>
      </c>
      <c r="K36" s="672" t="s">
        <v>69</v>
      </c>
      <c r="L36" s="120" t="s">
        <v>69</v>
      </c>
      <c r="M36" s="433" t="s">
        <v>108</v>
      </c>
      <c r="N36" s="140" t="s">
        <v>69</v>
      </c>
      <c r="O36" s="140" t="s">
        <v>69</v>
      </c>
      <c r="P36" s="140" t="s">
        <v>69</v>
      </c>
      <c r="Q36" s="104" t="s">
        <v>69</v>
      </c>
      <c r="R36" s="104" t="s">
        <v>69</v>
      </c>
      <c r="S36" s="656" t="s">
        <v>69</v>
      </c>
      <c r="T36" s="648" t="s">
        <v>108</v>
      </c>
      <c r="U36" s="61" t="s">
        <v>514</v>
      </c>
      <c r="V36" s="104" t="s">
        <v>69</v>
      </c>
      <c r="W36" s="134" t="s">
        <v>69</v>
      </c>
      <c r="X36" s="134" t="s">
        <v>69</v>
      </c>
      <c r="Y36" s="134" t="s">
        <v>69</v>
      </c>
      <c r="Z36" s="134" t="s">
        <v>69</v>
      </c>
      <c r="AA36" s="583" t="s">
        <v>108</v>
      </c>
      <c r="AB36" s="134" t="s">
        <v>69</v>
      </c>
      <c r="AC36" s="134" t="s">
        <v>69</v>
      </c>
      <c r="AD36" s="134" t="s">
        <v>69</v>
      </c>
      <c r="AE36" s="134" t="s">
        <v>69</v>
      </c>
      <c r="AF36" s="134" t="s">
        <v>69</v>
      </c>
      <c r="AG36" s="121" t="s">
        <v>416</v>
      </c>
      <c r="AH36" s="427" t="s">
        <v>108</v>
      </c>
      <c r="AI36" s="134" t="s">
        <v>69</v>
      </c>
      <c r="AJ36" s="134" t="s">
        <v>69</v>
      </c>
      <c r="AK36" s="134" t="s">
        <v>69</v>
      </c>
      <c r="AL36" s="132" t="s">
        <v>514</v>
      </c>
      <c r="AM36" s="134" t="s">
        <v>69</v>
      </c>
      <c r="AN36">
        <f t="shared" si="1"/>
        <v>2.5</v>
      </c>
      <c r="AO36">
        <f t="shared" si="2"/>
        <v>0</v>
      </c>
      <c r="AP36">
        <f t="shared" si="0"/>
        <v>2</v>
      </c>
    </row>
    <row r="37" spans="1:42" ht="18">
      <c r="A37" s="5">
        <v>36</v>
      </c>
      <c r="B37" s="694" t="s">
        <v>391</v>
      </c>
      <c r="C37" s="254" t="s">
        <v>271</v>
      </c>
      <c r="D37" s="510" t="s">
        <v>412</v>
      </c>
      <c r="E37" s="511" t="s">
        <v>462</v>
      </c>
      <c r="F37" s="512" t="s">
        <v>444</v>
      </c>
      <c r="G37" s="513" t="s">
        <v>295</v>
      </c>
      <c r="H37" s="513" t="s">
        <v>415</v>
      </c>
      <c r="I37" s="239" t="s">
        <v>69</v>
      </c>
      <c r="J37" s="134" t="s">
        <v>69</v>
      </c>
      <c r="K37" s="134" t="s">
        <v>69</v>
      </c>
      <c r="L37" s="134" t="s">
        <v>69</v>
      </c>
      <c r="M37" s="433" t="s">
        <v>108</v>
      </c>
      <c r="N37" s="140" t="s">
        <v>69</v>
      </c>
      <c r="O37" s="140" t="s">
        <v>69</v>
      </c>
      <c r="P37" s="575" t="s">
        <v>69</v>
      </c>
      <c r="Q37" s="655" t="s">
        <v>69</v>
      </c>
      <c r="R37" s="104" t="s">
        <v>69</v>
      </c>
      <c r="S37" s="104" t="s">
        <v>69</v>
      </c>
      <c r="T37" s="469" t="s">
        <v>108</v>
      </c>
      <c r="U37" s="496" t="s">
        <v>416</v>
      </c>
      <c r="V37" s="496" t="s">
        <v>416</v>
      </c>
      <c r="W37" s="496" t="s">
        <v>416</v>
      </c>
      <c r="X37" s="496" t="s">
        <v>416</v>
      </c>
      <c r="Y37" s="496" t="s">
        <v>416</v>
      </c>
      <c r="Z37" s="134" t="s">
        <v>69</v>
      </c>
      <c r="AA37" s="583" t="s">
        <v>108</v>
      </c>
      <c r="AB37" s="134" t="s">
        <v>69</v>
      </c>
      <c r="AC37" s="134" t="s">
        <v>69</v>
      </c>
      <c r="AD37" s="134" t="s">
        <v>69</v>
      </c>
      <c r="AE37" s="134" t="s">
        <v>69</v>
      </c>
      <c r="AF37" s="134" t="s">
        <v>69</v>
      </c>
      <c r="AG37" s="120" t="s">
        <v>69</v>
      </c>
      <c r="AH37" s="329" t="s">
        <v>108</v>
      </c>
      <c r="AI37" s="120" t="s">
        <v>69</v>
      </c>
      <c r="AJ37" s="120" t="s">
        <v>69</v>
      </c>
      <c r="AK37" s="120" t="s">
        <v>69</v>
      </c>
      <c r="AL37" s="120" t="s">
        <v>69</v>
      </c>
      <c r="AM37" s="131" t="s">
        <v>416</v>
      </c>
      <c r="AN37">
        <f t="shared" si="1"/>
        <v>6</v>
      </c>
      <c r="AO37">
        <f t="shared" si="2"/>
        <v>0</v>
      </c>
      <c r="AP37">
        <f t="shared" si="0"/>
        <v>0</v>
      </c>
    </row>
    <row r="38" spans="1:42" ht="18">
      <c r="A38" s="5">
        <v>37</v>
      </c>
      <c r="B38" s="695" t="s">
        <v>503</v>
      </c>
      <c r="C38" s="254" t="s">
        <v>504</v>
      </c>
      <c r="D38" s="510"/>
      <c r="E38" s="511"/>
      <c r="F38" s="512"/>
      <c r="G38" s="513"/>
      <c r="H38" s="513"/>
      <c r="I38" s="159" t="s">
        <v>267</v>
      </c>
      <c r="J38" s="134" t="s">
        <v>69</v>
      </c>
      <c r="K38" s="134" t="s">
        <v>69</v>
      </c>
      <c r="L38" s="134" t="s">
        <v>69</v>
      </c>
      <c r="M38" s="468" t="s">
        <v>108</v>
      </c>
      <c r="N38" s="140" t="s">
        <v>69</v>
      </c>
      <c r="O38" s="140" t="s">
        <v>69</v>
      </c>
      <c r="P38" s="148" t="s">
        <v>69</v>
      </c>
      <c r="Q38" s="239" t="s">
        <v>69</v>
      </c>
      <c r="R38" s="104" t="s">
        <v>69</v>
      </c>
      <c r="S38" s="200" t="s">
        <v>69</v>
      </c>
      <c r="T38" s="654" t="s">
        <v>108</v>
      </c>
      <c r="U38" s="134" t="s">
        <v>69</v>
      </c>
      <c r="V38" s="134" t="s">
        <v>69</v>
      </c>
      <c r="W38" s="239" t="s">
        <v>69</v>
      </c>
      <c r="X38" s="239" t="s">
        <v>69</v>
      </c>
      <c r="Y38" s="239" t="s">
        <v>69</v>
      </c>
      <c r="Z38" s="239" t="s">
        <v>69</v>
      </c>
      <c r="AA38" s="583" t="s">
        <v>108</v>
      </c>
      <c r="AB38" s="239" t="s">
        <v>69</v>
      </c>
      <c r="AC38" s="239" t="s">
        <v>69</v>
      </c>
      <c r="AD38" s="239" t="s">
        <v>69</v>
      </c>
      <c r="AE38" s="239" t="s">
        <v>69</v>
      </c>
      <c r="AF38" s="239" t="s">
        <v>69</v>
      </c>
      <c r="AG38" s="134" t="s">
        <v>69</v>
      </c>
      <c r="AH38" s="427" t="s">
        <v>108</v>
      </c>
      <c r="AI38" s="120" t="s">
        <v>69</v>
      </c>
      <c r="AJ38" s="120" t="s">
        <v>69</v>
      </c>
      <c r="AK38" s="120" t="s">
        <v>69</v>
      </c>
      <c r="AL38" s="120" t="s">
        <v>69</v>
      </c>
      <c r="AM38" s="120" t="s">
        <v>69</v>
      </c>
      <c r="AN38">
        <f t="shared" si="1"/>
        <v>0</v>
      </c>
      <c r="AO38">
        <f t="shared" si="2"/>
        <v>0</v>
      </c>
      <c r="AP38">
        <f t="shared" si="0"/>
        <v>0</v>
      </c>
    </row>
    <row r="39" spans="1:42" ht="18">
      <c r="A39" s="5">
        <v>38</v>
      </c>
      <c r="B39" s="694" t="s">
        <v>343</v>
      </c>
      <c r="C39" s="254" t="s">
        <v>35</v>
      </c>
      <c r="D39" s="510" t="s">
        <v>412</v>
      </c>
      <c r="E39" s="511" t="s">
        <v>466</v>
      </c>
      <c r="F39" s="512" t="s">
        <v>463</v>
      </c>
      <c r="G39" s="513" t="s">
        <v>303</v>
      </c>
      <c r="H39" s="513" t="s">
        <v>415</v>
      </c>
      <c r="I39" s="239" t="s">
        <v>69</v>
      </c>
      <c r="J39" s="134" t="s">
        <v>69</v>
      </c>
      <c r="K39" s="134" t="s">
        <v>69</v>
      </c>
      <c r="L39" s="134" t="s">
        <v>69</v>
      </c>
      <c r="M39" s="468" t="s">
        <v>108</v>
      </c>
      <c r="N39" s="140" t="s">
        <v>69</v>
      </c>
      <c r="O39" s="140" t="s">
        <v>69</v>
      </c>
      <c r="P39" s="157" t="s">
        <v>69</v>
      </c>
      <c r="Q39" s="680" t="s">
        <v>69</v>
      </c>
      <c r="R39" s="104" t="s">
        <v>69</v>
      </c>
      <c r="S39" s="681" t="s">
        <v>69</v>
      </c>
      <c r="T39" s="469" t="s">
        <v>108</v>
      </c>
      <c r="U39" s="641" t="s">
        <v>69</v>
      </c>
      <c r="V39" s="641" t="s">
        <v>69</v>
      </c>
      <c r="W39" s="120" t="s">
        <v>69</v>
      </c>
      <c r="X39" s="120" t="s">
        <v>69</v>
      </c>
      <c r="Y39" s="120" t="s">
        <v>69</v>
      </c>
      <c r="Z39" s="120" t="s">
        <v>69</v>
      </c>
      <c r="AA39" s="583" t="s">
        <v>108</v>
      </c>
      <c r="AB39" s="120" t="s">
        <v>69</v>
      </c>
      <c r="AC39" s="120" t="s">
        <v>69</v>
      </c>
      <c r="AD39" s="120" t="s">
        <v>69</v>
      </c>
      <c r="AE39" s="120" t="s">
        <v>69</v>
      </c>
      <c r="AF39" s="120" t="s">
        <v>69</v>
      </c>
      <c r="AG39" s="131" t="s">
        <v>416</v>
      </c>
      <c r="AH39" s="329" t="s">
        <v>108</v>
      </c>
      <c r="AI39" s="120" t="s">
        <v>69</v>
      </c>
      <c r="AJ39" s="131" t="s">
        <v>416</v>
      </c>
      <c r="AK39" s="131" t="s">
        <v>416</v>
      </c>
      <c r="AL39" s="131" t="s">
        <v>416</v>
      </c>
      <c r="AM39" s="131" t="s">
        <v>416</v>
      </c>
      <c r="AN39">
        <f t="shared" si="1"/>
        <v>5</v>
      </c>
      <c r="AO39">
        <f t="shared" si="2"/>
        <v>0</v>
      </c>
      <c r="AP39">
        <f t="shared" si="0"/>
        <v>0</v>
      </c>
    </row>
    <row r="40" spans="1:42" ht="18">
      <c r="A40" s="5">
        <v>39</v>
      </c>
      <c r="B40" s="695" t="s">
        <v>347</v>
      </c>
      <c r="C40" s="254" t="s">
        <v>505</v>
      </c>
      <c r="D40" s="510" t="s">
        <v>412</v>
      </c>
      <c r="E40" s="511" t="s">
        <v>418</v>
      </c>
      <c r="F40" s="512" t="s">
        <v>467</v>
      </c>
      <c r="G40" s="513" t="s">
        <v>296</v>
      </c>
      <c r="H40" s="513" t="s">
        <v>415</v>
      </c>
      <c r="I40" s="239" t="s">
        <v>69</v>
      </c>
      <c r="J40" s="134" t="s">
        <v>69</v>
      </c>
      <c r="K40" s="134" t="s">
        <v>69</v>
      </c>
      <c r="L40" s="134" t="s">
        <v>69</v>
      </c>
      <c r="M40" s="433" t="s">
        <v>108</v>
      </c>
      <c r="N40" s="140" t="s">
        <v>69</v>
      </c>
      <c r="O40" s="140" t="s">
        <v>69</v>
      </c>
      <c r="P40" s="120" t="s">
        <v>69</v>
      </c>
      <c r="Q40" s="680" t="s">
        <v>69</v>
      </c>
      <c r="R40" s="104" t="s">
        <v>69</v>
      </c>
      <c r="S40" s="680" t="s">
        <v>69</v>
      </c>
      <c r="T40" s="648" t="s">
        <v>108</v>
      </c>
      <c r="U40" s="104" t="s">
        <v>69</v>
      </c>
      <c r="V40" s="104" t="s">
        <v>69</v>
      </c>
      <c r="W40" s="120" t="s">
        <v>69</v>
      </c>
      <c r="X40" s="120" t="s">
        <v>69</v>
      </c>
      <c r="Y40" s="120" t="s">
        <v>69</v>
      </c>
      <c r="Z40" s="120" t="s">
        <v>69</v>
      </c>
      <c r="AA40" s="583" t="s">
        <v>108</v>
      </c>
      <c r="AB40" s="131" t="s">
        <v>416</v>
      </c>
      <c r="AC40" s="134" t="s">
        <v>69</v>
      </c>
      <c r="AD40" s="134" t="s">
        <v>69</v>
      </c>
      <c r="AE40" s="134" t="s">
        <v>69</v>
      </c>
      <c r="AF40" s="134" t="s">
        <v>69</v>
      </c>
      <c r="AG40" s="121" t="s">
        <v>416</v>
      </c>
      <c r="AH40" s="427" t="s">
        <v>108</v>
      </c>
      <c r="AI40" s="120" t="s">
        <v>69</v>
      </c>
      <c r="AJ40" s="120" t="s">
        <v>69</v>
      </c>
      <c r="AK40" s="120" t="s">
        <v>69</v>
      </c>
      <c r="AL40" s="120" t="s">
        <v>69</v>
      </c>
      <c r="AM40" s="120" t="s">
        <v>69</v>
      </c>
      <c r="AN40">
        <f t="shared" si="1"/>
        <v>2</v>
      </c>
      <c r="AO40">
        <f t="shared" si="2"/>
        <v>0</v>
      </c>
      <c r="AP40">
        <f t="shared" si="0"/>
        <v>0</v>
      </c>
    </row>
    <row r="41" spans="1:42" ht="18">
      <c r="A41" s="5">
        <v>40</v>
      </c>
      <c r="B41" s="694" t="s">
        <v>339</v>
      </c>
      <c r="C41" s="254" t="s">
        <v>36</v>
      </c>
      <c r="D41" s="510" t="s">
        <v>412</v>
      </c>
      <c r="E41" s="511" t="s">
        <v>436</v>
      </c>
      <c r="F41" s="512" t="s">
        <v>459</v>
      </c>
      <c r="G41" s="513" t="s">
        <v>301</v>
      </c>
      <c r="H41" s="513" t="s">
        <v>415</v>
      </c>
      <c r="I41" s="239" t="s">
        <v>69</v>
      </c>
      <c r="J41" s="134" t="s">
        <v>69</v>
      </c>
      <c r="K41" s="134" t="s">
        <v>69</v>
      </c>
      <c r="L41" s="134" t="s">
        <v>69</v>
      </c>
      <c r="M41" s="433" t="s">
        <v>108</v>
      </c>
      <c r="N41" s="140" t="s">
        <v>69</v>
      </c>
      <c r="O41" s="140" t="s">
        <v>69</v>
      </c>
      <c r="P41" s="120" t="s">
        <v>69</v>
      </c>
      <c r="Q41" s="680" t="s">
        <v>69</v>
      </c>
      <c r="R41" s="104" t="s">
        <v>69</v>
      </c>
      <c r="S41" s="144" t="s">
        <v>416</v>
      </c>
      <c r="T41" s="469" t="s">
        <v>108</v>
      </c>
      <c r="U41" s="207" t="s">
        <v>69</v>
      </c>
      <c r="V41" s="207" t="s">
        <v>69</v>
      </c>
      <c r="W41" s="207" t="s">
        <v>69</v>
      </c>
      <c r="X41" s="207" t="s">
        <v>69</v>
      </c>
      <c r="Y41" s="207" t="s">
        <v>69</v>
      </c>
      <c r="Z41" s="207" t="s">
        <v>69</v>
      </c>
      <c r="AA41" s="583" t="s">
        <v>108</v>
      </c>
      <c r="AB41" s="672" t="s">
        <v>69</v>
      </c>
      <c r="AC41" s="672" t="s">
        <v>69</v>
      </c>
      <c r="AD41" s="672" t="s">
        <v>69</v>
      </c>
      <c r="AE41" s="672" t="s">
        <v>69</v>
      </c>
      <c r="AF41" s="134" t="s">
        <v>69</v>
      </c>
      <c r="AG41" s="672" t="s">
        <v>69</v>
      </c>
      <c r="AH41" s="329" t="s">
        <v>108</v>
      </c>
      <c r="AI41" s="672" t="s">
        <v>69</v>
      </c>
      <c r="AJ41" s="672" t="s">
        <v>69</v>
      </c>
      <c r="AK41" s="672" t="s">
        <v>69</v>
      </c>
      <c r="AL41" s="672" t="s">
        <v>69</v>
      </c>
      <c r="AM41" s="447" t="s">
        <v>514</v>
      </c>
      <c r="AN41">
        <f t="shared" si="1"/>
        <v>1.5</v>
      </c>
      <c r="AO41">
        <f t="shared" si="2"/>
        <v>0</v>
      </c>
      <c r="AP41">
        <f t="shared" si="0"/>
        <v>1</v>
      </c>
    </row>
    <row r="42" spans="1:42" ht="18">
      <c r="A42" s="5">
        <v>41</v>
      </c>
      <c r="B42" s="695" t="s">
        <v>349</v>
      </c>
      <c r="C42" s="254" t="s">
        <v>506</v>
      </c>
      <c r="D42" s="510" t="s">
        <v>412</v>
      </c>
      <c r="E42" s="511" t="s">
        <v>413</v>
      </c>
      <c r="F42" s="512" t="s">
        <v>457</v>
      </c>
      <c r="G42" s="513" t="s">
        <v>300</v>
      </c>
      <c r="H42" s="513" t="s">
        <v>415</v>
      </c>
      <c r="I42" s="239" t="s">
        <v>69</v>
      </c>
      <c r="J42" s="134" t="s">
        <v>69</v>
      </c>
      <c r="K42" s="134" t="s">
        <v>69</v>
      </c>
      <c r="L42" s="134" t="s">
        <v>69</v>
      </c>
      <c r="M42" s="468" t="s">
        <v>108</v>
      </c>
      <c r="N42" s="140" t="s">
        <v>69</v>
      </c>
      <c r="O42" s="140" t="s">
        <v>69</v>
      </c>
      <c r="P42" s="120" t="s">
        <v>69</v>
      </c>
      <c r="Q42" s="680" t="s">
        <v>69</v>
      </c>
      <c r="R42" s="104" t="s">
        <v>69</v>
      </c>
      <c r="S42" s="680" t="s">
        <v>69</v>
      </c>
      <c r="T42" s="652" t="s">
        <v>108</v>
      </c>
      <c r="U42" s="682" t="s">
        <v>69</v>
      </c>
      <c r="V42" s="218" t="s">
        <v>416</v>
      </c>
      <c r="W42" s="144" t="s">
        <v>416</v>
      </c>
      <c r="X42" s="144" t="s">
        <v>416</v>
      </c>
      <c r="Y42" s="207" t="s">
        <v>70</v>
      </c>
      <c r="Z42" s="207" t="s">
        <v>70</v>
      </c>
      <c r="AA42" s="583" t="s">
        <v>108</v>
      </c>
      <c r="AB42" s="207" t="s">
        <v>69</v>
      </c>
      <c r="AC42" s="207" t="s">
        <v>69</v>
      </c>
      <c r="AD42" s="207" t="s">
        <v>69</v>
      </c>
      <c r="AE42" s="207" t="s">
        <v>69</v>
      </c>
      <c r="AF42" s="207" t="s">
        <v>69</v>
      </c>
      <c r="AG42" s="672" t="s">
        <v>69</v>
      </c>
      <c r="AH42" s="427" t="s">
        <v>108</v>
      </c>
      <c r="AI42" s="672" t="s">
        <v>69</v>
      </c>
      <c r="AJ42" s="168" t="s">
        <v>69</v>
      </c>
      <c r="AK42" s="672" t="s">
        <v>69</v>
      </c>
      <c r="AL42" s="672" t="s">
        <v>69</v>
      </c>
      <c r="AM42" s="120" t="s">
        <v>69</v>
      </c>
      <c r="AN42">
        <f t="shared" si="1"/>
        <v>3</v>
      </c>
      <c r="AO42">
        <f t="shared" si="2"/>
        <v>0</v>
      </c>
      <c r="AP42">
        <f t="shared" si="0"/>
        <v>0</v>
      </c>
    </row>
    <row r="43" spans="1:42" ht="18">
      <c r="A43" s="5">
        <v>42</v>
      </c>
      <c r="B43" s="694" t="s">
        <v>341</v>
      </c>
      <c r="C43" s="254" t="s">
        <v>38</v>
      </c>
      <c r="D43" s="510" t="s">
        <v>412</v>
      </c>
      <c r="E43" s="511" t="s">
        <v>418</v>
      </c>
      <c r="F43" s="512" t="s">
        <v>468</v>
      </c>
      <c r="G43" s="513" t="s">
        <v>133</v>
      </c>
      <c r="H43" s="513" t="s">
        <v>415</v>
      </c>
      <c r="I43" s="239" t="s">
        <v>69</v>
      </c>
      <c r="J43" s="134" t="s">
        <v>69</v>
      </c>
      <c r="K43" s="134" t="s">
        <v>69</v>
      </c>
      <c r="L43" s="134" t="s">
        <v>69</v>
      </c>
      <c r="M43" s="468" t="s">
        <v>108</v>
      </c>
      <c r="N43" s="140" t="s">
        <v>69</v>
      </c>
      <c r="O43" s="140" t="s">
        <v>69</v>
      </c>
      <c r="P43" s="148" t="s">
        <v>69</v>
      </c>
      <c r="Q43" s="477" t="s">
        <v>69</v>
      </c>
      <c r="R43" s="104" t="s">
        <v>69</v>
      </c>
      <c r="S43" s="477" t="s">
        <v>69</v>
      </c>
      <c r="T43" s="329" t="s">
        <v>108</v>
      </c>
      <c r="U43" s="682" t="s">
        <v>69</v>
      </c>
      <c r="V43" s="682" t="s">
        <v>69</v>
      </c>
      <c r="W43" s="207" t="s">
        <v>69</v>
      </c>
      <c r="X43" s="207" t="s">
        <v>69</v>
      </c>
      <c r="Y43" s="207" t="s">
        <v>69</v>
      </c>
      <c r="Z43" s="207" t="s">
        <v>69</v>
      </c>
      <c r="AA43" s="583" t="s">
        <v>108</v>
      </c>
      <c r="AB43" s="207" t="s">
        <v>523</v>
      </c>
      <c r="AC43" s="134" t="s">
        <v>69</v>
      </c>
      <c r="AD43" s="134" t="s">
        <v>69</v>
      </c>
      <c r="AE43" s="134" t="s">
        <v>69</v>
      </c>
      <c r="AF43" s="134" t="s">
        <v>69</v>
      </c>
      <c r="AG43" s="134" t="s">
        <v>69</v>
      </c>
      <c r="AH43" s="329" t="s">
        <v>108</v>
      </c>
      <c r="AI43" s="134" t="s">
        <v>69</v>
      </c>
      <c r="AJ43" s="168" t="s">
        <v>69</v>
      </c>
      <c r="AK43" s="672" t="s">
        <v>69</v>
      </c>
      <c r="AL43" s="672" t="s">
        <v>69</v>
      </c>
      <c r="AM43" s="672" t="s">
        <v>69</v>
      </c>
      <c r="AN43">
        <f t="shared" si="1"/>
        <v>0</v>
      </c>
      <c r="AO43">
        <f t="shared" si="2"/>
        <v>0</v>
      </c>
      <c r="AP43">
        <f t="shared" si="0"/>
        <v>0</v>
      </c>
    </row>
    <row r="44" spans="1:42" ht="18">
      <c r="A44" s="5">
        <v>43</v>
      </c>
      <c r="B44" s="694" t="s">
        <v>334</v>
      </c>
      <c r="C44" s="254" t="s">
        <v>39</v>
      </c>
      <c r="D44" s="510" t="s">
        <v>412</v>
      </c>
      <c r="E44" s="511" t="s">
        <v>424</v>
      </c>
      <c r="F44" s="512" t="s">
        <v>469</v>
      </c>
      <c r="G44" s="513" t="s">
        <v>285</v>
      </c>
      <c r="H44" s="513" t="s">
        <v>415</v>
      </c>
      <c r="I44" s="239" t="s">
        <v>69</v>
      </c>
      <c r="J44" s="134" t="s">
        <v>69</v>
      </c>
      <c r="K44" s="134" t="s">
        <v>69</v>
      </c>
      <c r="L44" s="134" t="s">
        <v>69</v>
      </c>
      <c r="M44" s="433" t="s">
        <v>108</v>
      </c>
      <c r="N44" s="140" t="s">
        <v>69</v>
      </c>
      <c r="O44" s="140" t="s">
        <v>69</v>
      </c>
      <c r="P44" s="120" t="s">
        <v>69</v>
      </c>
      <c r="Q44" s="680" t="s">
        <v>69</v>
      </c>
      <c r="R44" s="104" t="s">
        <v>69</v>
      </c>
      <c r="S44" s="680" t="s">
        <v>69</v>
      </c>
      <c r="T44" s="653" t="s">
        <v>108</v>
      </c>
      <c r="U44" s="682" t="s">
        <v>69</v>
      </c>
      <c r="V44" s="682" t="s">
        <v>69</v>
      </c>
      <c r="W44" s="682" t="s">
        <v>69</v>
      </c>
      <c r="X44" s="682" t="s">
        <v>69</v>
      </c>
      <c r="Y44" s="144" t="s">
        <v>416</v>
      </c>
      <c r="Z44" s="144" t="s">
        <v>416</v>
      </c>
      <c r="AA44" s="583" t="s">
        <v>108</v>
      </c>
      <c r="AB44" s="207" t="s">
        <v>69</v>
      </c>
      <c r="AC44" s="207" t="s">
        <v>69</v>
      </c>
      <c r="AD44" s="207" t="s">
        <v>69</v>
      </c>
      <c r="AE44" s="207" t="s">
        <v>69</v>
      </c>
      <c r="AF44" s="207" t="s">
        <v>69</v>
      </c>
      <c r="AG44" s="134" t="s">
        <v>69</v>
      </c>
      <c r="AH44" s="427" t="s">
        <v>108</v>
      </c>
      <c r="AI44" s="134" t="s">
        <v>69</v>
      </c>
      <c r="AJ44" s="404" t="s">
        <v>92</v>
      </c>
      <c r="AK44" s="672" t="s">
        <v>69</v>
      </c>
      <c r="AL44" s="672" t="s">
        <v>69</v>
      </c>
      <c r="AM44" s="672" t="s">
        <v>69</v>
      </c>
      <c r="AN44">
        <f t="shared" si="1"/>
        <v>2</v>
      </c>
      <c r="AO44">
        <f t="shared" si="2"/>
        <v>0</v>
      </c>
      <c r="AP44">
        <f t="shared" si="0"/>
        <v>0</v>
      </c>
    </row>
    <row r="45" spans="1:42" ht="18">
      <c r="A45" s="5">
        <v>44</v>
      </c>
      <c r="B45" s="694" t="s">
        <v>325</v>
      </c>
      <c r="C45" s="254" t="s">
        <v>40</v>
      </c>
      <c r="D45" s="510" t="s">
        <v>412</v>
      </c>
      <c r="E45" s="511" t="s">
        <v>466</v>
      </c>
      <c r="F45" s="512" t="s">
        <v>452</v>
      </c>
      <c r="G45" s="513" t="s">
        <v>285</v>
      </c>
      <c r="H45" s="513" t="s">
        <v>415</v>
      </c>
      <c r="I45" s="239" t="s">
        <v>69</v>
      </c>
      <c r="J45" s="134" t="s">
        <v>69</v>
      </c>
      <c r="K45" s="134" t="s">
        <v>69</v>
      </c>
      <c r="L45" s="134" t="s">
        <v>69</v>
      </c>
      <c r="M45" s="433" t="s">
        <v>108</v>
      </c>
      <c r="N45" s="140" t="s">
        <v>69</v>
      </c>
      <c r="O45" s="140" t="s">
        <v>69</v>
      </c>
      <c r="P45" s="120" t="s">
        <v>69</v>
      </c>
      <c r="Q45" s="680" t="s">
        <v>69</v>
      </c>
      <c r="R45" s="104" t="s">
        <v>69</v>
      </c>
      <c r="S45" s="680" t="s">
        <v>69</v>
      </c>
      <c r="T45" s="469" t="s">
        <v>108</v>
      </c>
      <c r="U45" s="682" t="s">
        <v>69</v>
      </c>
      <c r="V45" s="682" t="s">
        <v>69</v>
      </c>
      <c r="W45" s="682" t="s">
        <v>69</v>
      </c>
      <c r="X45" s="682" t="s">
        <v>69</v>
      </c>
      <c r="Y45" s="682" t="s">
        <v>69</v>
      </c>
      <c r="Z45" s="682" t="s">
        <v>69</v>
      </c>
      <c r="AA45" s="583" t="s">
        <v>108</v>
      </c>
      <c r="AB45" s="134" t="s">
        <v>69</v>
      </c>
      <c r="AC45" s="134" t="s">
        <v>69</v>
      </c>
      <c r="AD45" s="134" t="s">
        <v>69</v>
      </c>
      <c r="AE45" s="134" t="s">
        <v>69</v>
      </c>
      <c r="AF45" s="134" t="s">
        <v>69</v>
      </c>
      <c r="AG45" s="120" t="s">
        <v>69</v>
      </c>
      <c r="AH45" s="329" t="s">
        <v>108</v>
      </c>
      <c r="AI45" s="120" t="s">
        <v>69</v>
      </c>
      <c r="AJ45" s="120" t="s">
        <v>69</v>
      </c>
      <c r="AK45" s="120" t="s">
        <v>69</v>
      </c>
      <c r="AL45" s="120" t="s">
        <v>69</v>
      </c>
      <c r="AM45" s="120" t="s">
        <v>69</v>
      </c>
      <c r="AN45">
        <f t="shared" si="1"/>
        <v>0</v>
      </c>
      <c r="AO45">
        <f t="shared" si="2"/>
        <v>0</v>
      </c>
      <c r="AP45">
        <f t="shared" si="0"/>
        <v>0</v>
      </c>
    </row>
    <row r="46" spans="1:42" ht="18">
      <c r="A46" s="5">
        <v>45</v>
      </c>
      <c r="B46" s="694" t="s">
        <v>366</v>
      </c>
      <c r="C46" s="254" t="s">
        <v>227</v>
      </c>
      <c r="D46" s="510" t="s">
        <v>412</v>
      </c>
      <c r="E46" s="511" t="s">
        <v>462</v>
      </c>
      <c r="F46" s="512" t="s">
        <v>464</v>
      </c>
      <c r="G46" s="513" t="s">
        <v>293</v>
      </c>
      <c r="H46" s="513" t="s">
        <v>415</v>
      </c>
      <c r="I46" s="153" t="s">
        <v>416</v>
      </c>
      <c r="J46" s="121" t="s">
        <v>416</v>
      </c>
      <c r="K46" s="121" t="s">
        <v>416</v>
      </c>
      <c r="L46" s="121" t="s">
        <v>416</v>
      </c>
      <c r="M46" s="468" t="s">
        <v>108</v>
      </c>
      <c r="N46" s="636" t="s">
        <v>514</v>
      </c>
      <c r="O46" s="140" t="s">
        <v>69</v>
      </c>
      <c r="P46" s="157" t="s">
        <v>69</v>
      </c>
      <c r="Q46" s="680" t="s">
        <v>69</v>
      </c>
      <c r="R46" s="104" t="s">
        <v>69</v>
      </c>
      <c r="S46" s="680" t="s">
        <v>69</v>
      </c>
      <c r="T46" s="648" t="s">
        <v>108</v>
      </c>
      <c r="U46" s="651" t="s">
        <v>416</v>
      </c>
      <c r="V46" s="661" t="s">
        <v>514</v>
      </c>
      <c r="W46" s="682" t="s">
        <v>69</v>
      </c>
      <c r="X46" s="682" t="s">
        <v>69</v>
      </c>
      <c r="Y46" s="682" t="s">
        <v>69</v>
      </c>
      <c r="Z46" s="682" t="s">
        <v>69</v>
      </c>
      <c r="AA46" s="583" t="s">
        <v>108</v>
      </c>
      <c r="AB46" s="134" t="s">
        <v>69</v>
      </c>
      <c r="AC46" s="134" t="s">
        <v>69</v>
      </c>
      <c r="AD46" s="134" t="s">
        <v>69</v>
      </c>
      <c r="AE46" s="134" t="s">
        <v>69</v>
      </c>
      <c r="AF46" s="134" t="s">
        <v>69</v>
      </c>
      <c r="AG46" s="120" t="s">
        <v>69</v>
      </c>
      <c r="AH46" s="427" t="s">
        <v>108</v>
      </c>
      <c r="AI46" s="120" t="s">
        <v>69</v>
      </c>
      <c r="AJ46" s="120" t="s">
        <v>69</v>
      </c>
      <c r="AK46" s="120" t="s">
        <v>69</v>
      </c>
      <c r="AL46" s="120" t="s">
        <v>69</v>
      </c>
      <c r="AM46" s="120" t="s">
        <v>69</v>
      </c>
      <c r="AN46">
        <f t="shared" si="1"/>
        <v>6</v>
      </c>
      <c r="AO46">
        <f t="shared" si="2"/>
        <v>0</v>
      </c>
      <c r="AP46">
        <f t="shared" si="0"/>
        <v>2</v>
      </c>
    </row>
    <row r="47" spans="1:42" ht="18">
      <c r="A47" s="5">
        <v>46</v>
      </c>
      <c r="B47" s="694" t="s">
        <v>338</v>
      </c>
      <c r="C47" s="254" t="s">
        <v>41</v>
      </c>
      <c r="D47" s="510" t="s">
        <v>412</v>
      </c>
      <c r="E47" s="511" t="s">
        <v>462</v>
      </c>
      <c r="F47" s="512" t="s">
        <v>457</v>
      </c>
      <c r="G47" s="513" t="s">
        <v>300</v>
      </c>
      <c r="H47" s="513" t="s">
        <v>415</v>
      </c>
      <c r="I47" s="153" t="s">
        <v>416</v>
      </c>
      <c r="J47" s="121" t="s">
        <v>416</v>
      </c>
      <c r="K47" s="121" t="s">
        <v>416</v>
      </c>
      <c r="L47" s="121" t="s">
        <v>416</v>
      </c>
      <c r="M47" s="468" t="s">
        <v>108</v>
      </c>
      <c r="N47" s="140" t="s">
        <v>69</v>
      </c>
      <c r="O47" s="140" t="s">
        <v>69</v>
      </c>
      <c r="P47" s="120" t="s">
        <v>69</v>
      </c>
      <c r="Q47" s="680" t="s">
        <v>69</v>
      </c>
      <c r="R47" s="104" t="s">
        <v>69</v>
      </c>
      <c r="S47" s="680" t="s">
        <v>69</v>
      </c>
      <c r="T47" s="469" t="s">
        <v>108</v>
      </c>
      <c r="U47" s="171" t="s">
        <v>69</v>
      </c>
      <c r="V47" s="171" t="s">
        <v>69</v>
      </c>
      <c r="W47" s="171" t="s">
        <v>69</v>
      </c>
      <c r="X47" s="171" t="s">
        <v>69</v>
      </c>
      <c r="Y47" s="171" t="s">
        <v>69</v>
      </c>
      <c r="Z47" s="171" t="s">
        <v>69</v>
      </c>
      <c r="AA47" s="583" t="s">
        <v>108</v>
      </c>
      <c r="AB47" s="672" t="s">
        <v>69</v>
      </c>
      <c r="AC47" s="672" t="s">
        <v>69</v>
      </c>
      <c r="AD47" s="672" t="s">
        <v>69</v>
      </c>
      <c r="AE47" s="672" t="s">
        <v>69</v>
      </c>
      <c r="AF47" s="672" t="s">
        <v>69</v>
      </c>
      <c r="AG47" s="131" t="s">
        <v>416</v>
      </c>
      <c r="AH47" s="329" t="s">
        <v>108</v>
      </c>
      <c r="AI47" s="447" t="s">
        <v>514</v>
      </c>
      <c r="AJ47" s="120" t="s">
        <v>69</v>
      </c>
      <c r="AK47" s="120" t="s">
        <v>69</v>
      </c>
      <c r="AL47" s="120" t="s">
        <v>69</v>
      </c>
      <c r="AM47" s="120" t="s">
        <v>69</v>
      </c>
      <c r="AN47">
        <f t="shared" si="1"/>
        <v>5.5</v>
      </c>
      <c r="AO47">
        <f t="shared" si="2"/>
        <v>0</v>
      </c>
      <c r="AP47">
        <f t="shared" si="0"/>
        <v>1</v>
      </c>
    </row>
    <row r="48" spans="1:42" ht="15.75">
      <c r="A48" s="5">
        <v>47</v>
      </c>
      <c r="B48" s="697" t="s">
        <v>470</v>
      </c>
      <c r="C48" s="2" t="s">
        <v>471</v>
      </c>
      <c r="D48" s="510" t="s">
        <v>412</v>
      </c>
      <c r="E48" s="536" t="s">
        <v>424</v>
      </c>
      <c r="F48" s="531" t="s">
        <v>414</v>
      </c>
      <c r="G48" s="513" t="s">
        <v>284</v>
      </c>
      <c r="H48" s="513" t="s">
        <v>415</v>
      </c>
      <c r="I48" s="159" t="s">
        <v>267</v>
      </c>
      <c r="J48" s="121" t="s">
        <v>416</v>
      </c>
      <c r="K48" s="121" t="s">
        <v>416</v>
      </c>
      <c r="L48" s="120" t="s">
        <v>69</v>
      </c>
      <c r="M48" s="433" t="s">
        <v>108</v>
      </c>
      <c r="N48" s="636" t="s">
        <v>514</v>
      </c>
      <c r="O48" s="140" t="s">
        <v>69</v>
      </c>
      <c r="P48" s="157" t="s">
        <v>69</v>
      </c>
      <c r="Q48" s="680" t="s">
        <v>69</v>
      </c>
      <c r="R48" s="104" t="s">
        <v>69</v>
      </c>
      <c r="S48" s="680" t="s">
        <v>69</v>
      </c>
      <c r="T48" s="648" t="s">
        <v>108</v>
      </c>
      <c r="U48" s="141" t="s">
        <v>69</v>
      </c>
      <c r="V48" s="141" t="s">
        <v>69</v>
      </c>
      <c r="W48" s="141" t="s">
        <v>69</v>
      </c>
      <c r="X48" s="141" t="s">
        <v>69</v>
      </c>
      <c r="Y48" s="141" t="s">
        <v>69</v>
      </c>
      <c r="Z48" s="141" t="s">
        <v>69</v>
      </c>
      <c r="AA48" s="583" t="s">
        <v>108</v>
      </c>
      <c r="AB48" s="230" t="s">
        <v>69</v>
      </c>
      <c r="AC48" s="230" t="s">
        <v>69</v>
      </c>
      <c r="AD48" s="121" t="s">
        <v>416</v>
      </c>
      <c r="AE48" s="121" t="s">
        <v>416</v>
      </c>
      <c r="AF48" s="134" t="s">
        <v>69</v>
      </c>
      <c r="AG48" s="134" t="s">
        <v>69</v>
      </c>
      <c r="AH48" s="427" t="s">
        <v>108</v>
      </c>
      <c r="AI48" s="134" t="s">
        <v>69</v>
      </c>
      <c r="AJ48" s="404" t="s">
        <v>92</v>
      </c>
      <c r="AK48" s="132" t="s">
        <v>524</v>
      </c>
      <c r="AL48" s="168" t="s">
        <v>69</v>
      </c>
      <c r="AM48" s="120" t="s">
        <v>69</v>
      </c>
      <c r="AN48">
        <f t="shared" si="1"/>
        <v>4.5</v>
      </c>
      <c r="AO48">
        <f t="shared" si="2"/>
        <v>0</v>
      </c>
      <c r="AP48">
        <f t="shared" si="0"/>
        <v>1</v>
      </c>
    </row>
    <row r="49" spans="1:42" ht="18">
      <c r="A49" s="5">
        <v>48</v>
      </c>
      <c r="B49" s="694" t="s">
        <v>367</v>
      </c>
      <c r="C49" s="254" t="s">
        <v>535</v>
      </c>
      <c r="D49" s="510" t="s">
        <v>412</v>
      </c>
      <c r="E49" s="511" t="s">
        <v>418</v>
      </c>
      <c r="F49" s="512" t="s">
        <v>472</v>
      </c>
      <c r="G49" s="513" t="s">
        <v>292</v>
      </c>
      <c r="H49" s="513" t="s">
        <v>415</v>
      </c>
      <c r="I49" s="159" t="s">
        <v>267</v>
      </c>
      <c r="J49" s="134" t="s">
        <v>69</v>
      </c>
      <c r="K49" s="134" t="s">
        <v>69</v>
      </c>
      <c r="L49" s="134" t="s">
        <v>69</v>
      </c>
      <c r="M49" s="433" t="s">
        <v>108</v>
      </c>
      <c r="N49" s="169" t="s">
        <v>69</v>
      </c>
      <c r="O49" s="636" t="s">
        <v>514</v>
      </c>
      <c r="P49" s="447" t="s">
        <v>514</v>
      </c>
      <c r="Q49" s="680" t="s">
        <v>69</v>
      </c>
      <c r="R49" s="104" t="s">
        <v>69</v>
      </c>
      <c r="S49" s="680" t="s">
        <v>69</v>
      </c>
      <c r="T49" s="469" t="s">
        <v>108</v>
      </c>
      <c r="U49" s="141" t="s">
        <v>69</v>
      </c>
      <c r="V49" s="141" t="s">
        <v>69</v>
      </c>
      <c r="W49" s="121" t="s">
        <v>416</v>
      </c>
      <c r="X49" s="141" t="s">
        <v>69</v>
      </c>
      <c r="Y49" s="141" t="s">
        <v>69</v>
      </c>
      <c r="Z49" s="121" t="s">
        <v>416</v>
      </c>
      <c r="AA49" s="583" t="s">
        <v>108</v>
      </c>
      <c r="AB49" s="134" t="s">
        <v>69</v>
      </c>
      <c r="AC49" s="134" t="s">
        <v>69</v>
      </c>
      <c r="AD49" s="134" t="s">
        <v>69</v>
      </c>
      <c r="AE49" s="134" t="s">
        <v>69</v>
      </c>
      <c r="AF49" s="134" t="s">
        <v>69</v>
      </c>
      <c r="AG49" s="134" t="s">
        <v>69</v>
      </c>
      <c r="AH49" s="329" t="s">
        <v>108</v>
      </c>
      <c r="AI49" s="168" t="s">
        <v>69</v>
      </c>
      <c r="AJ49" s="168" t="s">
        <v>69</v>
      </c>
      <c r="AK49" s="131" t="s">
        <v>416</v>
      </c>
      <c r="AL49" s="131" t="s">
        <v>416</v>
      </c>
      <c r="AM49" s="120" t="s">
        <v>69</v>
      </c>
      <c r="AN49">
        <f t="shared" si="1"/>
        <v>5</v>
      </c>
      <c r="AO49">
        <f t="shared" si="2"/>
        <v>0</v>
      </c>
      <c r="AP49">
        <f t="shared" si="0"/>
        <v>2</v>
      </c>
    </row>
    <row r="50" spans="1:42" ht="18">
      <c r="A50" s="5">
        <v>49</v>
      </c>
      <c r="B50" s="694" t="s">
        <v>310</v>
      </c>
      <c r="C50" s="254" t="s">
        <v>42</v>
      </c>
      <c r="D50" s="510" t="s">
        <v>412</v>
      </c>
      <c r="E50" s="536" t="s">
        <v>473</v>
      </c>
      <c r="F50" s="531" t="s">
        <v>446</v>
      </c>
      <c r="G50" s="513" t="s">
        <v>291</v>
      </c>
      <c r="H50" s="513" t="s">
        <v>415</v>
      </c>
      <c r="I50" s="239" t="s">
        <v>69</v>
      </c>
      <c r="J50" s="134" t="s">
        <v>69</v>
      </c>
      <c r="K50" s="134" t="s">
        <v>69</v>
      </c>
      <c r="L50" s="120" t="s">
        <v>69</v>
      </c>
      <c r="M50" s="468" t="s">
        <v>108</v>
      </c>
      <c r="N50" s="152" t="s">
        <v>416</v>
      </c>
      <c r="O50" s="637" t="s">
        <v>69</v>
      </c>
      <c r="P50" s="681" t="s">
        <v>69</v>
      </c>
      <c r="Q50" s="680" t="s">
        <v>69</v>
      </c>
      <c r="R50" s="104" t="s">
        <v>69</v>
      </c>
      <c r="S50" s="207" t="s">
        <v>69</v>
      </c>
      <c r="T50" s="648" t="s">
        <v>108</v>
      </c>
      <c r="U50" s="171" t="s">
        <v>69</v>
      </c>
      <c r="V50" s="171" t="s">
        <v>69</v>
      </c>
      <c r="W50" s="171" t="s">
        <v>69</v>
      </c>
      <c r="X50" s="171" t="s">
        <v>69</v>
      </c>
      <c r="Y50" s="171" t="s">
        <v>69</v>
      </c>
      <c r="Z50" s="171" t="s">
        <v>69</v>
      </c>
      <c r="AA50" s="583" t="s">
        <v>108</v>
      </c>
      <c r="AB50" s="340" t="s">
        <v>69</v>
      </c>
      <c r="AC50" s="340" t="s">
        <v>69</v>
      </c>
      <c r="AD50" s="340" t="s">
        <v>69</v>
      </c>
      <c r="AE50" s="340" t="s">
        <v>69</v>
      </c>
      <c r="AF50" s="340" t="s">
        <v>69</v>
      </c>
      <c r="AG50" s="134" t="s">
        <v>69</v>
      </c>
      <c r="AH50" s="427" t="s">
        <v>108</v>
      </c>
      <c r="AI50" s="131" t="s">
        <v>416</v>
      </c>
      <c r="AJ50" s="168" t="s">
        <v>69</v>
      </c>
      <c r="AK50" s="120" t="s">
        <v>69</v>
      </c>
      <c r="AL50" s="120" t="s">
        <v>69</v>
      </c>
      <c r="AM50" s="120" t="s">
        <v>69</v>
      </c>
      <c r="AN50">
        <f t="shared" si="1"/>
        <v>2</v>
      </c>
      <c r="AO50">
        <f t="shared" si="2"/>
        <v>0</v>
      </c>
      <c r="AP50">
        <f t="shared" si="0"/>
        <v>0</v>
      </c>
    </row>
    <row r="51" spans="1:42" ht="18">
      <c r="A51" s="5">
        <v>50</v>
      </c>
      <c r="B51" s="695" t="s">
        <v>364</v>
      </c>
      <c r="C51" s="254" t="s">
        <v>229</v>
      </c>
      <c r="D51" s="510" t="s">
        <v>412</v>
      </c>
      <c r="E51" s="511" t="s">
        <v>413</v>
      </c>
      <c r="F51" s="512" t="s">
        <v>474</v>
      </c>
      <c r="G51" s="513" t="s">
        <v>284</v>
      </c>
      <c r="H51" s="513" t="s">
        <v>415</v>
      </c>
      <c r="I51" s="159" t="s">
        <v>267</v>
      </c>
      <c r="J51" s="249" t="s">
        <v>514</v>
      </c>
      <c r="K51" s="134" t="s">
        <v>69</v>
      </c>
      <c r="L51" s="672" t="s">
        <v>516</v>
      </c>
      <c r="M51" s="468" t="s">
        <v>108</v>
      </c>
      <c r="N51" s="152" t="s">
        <v>416</v>
      </c>
      <c r="O51" s="63" t="s">
        <v>416</v>
      </c>
      <c r="P51" s="481" t="s">
        <v>416</v>
      </c>
      <c r="Q51" s="481" t="s">
        <v>416</v>
      </c>
      <c r="R51" s="104" t="s">
        <v>69</v>
      </c>
      <c r="S51" s="581" t="s">
        <v>416</v>
      </c>
      <c r="T51" s="469" t="s">
        <v>108</v>
      </c>
      <c r="U51" s="141" t="s">
        <v>69</v>
      </c>
      <c r="V51" s="141" t="s">
        <v>69</v>
      </c>
      <c r="W51" s="141" t="s">
        <v>69</v>
      </c>
      <c r="X51" s="141" t="s">
        <v>69</v>
      </c>
      <c r="Y51" s="141" t="s">
        <v>69</v>
      </c>
      <c r="Z51" s="141" t="s">
        <v>69</v>
      </c>
      <c r="AA51" s="583" t="s">
        <v>108</v>
      </c>
      <c r="AB51" s="214" t="s">
        <v>416</v>
      </c>
      <c r="AC51" s="672" t="s">
        <v>69</v>
      </c>
      <c r="AD51" s="672" t="s">
        <v>69</v>
      </c>
      <c r="AE51" s="672" t="s">
        <v>69</v>
      </c>
      <c r="AF51" s="672" t="s">
        <v>69</v>
      </c>
      <c r="AG51" s="120" t="s">
        <v>69</v>
      </c>
      <c r="AH51" s="329" t="s">
        <v>108</v>
      </c>
      <c r="AI51" s="120" t="s">
        <v>69</v>
      </c>
      <c r="AJ51" s="168" t="s">
        <v>69</v>
      </c>
      <c r="AK51" s="120" t="s">
        <v>69</v>
      </c>
      <c r="AL51" s="120" t="s">
        <v>69</v>
      </c>
      <c r="AM51" s="120" t="s">
        <v>69</v>
      </c>
      <c r="AN51">
        <f t="shared" si="1"/>
        <v>6.5</v>
      </c>
      <c r="AO51">
        <f t="shared" si="2"/>
        <v>0</v>
      </c>
      <c r="AP51">
        <f t="shared" si="0"/>
        <v>0</v>
      </c>
    </row>
    <row r="52" spans="1:42" ht="18">
      <c r="A52" s="5">
        <v>51</v>
      </c>
      <c r="B52" s="694" t="s">
        <v>507</v>
      </c>
      <c r="C52" s="254" t="s">
        <v>508</v>
      </c>
      <c r="D52" s="510" t="s">
        <v>412</v>
      </c>
      <c r="E52" s="536" t="s">
        <v>475</v>
      </c>
      <c r="F52" s="531" t="s">
        <v>464</v>
      </c>
      <c r="G52" s="513" t="s">
        <v>293</v>
      </c>
      <c r="H52" s="513" t="s">
        <v>415</v>
      </c>
      <c r="I52" s="674" t="s">
        <v>69</v>
      </c>
      <c r="J52" s="672" t="s">
        <v>69</v>
      </c>
      <c r="K52" s="134" t="s">
        <v>69</v>
      </c>
      <c r="L52" s="134" t="s">
        <v>69</v>
      </c>
      <c r="M52" s="433" t="s">
        <v>108</v>
      </c>
      <c r="N52" s="152" t="s">
        <v>416</v>
      </c>
      <c r="O52" s="205" t="s">
        <v>69</v>
      </c>
      <c r="P52" s="288" t="s">
        <v>69</v>
      </c>
      <c r="Q52" s="680" t="s">
        <v>69</v>
      </c>
      <c r="R52" s="104" t="s">
        <v>69</v>
      </c>
      <c r="S52" s="480" t="s">
        <v>69</v>
      </c>
      <c r="T52" s="648" t="s">
        <v>108</v>
      </c>
      <c r="U52" s="141" t="s">
        <v>69</v>
      </c>
      <c r="V52" s="141" t="s">
        <v>69</v>
      </c>
      <c r="W52" s="141" t="s">
        <v>69</v>
      </c>
      <c r="X52" s="141" t="s">
        <v>69</v>
      </c>
      <c r="Y52" s="141" t="s">
        <v>69</v>
      </c>
      <c r="Z52" s="141" t="s">
        <v>69</v>
      </c>
      <c r="AA52" s="583" t="s">
        <v>108</v>
      </c>
      <c r="AB52" s="340" t="s">
        <v>69</v>
      </c>
      <c r="AC52" s="340" t="s">
        <v>69</v>
      </c>
      <c r="AD52" s="340" t="s">
        <v>69</v>
      </c>
      <c r="AE52" s="340" t="s">
        <v>69</v>
      </c>
      <c r="AF52" s="340" t="s">
        <v>69</v>
      </c>
      <c r="AG52" s="447" t="s">
        <v>514</v>
      </c>
      <c r="AH52" s="427" t="s">
        <v>108</v>
      </c>
      <c r="AI52" s="120" t="s">
        <v>69</v>
      </c>
      <c r="AJ52" s="168" t="s">
        <v>69</v>
      </c>
      <c r="AK52" s="120" t="s">
        <v>69</v>
      </c>
      <c r="AL52" s="120" t="s">
        <v>69</v>
      </c>
      <c r="AM52" s="120" t="s">
        <v>69</v>
      </c>
      <c r="AN52">
        <f t="shared" si="1"/>
        <v>1.5</v>
      </c>
      <c r="AO52">
        <f t="shared" si="2"/>
        <v>0</v>
      </c>
      <c r="AP52">
        <f t="shared" si="0"/>
        <v>1</v>
      </c>
    </row>
    <row r="53" spans="1:42" ht="15.75">
      <c r="A53" s="5">
        <v>52</v>
      </c>
      <c r="B53" s="697" t="s">
        <v>525</v>
      </c>
      <c r="C53" s="698" t="s">
        <v>526</v>
      </c>
      <c r="D53" s="510" t="s">
        <v>412</v>
      </c>
      <c r="E53" s="536" t="s">
        <v>424</v>
      </c>
      <c r="F53" s="531" t="s">
        <v>527</v>
      </c>
      <c r="G53" s="513" t="s">
        <v>289</v>
      </c>
      <c r="H53" s="513"/>
      <c r="I53" s="153" t="s">
        <v>416</v>
      </c>
      <c r="J53" s="153" t="s">
        <v>416</v>
      </c>
      <c r="K53" s="153" t="s">
        <v>416</v>
      </c>
      <c r="L53" s="153" t="s">
        <v>416</v>
      </c>
      <c r="M53" s="468" t="s">
        <v>108</v>
      </c>
      <c r="N53" s="140" t="s">
        <v>69</v>
      </c>
      <c r="O53" s="140" t="s">
        <v>69</v>
      </c>
      <c r="P53" s="120" t="s">
        <v>69</v>
      </c>
      <c r="Q53" s="680" t="s">
        <v>69</v>
      </c>
      <c r="R53" s="104" t="s">
        <v>69</v>
      </c>
      <c r="S53" s="480" t="s">
        <v>69</v>
      </c>
      <c r="T53" s="469" t="s">
        <v>108</v>
      </c>
      <c r="U53" s="141" t="s">
        <v>69</v>
      </c>
      <c r="V53" s="141" t="s">
        <v>69</v>
      </c>
      <c r="W53" s="141" t="s">
        <v>69</v>
      </c>
      <c r="X53" s="141" t="s">
        <v>69</v>
      </c>
      <c r="Y53" s="141" t="s">
        <v>69</v>
      </c>
      <c r="Z53" s="141" t="s">
        <v>69</v>
      </c>
      <c r="AA53" s="583" t="s">
        <v>108</v>
      </c>
      <c r="AB53" s="340" t="s">
        <v>69</v>
      </c>
      <c r="AC53" s="340" t="s">
        <v>69</v>
      </c>
      <c r="AD53" s="340" t="s">
        <v>69</v>
      </c>
      <c r="AE53" s="340" t="s">
        <v>69</v>
      </c>
      <c r="AF53" s="340" t="s">
        <v>69</v>
      </c>
      <c r="AG53" s="120" t="s">
        <v>69</v>
      </c>
      <c r="AH53" s="329" t="s">
        <v>108</v>
      </c>
      <c r="AI53" s="120" t="s">
        <v>69</v>
      </c>
      <c r="AJ53" s="168" t="s">
        <v>69</v>
      </c>
      <c r="AK53" s="120" t="s">
        <v>69</v>
      </c>
      <c r="AL53" s="120" t="s">
        <v>69</v>
      </c>
      <c r="AM53" s="120" t="s">
        <v>69</v>
      </c>
      <c r="AN53">
        <f t="shared" si="1"/>
        <v>4</v>
      </c>
      <c r="AO53">
        <f t="shared" si="2"/>
        <v>0</v>
      </c>
      <c r="AP53">
        <f t="shared" si="0"/>
        <v>0</v>
      </c>
    </row>
    <row r="54" spans="1:42" ht="18">
      <c r="A54" s="5">
        <v>53</v>
      </c>
      <c r="B54" s="695" t="s">
        <v>353</v>
      </c>
      <c r="C54" s="254" t="s">
        <v>509</v>
      </c>
      <c r="D54" s="510" t="s">
        <v>412</v>
      </c>
      <c r="E54" s="511" t="s">
        <v>462</v>
      </c>
      <c r="F54" s="512" t="s">
        <v>476</v>
      </c>
      <c r="G54" s="513" t="s">
        <v>291</v>
      </c>
      <c r="H54" s="513" t="s">
        <v>415</v>
      </c>
      <c r="I54" s="674" t="s">
        <v>69</v>
      </c>
      <c r="J54" s="672" t="s">
        <v>69</v>
      </c>
      <c r="K54" s="672" t="s">
        <v>69</v>
      </c>
      <c r="L54" s="134" t="s">
        <v>69</v>
      </c>
      <c r="M54" s="433" t="s">
        <v>108</v>
      </c>
      <c r="N54" s="140" t="s">
        <v>69</v>
      </c>
      <c r="O54" s="9" t="s">
        <v>69</v>
      </c>
      <c r="P54" s="681" t="s">
        <v>69</v>
      </c>
      <c r="Q54" s="680" t="s">
        <v>69</v>
      </c>
      <c r="R54" s="104" t="s">
        <v>69</v>
      </c>
      <c r="S54" s="659" t="s">
        <v>69</v>
      </c>
      <c r="T54" s="648" t="s">
        <v>108</v>
      </c>
      <c r="U54" s="141" t="s">
        <v>69</v>
      </c>
      <c r="V54" s="141" t="s">
        <v>69</v>
      </c>
      <c r="W54" s="141" t="s">
        <v>69</v>
      </c>
      <c r="X54" s="141" t="s">
        <v>69</v>
      </c>
      <c r="Y54" s="141" t="s">
        <v>69</v>
      </c>
      <c r="Z54" s="141" t="s">
        <v>69</v>
      </c>
      <c r="AA54" s="583" t="s">
        <v>108</v>
      </c>
      <c r="AB54" s="134" t="s">
        <v>69</v>
      </c>
      <c r="AC54" s="134" t="s">
        <v>69</v>
      </c>
      <c r="AD54" s="134" t="s">
        <v>69</v>
      </c>
      <c r="AE54" s="134" t="s">
        <v>69</v>
      </c>
      <c r="AF54" s="121" t="s">
        <v>416</v>
      </c>
      <c r="AG54" s="120" t="s">
        <v>69</v>
      </c>
      <c r="AH54" s="427" t="s">
        <v>108</v>
      </c>
      <c r="AI54" s="120" t="s">
        <v>69</v>
      </c>
      <c r="AJ54" s="120" t="s">
        <v>69</v>
      </c>
      <c r="AK54" s="447" t="s">
        <v>514</v>
      </c>
      <c r="AL54" s="168" t="s">
        <v>69</v>
      </c>
      <c r="AM54" s="168" t="s">
        <v>69</v>
      </c>
      <c r="AN54">
        <f t="shared" si="1"/>
        <v>1.5</v>
      </c>
      <c r="AO54">
        <f t="shared" si="2"/>
        <v>0</v>
      </c>
      <c r="AP54">
        <f t="shared" si="0"/>
        <v>1</v>
      </c>
    </row>
    <row r="55" spans="1:42" ht="15.75">
      <c r="A55" s="5">
        <v>54</v>
      </c>
      <c r="B55" s="666" t="s">
        <v>528</v>
      </c>
      <c r="C55" s="698" t="s">
        <v>529</v>
      </c>
      <c r="D55" s="510" t="s">
        <v>412</v>
      </c>
      <c r="E55" s="511" t="s">
        <v>424</v>
      </c>
      <c r="F55" s="512" t="s">
        <v>530</v>
      </c>
      <c r="G55" s="513" t="s">
        <v>306</v>
      </c>
      <c r="H55" s="513"/>
      <c r="I55" s="153" t="s">
        <v>416</v>
      </c>
      <c r="J55" s="153" t="s">
        <v>416</v>
      </c>
      <c r="K55" s="153" t="s">
        <v>416</v>
      </c>
      <c r="L55" s="153" t="s">
        <v>416</v>
      </c>
      <c r="M55" s="468" t="s">
        <v>108</v>
      </c>
      <c r="N55" s="152" t="s">
        <v>416</v>
      </c>
      <c r="O55" s="152" t="s">
        <v>416</v>
      </c>
      <c r="P55" s="152" t="s">
        <v>416</v>
      </c>
      <c r="Q55" s="152" t="s">
        <v>416</v>
      </c>
      <c r="R55" s="104" t="s">
        <v>69</v>
      </c>
      <c r="S55" s="131" t="s">
        <v>416</v>
      </c>
      <c r="T55" s="648" t="s">
        <v>108</v>
      </c>
      <c r="U55" s="218" t="s">
        <v>416</v>
      </c>
      <c r="V55" s="218" t="s">
        <v>416</v>
      </c>
      <c r="W55" s="141" t="s">
        <v>69</v>
      </c>
      <c r="X55" s="340" t="s">
        <v>69</v>
      </c>
      <c r="Y55" s="340" t="s">
        <v>69</v>
      </c>
      <c r="Z55" s="340" t="s">
        <v>69</v>
      </c>
      <c r="AA55" s="583" t="s">
        <v>108</v>
      </c>
      <c r="AB55" s="207" t="s">
        <v>69</v>
      </c>
      <c r="AC55" s="672" t="s">
        <v>69</v>
      </c>
      <c r="AD55" s="134" t="s">
        <v>69</v>
      </c>
      <c r="AE55" s="134" t="s">
        <v>69</v>
      </c>
      <c r="AF55" s="134" t="s">
        <v>69</v>
      </c>
      <c r="AG55" s="134" t="s">
        <v>69</v>
      </c>
      <c r="AH55" s="329" t="s">
        <v>108</v>
      </c>
      <c r="AI55" s="120" t="s">
        <v>69</v>
      </c>
      <c r="AJ55" s="120" t="s">
        <v>69</v>
      </c>
      <c r="AK55" s="131" t="s">
        <v>416</v>
      </c>
      <c r="AL55" s="168" t="s">
        <v>69</v>
      </c>
      <c r="AM55" s="168" t="s">
        <v>69</v>
      </c>
      <c r="AN55">
        <f t="shared" si="1"/>
        <v>12</v>
      </c>
      <c r="AO55">
        <f t="shared" si="2"/>
        <v>0</v>
      </c>
      <c r="AP55">
        <f t="shared" si="0"/>
        <v>0</v>
      </c>
    </row>
    <row r="56" spans="1:42" ht="18">
      <c r="A56" s="5">
        <v>55</v>
      </c>
      <c r="B56" s="694" t="s">
        <v>317</v>
      </c>
      <c r="C56" s="254" t="s">
        <v>49</v>
      </c>
      <c r="D56" s="510" t="s">
        <v>412</v>
      </c>
      <c r="E56" s="511" t="s">
        <v>443</v>
      </c>
      <c r="F56" s="512" t="s">
        <v>446</v>
      </c>
      <c r="G56" s="513" t="s">
        <v>291</v>
      </c>
      <c r="H56" s="513" t="s">
        <v>415</v>
      </c>
      <c r="I56" s="674" t="s">
        <v>69</v>
      </c>
      <c r="J56" s="672" t="s">
        <v>69</v>
      </c>
      <c r="K56" s="672" t="s">
        <v>69</v>
      </c>
      <c r="L56" s="68" t="s">
        <v>267</v>
      </c>
      <c r="M56" s="468" t="s">
        <v>108</v>
      </c>
      <c r="N56" s="140" t="s">
        <v>69</v>
      </c>
      <c r="O56" s="9" t="s">
        <v>69</v>
      </c>
      <c r="P56" s="680" t="s">
        <v>69</v>
      </c>
      <c r="Q56" s="680" t="s">
        <v>69</v>
      </c>
      <c r="R56" s="104" t="s">
        <v>69</v>
      </c>
      <c r="S56" s="660" t="s">
        <v>69</v>
      </c>
      <c r="T56" s="469" t="s">
        <v>108</v>
      </c>
      <c r="U56" s="141" t="s">
        <v>69</v>
      </c>
      <c r="V56" s="141" t="s">
        <v>69</v>
      </c>
      <c r="W56" s="141" t="s">
        <v>69</v>
      </c>
      <c r="X56" s="141" t="s">
        <v>69</v>
      </c>
      <c r="Y56" s="141" t="s">
        <v>69</v>
      </c>
      <c r="Z56" s="218" t="s">
        <v>416</v>
      </c>
      <c r="AA56" s="583" t="s">
        <v>108</v>
      </c>
      <c r="AB56" s="141" t="s">
        <v>69</v>
      </c>
      <c r="AC56" s="141" t="s">
        <v>69</v>
      </c>
      <c r="AD56" s="141" t="s">
        <v>69</v>
      </c>
      <c r="AE56" s="141" t="s">
        <v>69</v>
      </c>
      <c r="AF56" s="141" t="s">
        <v>69</v>
      </c>
      <c r="AG56" s="134" t="s">
        <v>69</v>
      </c>
      <c r="AH56" s="329" t="s">
        <v>108</v>
      </c>
      <c r="AI56" s="134" t="s">
        <v>69</v>
      </c>
      <c r="AJ56" s="134" t="s">
        <v>69</v>
      </c>
      <c r="AK56" s="134" t="s">
        <v>69</v>
      </c>
      <c r="AL56" s="134" t="s">
        <v>69</v>
      </c>
      <c r="AM56" s="134" t="s">
        <v>69</v>
      </c>
      <c r="AN56">
        <f t="shared" si="1"/>
        <v>1</v>
      </c>
      <c r="AO56">
        <f t="shared" si="2"/>
        <v>0</v>
      </c>
      <c r="AP56">
        <f t="shared" si="0"/>
        <v>0</v>
      </c>
    </row>
    <row r="57" spans="1:42" ht="18">
      <c r="A57" s="5">
        <v>56</v>
      </c>
      <c r="B57" s="694" t="s">
        <v>361</v>
      </c>
      <c r="C57" s="254" t="s">
        <v>203</v>
      </c>
      <c r="D57" s="510" t="s">
        <v>412</v>
      </c>
      <c r="E57" s="511" t="s">
        <v>462</v>
      </c>
      <c r="F57" s="512" t="s">
        <v>421</v>
      </c>
      <c r="G57" s="513" t="s">
        <v>286</v>
      </c>
      <c r="H57" s="513" t="s">
        <v>415</v>
      </c>
      <c r="I57" s="674" t="s">
        <v>69</v>
      </c>
      <c r="J57" s="672" t="s">
        <v>69</v>
      </c>
      <c r="K57" s="672" t="s">
        <v>69</v>
      </c>
      <c r="L57" s="65" t="s">
        <v>69</v>
      </c>
      <c r="M57" s="468" t="s">
        <v>108</v>
      </c>
      <c r="N57" s="140" t="s">
        <v>69</v>
      </c>
      <c r="O57" s="205" t="s">
        <v>69</v>
      </c>
      <c r="P57" s="680" t="s">
        <v>69</v>
      </c>
      <c r="Q57" s="680" t="s">
        <v>69</v>
      </c>
      <c r="R57" s="104" t="s">
        <v>69</v>
      </c>
      <c r="S57" s="480" t="s">
        <v>69</v>
      </c>
      <c r="T57" s="648" t="s">
        <v>108</v>
      </c>
      <c r="U57" s="158" t="s">
        <v>69</v>
      </c>
      <c r="V57" s="158" t="s">
        <v>69</v>
      </c>
      <c r="W57" s="158" t="s">
        <v>69</v>
      </c>
      <c r="X57" s="662" t="s">
        <v>416</v>
      </c>
      <c r="Y57" s="158" t="s">
        <v>69</v>
      </c>
      <c r="Z57" s="158" t="s">
        <v>69</v>
      </c>
      <c r="AA57" s="583" t="s">
        <v>108</v>
      </c>
      <c r="AB57" s="141" t="s">
        <v>69</v>
      </c>
      <c r="AC57" s="141" t="s">
        <v>69</v>
      </c>
      <c r="AD57" s="141" t="s">
        <v>69</v>
      </c>
      <c r="AE57" s="141" t="s">
        <v>69</v>
      </c>
      <c r="AF57" s="121" t="s">
        <v>416</v>
      </c>
      <c r="AG57" s="132" t="s">
        <v>514</v>
      </c>
      <c r="AH57" s="427" t="s">
        <v>108</v>
      </c>
      <c r="AI57" s="134" t="s">
        <v>69</v>
      </c>
      <c r="AJ57" s="134" t="s">
        <v>69</v>
      </c>
      <c r="AK57" s="134" t="s">
        <v>69</v>
      </c>
      <c r="AL57" s="134" t="s">
        <v>69</v>
      </c>
      <c r="AM57" s="131" t="s">
        <v>416</v>
      </c>
      <c r="AN57">
        <f t="shared" si="1"/>
        <v>3.5</v>
      </c>
      <c r="AO57">
        <f t="shared" si="2"/>
        <v>0</v>
      </c>
      <c r="AP57">
        <f t="shared" si="0"/>
        <v>1</v>
      </c>
    </row>
    <row r="58" spans="1:42" ht="18">
      <c r="A58" s="5">
        <v>57</v>
      </c>
      <c r="B58" s="694" t="s">
        <v>399</v>
      </c>
      <c r="C58" s="2" t="s">
        <v>185</v>
      </c>
      <c r="D58" s="510" t="s">
        <v>412</v>
      </c>
      <c r="E58" s="536" t="s">
        <v>462</v>
      </c>
      <c r="F58" s="531" t="s">
        <v>477</v>
      </c>
      <c r="G58" s="513" t="s">
        <v>296</v>
      </c>
      <c r="H58" s="513" t="s">
        <v>415</v>
      </c>
      <c r="I58" s="159" t="s">
        <v>267</v>
      </c>
      <c r="J58" s="672" t="s">
        <v>69</v>
      </c>
      <c r="K58" s="672" t="s">
        <v>69</v>
      </c>
      <c r="L58" s="65" t="s">
        <v>69</v>
      </c>
      <c r="M58" s="433" t="s">
        <v>108</v>
      </c>
      <c r="N58" s="140" t="s">
        <v>69</v>
      </c>
      <c r="O58" s="104" t="s">
        <v>69</v>
      </c>
      <c r="P58" s="680" t="s">
        <v>69</v>
      </c>
      <c r="Q58" s="680" t="s">
        <v>69</v>
      </c>
      <c r="R58" s="104" t="s">
        <v>69</v>
      </c>
      <c r="S58" s="480" t="s">
        <v>69</v>
      </c>
      <c r="T58" s="469" t="s">
        <v>108</v>
      </c>
      <c r="U58" s="649" t="s">
        <v>69</v>
      </c>
      <c r="V58" s="649" t="s">
        <v>69</v>
      </c>
      <c r="W58" s="649" t="s">
        <v>69</v>
      </c>
      <c r="X58" s="141" t="s">
        <v>69</v>
      </c>
      <c r="Y58" s="141" t="s">
        <v>69</v>
      </c>
      <c r="Z58" s="141" t="s">
        <v>69</v>
      </c>
      <c r="AA58" s="583" t="s">
        <v>108</v>
      </c>
      <c r="AB58" s="120" t="s">
        <v>69</v>
      </c>
      <c r="AC58" s="120" t="s">
        <v>69</v>
      </c>
      <c r="AD58" s="120" t="s">
        <v>69</v>
      </c>
      <c r="AE58" s="120" t="s">
        <v>69</v>
      </c>
      <c r="AF58" s="120" t="s">
        <v>69</v>
      </c>
      <c r="AG58" s="134" t="s">
        <v>69</v>
      </c>
      <c r="AH58" s="329" t="s">
        <v>108</v>
      </c>
      <c r="AI58" s="121" t="s">
        <v>416</v>
      </c>
      <c r="AJ58" s="134" t="s">
        <v>69</v>
      </c>
      <c r="AK58" s="134" t="s">
        <v>69</v>
      </c>
      <c r="AL58" s="134" t="s">
        <v>69</v>
      </c>
      <c r="AM58" s="134" t="s">
        <v>69</v>
      </c>
      <c r="AN58">
        <f t="shared" si="1"/>
        <v>1</v>
      </c>
      <c r="AO58">
        <f t="shared" si="2"/>
        <v>0</v>
      </c>
      <c r="AP58">
        <f t="shared" si="0"/>
        <v>0</v>
      </c>
    </row>
    <row r="59" spans="1:42" ht="18">
      <c r="A59" s="5">
        <v>58</v>
      </c>
      <c r="B59" s="694" t="s">
        <v>374</v>
      </c>
      <c r="C59" s="254" t="s">
        <v>244</v>
      </c>
      <c r="D59" s="510" t="s">
        <v>412</v>
      </c>
      <c r="E59" s="511" t="s">
        <v>418</v>
      </c>
      <c r="F59" s="512" t="s">
        <v>478</v>
      </c>
      <c r="G59" s="513" t="s">
        <v>284</v>
      </c>
      <c r="H59" s="513" t="s">
        <v>415</v>
      </c>
      <c r="I59" s="674" t="s">
        <v>69</v>
      </c>
      <c r="J59" s="204" t="s">
        <v>416</v>
      </c>
      <c r="K59" s="672" t="s">
        <v>69</v>
      </c>
      <c r="L59" s="585" t="s">
        <v>267</v>
      </c>
      <c r="M59" s="433" t="s">
        <v>108</v>
      </c>
      <c r="N59" s="140" t="s">
        <v>69</v>
      </c>
      <c r="O59" s="242" t="s">
        <v>514</v>
      </c>
      <c r="P59" s="638" t="s">
        <v>69</v>
      </c>
      <c r="Q59" s="573" t="s">
        <v>69</v>
      </c>
      <c r="R59" s="104" t="s">
        <v>69</v>
      </c>
      <c r="S59" s="650" t="s">
        <v>69</v>
      </c>
      <c r="T59" s="648" t="s">
        <v>108</v>
      </c>
      <c r="U59" s="120" t="s">
        <v>69</v>
      </c>
      <c r="V59" s="120" t="s">
        <v>69</v>
      </c>
      <c r="W59" s="120" t="s">
        <v>69</v>
      </c>
      <c r="X59" s="120" t="s">
        <v>69</v>
      </c>
      <c r="Y59" s="120" t="s">
        <v>69</v>
      </c>
      <c r="Z59" s="120" t="s">
        <v>69</v>
      </c>
      <c r="AA59" s="583" t="s">
        <v>108</v>
      </c>
      <c r="AB59" s="141" t="s">
        <v>69</v>
      </c>
      <c r="AC59" s="141" t="s">
        <v>69</v>
      </c>
      <c r="AD59" s="141" t="s">
        <v>69</v>
      </c>
      <c r="AE59" s="576" t="s">
        <v>514</v>
      </c>
      <c r="AF59" s="141" t="s">
        <v>69</v>
      </c>
      <c r="AG59" s="121" t="s">
        <v>416</v>
      </c>
      <c r="AH59" s="427" t="s">
        <v>108</v>
      </c>
      <c r="AI59" s="132" t="s">
        <v>514</v>
      </c>
      <c r="AJ59" s="168" t="s">
        <v>69</v>
      </c>
      <c r="AK59" s="147" t="s">
        <v>92</v>
      </c>
      <c r="AL59" s="134" t="s">
        <v>69</v>
      </c>
      <c r="AM59" s="134" t="s">
        <v>69</v>
      </c>
      <c r="AN59">
        <f t="shared" si="1"/>
        <v>3.5</v>
      </c>
      <c r="AO59">
        <f t="shared" si="2"/>
        <v>0</v>
      </c>
      <c r="AP59">
        <f t="shared" si="0"/>
        <v>3</v>
      </c>
    </row>
    <row r="60" spans="1:42" ht="18">
      <c r="A60" s="5">
        <v>59</v>
      </c>
      <c r="B60" s="694" t="s">
        <v>337</v>
      </c>
      <c r="C60" s="254" t="s">
        <v>50</v>
      </c>
      <c r="D60" s="510" t="s">
        <v>412</v>
      </c>
      <c r="E60" s="511" t="s">
        <v>462</v>
      </c>
      <c r="F60" s="512" t="s">
        <v>474</v>
      </c>
      <c r="G60" s="513" t="s">
        <v>284</v>
      </c>
      <c r="H60" s="513" t="s">
        <v>415</v>
      </c>
      <c r="I60" s="153" t="s">
        <v>416</v>
      </c>
      <c r="J60" s="121" t="s">
        <v>416</v>
      </c>
      <c r="K60" s="672" t="s">
        <v>69</v>
      </c>
      <c r="L60" s="683" t="s">
        <v>516</v>
      </c>
      <c r="M60" s="468" t="s">
        <v>108</v>
      </c>
      <c r="N60" s="674" t="s">
        <v>516</v>
      </c>
      <c r="O60" s="229" t="s">
        <v>69</v>
      </c>
      <c r="P60" s="672" t="s">
        <v>69</v>
      </c>
      <c r="Q60" s="684" t="s">
        <v>69</v>
      </c>
      <c r="R60" s="104" t="s">
        <v>69</v>
      </c>
      <c r="S60" s="480" t="s">
        <v>69</v>
      </c>
      <c r="T60" s="469" t="s">
        <v>108</v>
      </c>
      <c r="U60" s="685" t="s">
        <v>69</v>
      </c>
      <c r="V60" s="685" t="s">
        <v>69</v>
      </c>
      <c r="W60" s="685" t="s">
        <v>69</v>
      </c>
      <c r="X60" s="685" t="s">
        <v>69</v>
      </c>
      <c r="Y60" s="685" t="s">
        <v>69</v>
      </c>
      <c r="Z60" s="685" t="s">
        <v>69</v>
      </c>
      <c r="AA60" s="583" t="s">
        <v>108</v>
      </c>
      <c r="AB60" s="672" t="s">
        <v>69</v>
      </c>
      <c r="AC60" s="672" t="s">
        <v>69</v>
      </c>
      <c r="AD60" s="672" t="s">
        <v>69</v>
      </c>
      <c r="AE60" s="672" t="s">
        <v>69</v>
      </c>
      <c r="AF60" s="672" t="s">
        <v>69</v>
      </c>
      <c r="AG60" s="134" t="s">
        <v>69</v>
      </c>
      <c r="AH60" s="329" t="s">
        <v>108</v>
      </c>
      <c r="AI60" s="121" t="s">
        <v>416</v>
      </c>
      <c r="AJ60" s="132" t="s">
        <v>514</v>
      </c>
      <c r="AK60" s="134" t="s">
        <v>69</v>
      </c>
      <c r="AL60" s="134" t="s">
        <v>69</v>
      </c>
      <c r="AM60" s="134" t="s">
        <v>69</v>
      </c>
      <c r="AN60">
        <f t="shared" si="1"/>
        <v>3.5</v>
      </c>
      <c r="AO60">
        <f t="shared" si="2"/>
        <v>0</v>
      </c>
      <c r="AP60">
        <f t="shared" si="0"/>
        <v>1</v>
      </c>
    </row>
    <row r="61" spans="1:42" ht="18">
      <c r="A61" s="5">
        <v>60</v>
      </c>
      <c r="B61" s="694" t="s">
        <v>358</v>
      </c>
      <c r="C61" s="254" t="s">
        <v>186</v>
      </c>
      <c r="D61" s="510" t="s">
        <v>412</v>
      </c>
      <c r="E61" s="511" t="s">
        <v>462</v>
      </c>
      <c r="F61" s="512" t="s">
        <v>446</v>
      </c>
      <c r="G61" s="513" t="s">
        <v>291</v>
      </c>
      <c r="H61" s="513" t="s">
        <v>415</v>
      </c>
      <c r="I61" s="674" t="s">
        <v>69</v>
      </c>
      <c r="J61" s="686" t="s">
        <v>69</v>
      </c>
      <c r="K61" s="686" t="s">
        <v>69</v>
      </c>
      <c r="L61" s="686" t="s">
        <v>69</v>
      </c>
      <c r="M61" s="468" t="s">
        <v>108</v>
      </c>
      <c r="N61" s="140" t="s">
        <v>69</v>
      </c>
      <c r="O61" s="120" t="s">
        <v>69</v>
      </c>
      <c r="P61" s="639" t="s">
        <v>69</v>
      </c>
      <c r="Q61" s="580" t="s">
        <v>69</v>
      </c>
      <c r="R61" s="104" t="s">
        <v>69</v>
      </c>
      <c r="S61" s="480" t="s">
        <v>69</v>
      </c>
      <c r="T61" s="648" t="s">
        <v>108</v>
      </c>
      <c r="U61" s="685" t="s">
        <v>69</v>
      </c>
      <c r="V61" s="685" t="s">
        <v>69</v>
      </c>
      <c r="W61" s="685" t="s">
        <v>69</v>
      </c>
      <c r="X61" s="685" t="s">
        <v>69</v>
      </c>
      <c r="Y61" s="685" t="s">
        <v>69</v>
      </c>
      <c r="Z61" s="685" t="s">
        <v>69</v>
      </c>
      <c r="AA61" s="583" t="s">
        <v>108</v>
      </c>
      <c r="AB61" s="672" t="s">
        <v>69</v>
      </c>
      <c r="AC61" s="672" t="s">
        <v>69</v>
      </c>
      <c r="AD61" s="672" t="s">
        <v>69</v>
      </c>
      <c r="AE61" s="672" t="s">
        <v>69</v>
      </c>
      <c r="AF61" s="134" t="s">
        <v>69</v>
      </c>
      <c r="AG61" s="134" t="s">
        <v>69</v>
      </c>
      <c r="AH61" s="427" t="s">
        <v>108</v>
      </c>
      <c r="AI61" s="134" t="s">
        <v>69</v>
      </c>
      <c r="AJ61" s="134" t="s">
        <v>69</v>
      </c>
      <c r="AK61" s="134" t="s">
        <v>69</v>
      </c>
      <c r="AL61" s="134" t="s">
        <v>69</v>
      </c>
      <c r="AM61" s="134" t="s">
        <v>69</v>
      </c>
      <c r="AN61">
        <f t="shared" si="1"/>
        <v>0</v>
      </c>
      <c r="AO61">
        <f t="shared" si="2"/>
        <v>0</v>
      </c>
      <c r="AP61">
        <f t="shared" si="0"/>
        <v>0</v>
      </c>
    </row>
    <row r="62" spans="1:42" ht="18">
      <c r="A62" s="5">
        <v>61</v>
      </c>
      <c r="B62" s="695" t="s">
        <v>369</v>
      </c>
      <c r="C62" s="254" t="s">
        <v>510</v>
      </c>
      <c r="D62" s="510" t="s">
        <v>412</v>
      </c>
      <c r="E62" s="511" t="s">
        <v>413</v>
      </c>
      <c r="F62" s="512" t="s">
        <v>459</v>
      </c>
      <c r="G62" s="513" t="s">
        <v>301</v>
      </c>
      <c r="H62" s="513" t="s">
        <v>415</v>
      </c>
      <c r="I62" s="674" t="s">
        <v>69</v>
      </c>
      <c r="J62" s="672" t="s">
        <v>69</v>
      </c>
      <c r="K62" s="672" t="s">
        <v>69</v>
      </c>
      <c r="L62" s="207" t="s">
        <v>69</v>
      </c>
      <c r="M62" s="433" t="s">
        <v>108</v>
      </c>
      <c r="N62" s="140" t="s">
        <v>69</v>
      </c>
      <c r="O62" s="108" t="s">
        <v>69</v>
      </c>
      <c r="P62" s="640" t="s">
        <v>69</v>
      </c>
      <c r="Q62" s="104" t="s">
        <v>69</v>
      </c>
      <c r="R62" s="104" t="s">
        <v>69</v>
      </c>
      <c r="S62" s="581" t="s">
        <v>416</v>
      </c>
      <c r="T62" s="469" t="s">
        <v>108</v>
      </c>
      <c r="U62" s="480" t="s">
        <v>69</v>
      </c>
      <c r="V62" s="685" t="s">
        <v>69</v>
      </c>
      <c r="W62" s="685" t="s">
        <v>69</v>
      </c>
      <c r="X62" s="685" t="s">
        <v>69</v>
      </c>
      <c r="Y62" s="685" t="s">
        <v>69</v>
      </c>
      <c r="Z62" s="685" t="s">
        <v>69</v>
      </c>
      <c r="AA62" s="583" t="s">
        <v>108</v>
      </c>
      <c r="AB62" s="134" t="s">
        <v>69</v>
      </c>
      <c r="AC62" s="134" t="s">
        <v>69</v>
      </c>
      <c r="AD62" s="134" t="s">
        <v>69</v>
      </c>
      <c r="AE62" s="134" t="s">
        <v>69</v>
      </c>
      <c r="AF62" s="134" t="s">
        <v>69</v>
      </c>
      <c r="AG62" s="134" t="s">
        <v>69</v>
      </c>
      <c r="AH62" s="329" t="s">
        <v>108</v>
      </c>
      <c r="AI62" s="134" t="s">
        <v>69</v>
      </c>
      <c r="AJ62" s="120" t="s">
        <v>69</v>
      </c>
      <c r="AK62" s="134" t="s">
        <v>69</v>
      </c>
      <c r="AL62" s="134" t="s">
        <v>69</v>
      </c>
      <c r="AM62" s="134" t="s">
        <v>69</v>
      </c>
      <c r="AN62">
        <f t="shared" si="1"/>
        <v>1</v>
      </c>
      <c r="AO62">
        <f t="shared" si="2"/>
        <v>0</v>
      </c>
      <c r="AP62">
        <f t="shared" si="0"/>
        <v>0</v>
      </c>
    </row>
    <row r="63" spans="1:42" ht="18">
      <c r="A63" s="5">
        <v>62</v>
      </c>
      <c r="B63" s="694" t="s">
        <v>327</v>
      </c>
      <c r="C63" s="254" t="s">
        <v>52</v>
      </c>
      <c r="D63" s="510" t="s">
        <v>412</v>
      </c>
      <c r="E63" s="511" t="s">
        <v>443</v>
      </c>
      <c r="F63" s="512" t="s">
        <v>428</v>
      </c>
      <c r="G63" s="513" t="s">
        <v>133</v>
      </c>
      <c r="H63" s="513" t="s">
        <v>415</v>
      </c>
      <c r="I63" s="674" t="s">
        <v>69</v>
      </c>
      <c r="J63" s="672" t="s">
        <v>69</v>
      </c>
      <c r="K63" s="672" t="s">
        <v>69</v>
      </c>
      <c r="L63" s="239" t="s">
        <v>69</v>
      </c>
      <c r="M63" s="433" t="s">
        <v>108</v>
      </c>
      <c r="N63" s="140" t="s">
        <v>69</v>
      </c>
      <c r="O63" s="288" t="s">
        <v>69</v>
      </c>
      <c r="P63" s="435" t="s">
        <v>69</v>
      </c>
      <c r="Q63" s="639" t="s">
        <v>69</v>
      </c>
      <c r="R63" s="104" t="s">
        <v>69</v>
      </c>
      <c r="S63" s="480" t="s">
        <v>69</v>
      </c>
      <c r="T63" s="648" t="s">
        <v>108</v>
      </c>
      <c r="U63" s="480" t="s">
        <v>69</v>
      </c>
      <c r="V63" s="685" t="s">
        <v>69</v>
      </c>
      <c r="W63" s="685" t="s">
        <v>69</v>
      </c>
      <c r="X63" s="685" t="s">
        <v>69</v>
      </c>
      <c r="Y63" s="685" t="s">
        <v>69</v>
      </c>
      <c r="Z63" s="685" t="s">
        <v>69</v>
      </c>
      <c r="AA63" s="583" t="s">
        <v>108</v>
      </c>
      <c r="AB63" s="120" t="s">
        <v>69</v>
      </c>
      <c r="AC63" s="672" t="s">
        <v>69</v>
      </c>
      <c r="AD63" s="134" t="s">
        <v>69</v>
      </c>
      <c r="AE63" s="134" t="s">
        <v>69</v>
      </c>
      <c r="AF63" s="134" t="s">
        <v>69</v>
      </c>
      <c r="AG63" s="134" t="s">
        <v>69</v>
      </c>
      <c r="AH63" s="427" t="s">
        <v>108</v>
      </c>
      <c r="AI63" s="134" t="s">
        <v>69</v>
      </c>
      <c r="AJ63" s="134" t="s">
        <v>69</v>
      </c>
      <c r="AK63" s="134" t="s">
        <v>69</v>
      </c>
      <c r="AL63" s="134" t="s">
        <v>69</v>
      </c>
      <c r="AM63" s="134" t="s">
        <v>69</v>
      </c>
      <c r="AN63">
        <f t="shared" si="1"/>
        <v>0</v>
      </c>
      <c r="AO63">
        <f t="shared" si="2"/>
        <v>0</v>
      </c>
      <c r="AP63">
        <f t="shared" si="0"/>
        <v>0</v>
      </c>
    </row>
    <row r="64" spans="1:42" ht="18">
      <c r="A64" s="5">
        <v>63</v>
      </c>
      <c r="B64" s="694" t="s">
        <v>311</v>
      </c>
      <c r="C64" s="254" t="s">
        <v>53</v>
      </c>
      <c r="D64" s="510" t="s">
        <v>412</v>
      </c>
      <c r="E64" s="511" t="s">
        <v>413</v>
      </c>
      <c r="F64" s="512" t="s">
        <v>476</v>
      </c>
      <c r="G64" s="513" t="s">
        <v>291</v>
      </c>
      <c r="H64" s="513" t="s">
        <v>415</v>
      </c>
      <c r="I64" s="674" t="s">
        <v>69</v>
      </c>
      <c r="J64" s="121" t="s">
        <v>416</v>
      </c>
      <c r="K64" s="207" t="s">
        <v>69</v>
      </c>
      <c r="L64" s="207" t="s">
        <v>69</v>
      </c>
      <c r="M64" s="468" t="s">
        <v>108</v>
      </c>
      <c r="N64" s="169" t="s">
        <v>69</v>
      </c>
      <c r="O64" s="168" t="s">
        <v>69</v>
      </c>
      <c r="P64" s="168" t="s">
        <v>69</v>
      </c>
      <c r="Q64" s="168" t="s">
        <v>69</v>
      </c>
      <c r="R64" s="104" t="s">
        <v>69</v>
      </c>
      <c r="S64" s="168" t="s">
        <v>69</v>
      </c>
      <c r="T64" s="469" t="s">
        <v>108</v>
      </c>
      <c r="U64" s="657" t="s">
        <v>514</v>
      </c>
      <c r="V64" s="218" t="s">
        <v>416</v>
      </c>
      <c r="W64" s="134" t="s">
        <v>69</v>
      </c>
      <c r="X64" s="121" t="s">
        <v>416</v>
      </c>
      <c r="Y64" s="132" t="s">
        <v>514</v>
      </c>
      <c r="Z64" s="134" t="s">
        <v>69</v>
      </c>
      <c r="AA64" s="583" t="s">
        <v>108</v>
      </c>
      <c r="AB64" s="121" t="s">
        <v>416</v>
      </c>
      <c r="AC64" s="121" t="s">
        <v>416</v>
      </c>
      <c r="AD64" s="132" t="s">
        <v>514</v>
      </c>
      <c r="AE64" s="132" t="s">
        <v>514</v>
      </c>
      <c r="AF64" s="134" t="s">
        <v>69</v>
      </c>
      <c r="AG64" s="134" t="s">
        <v>69</v>
      </c>
      <c r="AH64" s="329" t="s">
        <v>108</v>
      </c>
      <c r="AI64" s="147" t="s">
        <v>92</v>
      </c>
      <c r="AJ64" s="447" t="s">
        <v>514</v>
      </c>
      <c r="AK64" s="134" t="s">
        <v>69</v>
      </c>
      <c r="AL64" s="134" t="s">
        <v>69</v>
      </c>
      <c r="AM64" s="134" t="s">
        <v>69</v>
      </c>
      <c r="AN64">
        <f t="shared" si="1"/>
        <v>7.5</v>
      </c>
      <c r="AO64">
        <f t="shared" si="2"/>
        <v>0</v>
      </c>
      <c r="AP64">
        <f t="shared" si="0"/>
        <v>5</v>
      </c>
    </row>
    <row r="65" spans="1:42" ht="18">
      <c r="A65" s="5">
        <v>64</v>
      </c>
      <c r="B65" s="694" t="s">
        <v>390</v>
      </c>
      <c r="C65" s="254" t="s">
        <v>274</v>
      </c>
      <c r="D65" s="510" t="s">
        <v>412</v>
      </c>
      <c r="E65" s="511" t="s">
        <v>462</v>
      </c>
      <c r="F65" s="512" t="s">
        <v>480</v>
      </c>
      <c r="G65" s="513" t="s">
        <v>296</v>
      </c>
      <c r="H65" s="513" t="s">
        <v>415</v>
      </c>
      <c r="I65" s="674" t="s">
        <v>69</v>
      </c>
      <c r="J65" s="672" t="s">
        <v>69</v>
      </c>
      <c r="K65" s="672" t="s">
        <v>69</v>
      </c>
      <c r="L65" s="672" t="s">
        <v>69</v>
      </c>
      <c r="M65" s="468" t="s">
        <v>108</v>
      </c>
      <c r="N65" s="674" t="s">
        <v>69</v>
      </c>
      <c r="O65" s="686" t="s">
        <v>69</v>
      </c>
      <c r="P65" s="686" t="s">
        <v>69</v>
      </c>
      <c r="Q65" s="686" t="s">
        <v>69</v>
      </c>
      <c r="R65" s="104" t="s">
        <v>69</v>
      </c>
      <c r="S65" s="686" t="s">
        <v>69</v>
      </c>
      <c r="T65" s="648" t="s">
        <v>108</v>
      </c>
      <c r="U65" s="207" t="s">
        <v>69</v>
      </c>
      <c r="V65" s="207" t="s">
        <v>69</v>
      </c>
      <c r="W65" s="207" t="s">
        <v>69</v>
      </c>
      <c r="X65" s="207" t="s">
        <v>69</v>
      </c>
      <c r="Y65" s="207" t="s">
        <v>69</v>
      </c>
      <c r="Z65" s="121" t="s">
        <v>416</v>
      </c>
      <c r="AA65" s="583" t="s">
        <v>108</v>
      </c>
      <c r="AB65" s="134" t="s">
        <v>69</v>
      </c>
      <c r="AC65" s="406" t="s">
        <v>416</v>
      </c>
      <c r="AD65" s="121" t="s">
        <v>416</v>
      </c>
      <c r="AE65" s="121" t="s">
        <v>416</v>
      </c>
      <c r="AF65" s="134" t="s">
        <v>69</v>
      </c>
      <c r="AG65" s="134" t="s">
        <v>69</v>
      </c>
      <c r="AH65" s="427" t="s">
        <v>108</v>
      </c>
      <c r="AI65" s="120" t="s">
        <v>69</v>
      </c>
      <c r="AJ65" s="120" t="s">
        <v>69</v>
      </c>
      <c r="AK65" s="120" t="s">
        <v>69</v>
      </c>
      <c r="AL65" s="120" t="s">
        <v>69</v>
      </c>
      <c r="AM65" s="120" t="s">
        <v>69</v>
      </c>
      <c r="AN65">
        <f t="shared" si="1"/>
        <v>4</v>
      </c>
      <c r="AO65">
        <f t="shared" si="2"/>
        <v>0</v>
      </c>
      <c r="AP65">
        <f t="shared" si="0"/>
        <v>0</v>
      </c>
    </row>
    <row r="66" spans="1:42" ht="15.75">
      <c r="A66" s="5">
        <v>65</v>
      </c>
      <c r="B66" s="697" t="s">
        <v>483</v>
      </c>
      <c r="C66" s="698" t="s">
        <v>484</v>
      </c>
      <c r="D66" s="510" t="s">
        <v>412</v>
      </c>
      <c r="E66" s="511" t="s">
        <v>418</v>
      </c>
      <c r="F66" s="512" t="s">
        <v>482</v>
      </c>
      <c r="G66" s="513" t="s">
        <v>396</v>
      </c>
      <c r="H66" s="513" t="s">
        <v>415</v>
      </c>
      <c r="I66" s="674" t="s">
        <v>69</v>
      </c>
      <c r="J66" s="672" t="s">
        <v>69</v>
      </c>
      <c r="K66" s="672" t="s">
        <v>69</v>
      </c>
      <c r="L66" s="672" t="s">
        <v>69</v>
      </c>
      <c r="M66" s="433" t="s">
        <v>108</v>
      </c>
      <c r="N66" s="239" t="s">
        <v>69</v>
      </c>
      <c r="O66" s="587" t="s">
        <v>532</v>
      </c>
      <c r="P66" s="686" t="s">
        <v>69</v>
      </c>
      <c r="Q66" s="686" t="s">
        <v>69</v>
      </c>
      <c r="R66" s="104" t="s">
        <v>69</v>
      </c>
      <c r="S66" s="686" t="s">
        <v>69</v>
      </c>
      <c r="T66" s="469" t="s">
        <v>108</v>
      </c>
      <c r="U66" s="207" t="s">
        <v>69</v>
      </c>
      <c r="V66" s="207" t="s">
        <v>69</v>
      </c>
      <c r="W66" s="207" t="s">
        <v>69</v>
      </c>
      <c r="X66" s="144" t="s">
        <v>416</v>
      </c>
      <c r="Y66" s="207" t="s">
        <v>69</v>
      </c>
      <c r="Z66" s="230" t="s">
        <v>69</v>
      </c>
      <c r="AA66" s="583" t="s">
        <v>108</v>
      </c>
      <c r="AB66" s="134" t="s">
        <v>69</v>
      </c>
      <c r="AC66" s="134" t="s">
        <v>69</v>
      </c>
      <c r="AD66" s="134" t="s">
        <v>69</v>
      </c>
      <c r="AE66" s="134" t="s">
        <v>69</v>
      </c>
      <c r="AF66" s="121" t="s">
        <v>416</v>
      </c>
      <c r="AG66" s="120" t="s">
        <v>69</v>
      </c>
      <c r="AH66" s="329" t="s">
        <v>108</v>
      </c>
      <c r="AI66" s="120" t="s">
        <v>69</v>
      </c>
      <c r="AJ66" s="120" t="s">
        <v>69</v>
      </c>
      <c r="AK66" s="120" t="s">
        <v>69</v>
      </c>
      <c r="AL66" s="120" t="s">
        <v>69</v>
      </c>
      <c r="AM66" s="120" t="s">
        <v>69</v>
      </c>
      <c r="AN66">
        <f t="shared" si="1"/>
        <v>2</v>
      </c>
      <c r="AO66">
        <f t="shared" si="2"/>
        <v>0</v>
      </c>
      <c r="AP66">
        <f t="shared" ref="AP66:AP74" si="3">COUNTIF(K66:AO66, "HD-L")</f>
        <v>0</v>
      </c>
    </row>
    <row r="67" spans="1:42" ht="18">
      <c r="A67" s="5">
        <v>66</v>
      </c>
      <c r="B67" s="695" t="s">
        <v>533</v>
      </c>
      <c r="C67" s="254" t="s">
        <v>534</v>
      </c>
      <c r="D67" s="510" t="s">
        <v>412</v>
      </c>
      <c r="E67" s="511" t="s">
        <v>413</v>
      </c>
      <c r="F67" s="512" t="s">
        <v>444</v>
      </c>
      <c r="G67" s="513" t="s">
        <v>295</v>
      </c>
      <c r="H67" s="513"/>
      <c r="I67" s="153" t="s">
        <v>410</v>
      </c>
      <c r="J67" s="153" t="s">
        <v>410</v>
      </c>
      <c r="K67" s="153" t="s">
        <v>410</v>
      </c>
      <c r="L67" s="153" t="s">
        <v>410</v>
      </c>
      <c r="M67" s="468" t="s">
        <v>108</v>
      </c>
      <c r="N67" s="153" t="s">
        <v>410</v>
      </c>
      <c r="O67" s="153" t="s">
        <v>410</v>
      </c>
      <c r="P67" s="153" t="s">
        <v>410</v>
      </c>
      <c r="Q67" s="153" t="s">
        <v>410</v>
      </c>
      <c r="R67" s="104" t="s">
        <v>69</v>
      </c>
      <c r="S67" s="153" t="s">
        <v>410</v>
      </c>
      <c r="T67" s="648" t="s">
        <v>108</v>
      </c>
      <c r="U67" s="153" t="s">
        <v>410</v>
      </c>
      <c r="V67" s="153" t="s">
        <v>410</v>
      </c>
      <c r="W67" s="153" t="s">
        <v>410</v>
      </c>
      <c r="X67" s="153" t="s">
        <v>410</v>
      </c>
      <c r="Y67" s="153" t="s">
        <v>410</v>
      </c>
      <c r="Z67" s="121" t="s">
        <v>410</v>
      </c>
      <c r="AA67" s="583" t="s">
        <v>108</v>
      </c>
      <c r="AB67" s="134" t="s">
        <v>69</v>
      </c>
      <c r="AC67" s="134" t="s">
        <v>69</v>
      </c>
      <c r="AD67" s="147" t="s">
        <v>92</v>
      </c>
      <c r="AE67" s="134" t="s">
        <v>69</v>
      </c>
      <c r="AF67" s="134" t="s">
        <v>69</v>
      </c>
      <c r="AG67" s="134" t="s">
        <v>69</v>
      </c>
      <c r="AH67" s="329" t="s">
        <v>108</v>
      </c>
      <c r="AI67" s="120" t="s">
        <v>69</v>
      </c>
      <c r="AJ67" s="120" t="s">
        <v>69</v>
      </c>
      <c r="AK67" s="120" t="s">
        <v>69</v>
      </c>
      <c r="AL67" s="120" t="s">
        <v>69</v>
      </c>
      <c r="AM67" s="120" t="s">
        <v>69</v>
      </c>
      <c r="AN67">
        <f t="shared" ref="AN67:AN74" si="4">COUNTIF(I67:AM67, "L")+COUNTIF(I67:AM67, "HD-L")/2</f>
        <v>0</v>
      </c>
      <c r="AO67">
        <f t="shared" ref="AO67:AO74" si="5">COUNTIF(I67:AM67, "LWP")</f>
        <v>15</v>
      </c>
      <c r="AP67">
        <f t="shared" si="3"/>
        <v>0</v>
      </c>
    </row>
    <row r="68" spans="1:42" ht="18">
      <c r="A68" s="5">
        <v>67</v>
      </c>
      <c r="B68" s="695" t="s">
        <v>363</v>
      </c>
      <c r="C68" s="254" t="s">
        <v>511</v>
      </c>
      <c r="D68" s="510" t="s">
        <v>412</v>
      </c>
      <c r="E68" s="511" t="s">
        <v>418</v>
      </c>
      <c r="F68" s="531" t="s">
        <v>485</v>
      </c>
      <c r="G68" s="513" t="s">
        <v>286</v>
      </c>
      <c r="H68" s="513" t="s">
        <v>415</v>
      </c>
      <c r="I68" s="153" t="s">
        <v>416</v>
      </c>
      <c r="J68" s="121" t="s">
        <v>416</v>
      </c>
      <c r="K68" s="207" t="s">
        <v>69</v>
      </c>
      <c r="L68" s="207" t="s">
        <v>69</v>
      </c>
      <c r="M68" s="433" t="s">
        <v>108</v>
      </c>
      <c r="N68" s="153" t="s">
        <v>416</v>
      </c>
      <c r="O68" s="288" t="s">
        <v>69</v>
      </c>
      <c r="P68" s="188" t="s">
        <v>416</v>
      </c>
      <c r="Q68" s="686" t="s">
        <v>69</v>
      </c>
      <c r="R68" s="104" t="s">
        <v>69</v>
      </c>
      <c r="S68" s="686" t="s">
        <v>69</v>
      </c>
      <c r="T68" s="648" t="s">
        <v>108</v>
      </c>
      <c r="U68" s="207" t="s">
        <v>69</v>
      </c>
      <c r="V68" s="207" t="s">
        <v>69</v>
      </c>
      <c r="W68" s="207" t="s">
        <v>69</v>
      </c>
      <c r="X68" s="207" t="s">
        <v>69</v>
      </c>
      <c r="Y68" s="207" t="s">
        <v>69</v>
      </c>
      <c r="Z68" s="340" t="s">
        <v>69</v>
      </c>
      <c r="AA68" s="583" t="s">
        <v>108</v>
      </c>
      <c r="AB68" s="134" t="s">
        <v>69</v>
      </c>
      <c r="AC68" s="134" t="s">
        <v>69</v>
      </c>
      <c r="AD68" s="134" t="s">
        <v>69</v>
      </c>
      <c r="AE68" s="134" t="s">
        <v>69</v>
      </c>
      <c r="AF68" s="134" t="s">
        <v>69</v>
      </c>
      <c r="AG68" s="134" t="s">
        <v>69</v>
      </c>
      <c r="AH68" s="427" t="s">
        <v>108</v>
      </c>
      <c r="AI68" s="134" t="s">
        <v>69</v>
      </c>
      <c r="AJ68" s="134" t="s">
        <v>69</v>
      </c>
      <c r="AK68" s="134" t="s">
        <v>69</v>
      </c>
      <c r="AL68" s="134" t="s">
        <v>69</v>
      </c>
      <c r="AM68" s="168" t="s">
        <v>69</v>
      </c>
      <c r="AN68">
        <f t="shared" si="4"/>
        <v>4</v>
      </c>
      <c r="AO68">
        <f t="shared" si="5"/>
        <v>0</v>
      </c>
      <c r="AP68">
        <f t="shared" si="3"/>
        <v>0</v>
      </c>
    </row>
    <row r="69" spans="1:42" ht="18">
      <c r="A69" s="5">
        <v>68</v>
      </c>
      <c r="B69" s="694" t="s">
        <v>329</v>
      </c>
      <c r="C69" s="254" t="s">
        <v>55</v>
      </c>
      <c r="D69" s="510" t="s">
        <v>412</v>
      </c>
      <c r="E69" s="511" t="s">
        <v>462</v>
      </c>
      <c r="F69" s="512" t="s">
        <v>474</v>
      </c>
      <c r="G69" s="513" t="s">
        <v>284</v>
      </c>
      <c r="H69" s="513" t="s">
        <v>415</v>
      </c>
      <c r="I69" s="239" t="s">
        <v>69</v>
      </c>
      <c r="J69" s="134" t="s">
        <v>69</v>
      </c>
      <c r="K69" s="346" t="s">
        <v>416</v>
      </c>
      <c r="L69" s="346" t="s">
        <v>416</v>
      </c>
      <c r="M69" s="468" t="s">
        <v>108</v>
      </c>
      <c r="N69" s="478" t="s">
        <v>69</v>
      </c>
      <c r="O69" s="65" t="s">
        <v>69</v>
      </c>
      <c r="P69" s="65" t="s">
        <v>69</v>
      </c>
      <c r="Q69" s="65" t="s">
        <v>69</v>
      </c>
      <c r="R69" s="104" t="s">
        <v>69</v>
      </c>
      <c r="S69" s="65" t="s">
        <v>69</v>
      </c>
      <c r="T69" s="469" t="s">
        <v>108</v>
      </c>
      <c r="U69" s="207" t="s">
        <v>69</v>
      </c>
      <c r="V69" s="207" t="s">
        <v>69</v>
      </c>
      <c r="W69" s="207" t="s">
        <v>69</v>
      </c>
      <c r="X69" s="207" t="s">
        <v>69</v>
      </c>
      <c r="Y69" s="207" t="s">
        <v>69</v>
      </c>
      <c r="Z69" s="207" t="s">
        <v>69</v>
      </c>
      <c r="AA69" s="583" t="s">
        <v>108</v>
      </c>
      <c r="AB69" s="134" t="s">
        <v>69</v>
      </c>
      <c r="AC69" s="134" t="s">
        <v>69</v>
      </c>
      <c r="AD69" s="134" t="s">
        <v>69</v>
      </c>
      <c r="AE69" s="134" t="s">
        <v>69</v>
      </c>
      <c r="AF69" s="134" t="s">
        <v>69</v>
      </c>
      <c r="AG69" s="134" t="s">
        <v>69</v>
      </c>
      <c r="AH69" s="329" t="s">
        <v>108</v>
      </c>
      <c r="AI69" s="134" t="s">
        <v>69</v>
      </c>
      <c r="AJ69" s="134" t="s">
        <v>69</v>
      </c>
      <c r="AK69" s="134" t="s">
        <v>69</v>
      </c>
      <c r="AL69" s="134" t="s">
        <v>69</v>
      </c>
      <c r="AM69" s="134" t="s">
        <v>69</v>
      </c>
      <c r="AN69">
        <f t="shared" si="4"/>
        <v>2</v>
      </c>
      <c r="AO69">
        <f t="shared" si="5"/>
        <v>0</v>
      </c>
      <c r="AP69">
        <f t="shared" si="3"/>
        <v>0</v>
      </c>
    </row>
    <row r="70" spans="1:42" ht="18">
      <c r="A70" s="5">
        <v>69</v>
      </c>
      <c r="B70" s="694" t="s">
        <v>365</v>
      </c>
      <c r="C70" s="254" t="s">
        <v>233</v>
      </c>
      <c r="D70" s="510" t="s">
        <v>412</v>
      </c>
      <c r="E70" s="511" t="s">
        <v>462</v>
      </c>
      <c r="F70" s="512" t="s">
        <v>428</v>
      </c>
      <c r="G70" s="513" t="s">
        <v>133</v>
      </c>
      <c r="H70" s="513" t="s">
        <v>487</v>
      </c>
      <c r="I70" s="239" t="s">
        <v>69</v>
      </c>
      <c r="J70" s="239" t="s">
        <v>69</v>
      </c>
      <c r="K70" s="239" t="s">
        <v>69</v>
      </c>
      <c r="L70" s="239" t="s">
        <v>69</v>
      </c>
      <c r="M70" s="468" t="s">
        <v>108</v>
      </c>
      <c r="N70" s="478" t="s">
        <v>69</v>
      </c>
      <c r="O70" s="641" t="s">
        <v>69</v>
      </c>
      <c r="P70" s="641" t="s">
        <v>69</v>
      </c>
      <c r="Q70" s="641" t="s">
        <v>69</v>
      </c>
      <c r="R70" s="104" t="s">
        <v>69</v>
      </c>
      <c r="S70" s="641" t="s">
        <v>69</v>
      </c>
      <c r="T70" s="648" t="s">
        <v>108</v>
      </c>
      <c r="U70" s="207" t="s">
        <v>69</v>
      </c>
      <c r="V70" s="207" t="s">
        <v>69</v>
      </c>
      <c r="W70" s="207" t="s">
        <v>69</v>
      </c>
      <c r="X70" s="207" t="s">
        <v>69</v>
      </c>
      <c r="Y70" s="207" t="s">
        <v>69</v>
      </c>
      <c r="Z70" s="207" t="s">
        <v>69</v>
      </c>
      <c r="AA70" s="583" t="s">
        <v>108</v>
      </c>
      <c r="AB70" s="435" t="s">
        <v>69</v>
      </c>
      <c r="AC70" s="132" t="s">
        <v>514</v>
      </c>
      <c r="AD70" s="120" t="s">
        <v>69</v>
      </c>
      <c r="AE70" s="120" t="s">
        <v>69</v>
      </c>
      <c r="AF70" s="168" t="s">
        <v>69</v>
      </c>
      <c r="AG70" s="168" t="s">
        <v>69</v>
      </c>
      <c r="AH70" s="427" t="s">
        <v>108</v>
      </c>
      <c r="AI70" s="168" t="s">
        <v>69</v>
      </c>
      <c r="AJ70" s="168" t="s">
        <v>69</v>
      </c>
      <c r="AK70" s="168" t="s">
        <v>69</v>
      </c>
      <c r="AL70" s="168" t="s">
        <v>69</v>
      </c>
      <c r="AM70" s="168" t="s">
        <v>69</v>
      </c>
      <c r="AN70">
        <f t="shared" si="4"/>
        <v>0.5</v>
      </c>
      <c r="AO70">
        <f t="shared" si="5"/>
        <v>0</v>
      </c>
      <c r="AP70">
        <f t="shared" si="3"/>
        <v>1</v>
      </c>
    </row>
    <row r="71" spans="1:42" ht="18">
      <c r="A71" s="5">
        <v>70</v>
      </c>
      <c r="B71" s="694" t="s">
        <v>333</v>
      </c>
      <c r="C71" s="254" t="s">
        <v>57</v>
      </c>
      <c r="D71" s="510" t="s">
        <v>412</v>
      </c>
      <c r="E71" s="511" t="s">
        <v>462</v>
      </c>
      <c r="F71" s="512" t="s">
        <v>467</v>
      </c>
      <c r="G71" s="513" t="s">
        <v>296</v>
      </c>
      <c r="H71" s="513" t="s">
        <v>415</v>
      </c>
      <c r="I71" s="239" t="s">
        <v>69</v>
      </c>
      <c r="J71" s="239" t="s">
        <v>69</v>
      </c>
      <c r="K71" s="252" t="s">
        <v>69</v>
      </c>
      <c r="L71" s="239" t="s">
        <v>69</v>
      </c>
      <c r="M71" s="433" t="s">
        <v>108</v>
      </c>
      <c r="N71" s="478" t="s">
        <v>69</v>
      </c>
      <c r="O71" s="211" t="s">
        <v>416</v>
      </c>
      <c r="P71" s="641" t="s">
        <v>69</v>
      </c>
      <c r="Q71" s="641" t="s">
        <v>69</v>
      </c>
      <c r="R71" s="104" t="s">
        <v>69</v>
      </c>
      <c r="S71" s="641" t="s">
        <v>69</v>
      </c>
      <c r="T71" s="469" t="s">
        <v>108</v>
      </c>
      <c r="U71" s="207" t="s">
        <v>69</v>
      </c>
      <c r="V71" s="219" t="s">
        <v>514</v>
      </c>
      <c r="W71" s="207" t="s">
        <v>69</v>
      </c>
      <c r="X71" s="436" t="s">
        <v>416</v>
      </c>
      <c r="Y71" s="436" t="s">
        <v>416</v>
      </c>
      <c r="Z71" s="436" t="s">
        <v>416</v>
      </c>
      <c r="AA71" s="583" t="s">
        <v>108</v>
      </c>
      <c r="AB71" s="134" t="s">
        <v>69</v>
      </c>
      <c r="AC71" s="134" t="s">
        <v>69</v>
      </c>
      <c r="AD71" s="134" t="s">
        <v>69</v>
      </c>
      <c r="AE71" s="672" t="s">
        <v>69</v>
      </c>
      <c r="AF71" s="134" t="s">
        <v>69</v>
      </c>
      <c r="AG71" s="132" t="s">
        <v>514</v>
      </c>
      <c r="AH71" s="329" t="s">
        <v>108</v>
      </c>
      <c r="AI71" s="132" t="s">
        <v>514</v>
      </c>
      <c r="AJ71" s="134" t="s">
        <v>69</v>
      </c>
      <c r="AK71" s="134" t="s">
        <v>69</v>
      </c>
      <c r="AL71" s="121" t="s">
        <v>416</v>
      </c>
      <c r="AM71" s="134" t="s">
        <v>69</v>
      </c>
      <c r="AN71">
        <f t="shared" si="4"/>
        <v>6.5</v>
      </c>
      <c r="AO71">
        <f t="shared" si="5"/>
        <v>0</v>
      </c>
      <c r="AP71">
        <f t="shared" si="3"/>
        <v>3</v>
      </c>
    </row>
    <row r="72" spans="1:42" ht="18">
      <c r="A72" s="5">
        <v>71</v>
      </c>
      <c r="B72" s="694" t="s">
        <v>356</v>
      </c>
      <c r="C72" s="254" t="s">
        <v>106</v>
      </c>
      <c r="D72" s="510" t="s">
        <v>412</v>
      </c>
      <c r="E72" s="511" t="s">
        <v>424</v>
      </c>
      <c r="F72" s="512" t="s">
        <v>464</v>
      </c>
      <c r="G72" s="513" t="s">
        <v>306</v>
      </c>
      <c r="H72" s="513" t="s">
        <v>415</v>
      </c>
      <c r="I72" s="239" t="s">
        <v>69</v>
      </c>
      <c r="J72" s="147" t="s">
        <v>267</v>
      </c>
      <c r="K72" s="207" t="s">
        <v>69</v>
      </c>
      <c r="L72" s="207" t="s">
        <v>69</v>
      </c>
      <c r="M72" s="433" t="s">
        <v>108</v>
      </c>
      <c r="N72" s="477" t="s">
        <v>69</v>
      </c>
      <c r="O72" s="104" t="s">
        <v>69</v>
      </c>
      <c r="P72" s="104" t="s">
        <v>69</v>
      </c>
      <c r="Q72" s="104" t="s">
        <v>69</v>
      </c>
      <c r="R72" s="104" t="s">
        <v>69</v>
      </c>
      <c r="S72" s="104" t="s">
        <v>69</v>
      </c>
      <c r="T72" s="648" t="s">
        <v>108</v>
      </c>
      <c r="U72" s="207" t="s">
        <v>69</v>
      </c>
      <c r="V72" s="207" t="s">
        <v>69</v>
      </c>
      <c r="W72" s="207" t="s">
        <v>69</v>
      </c>
      <c r="X72" s="207" t="s">
        <v>69</v>
      </c>
      <c r="Y72" s="207" t="s">
        <v>69</v>
      </c>
      <c r="Z72" s="207" t="s">
        <v>69</v>
      </c>
      <c r="AA72" s="583" t="s">
        <v>108</v>
      </c>
      <c r="AB72" s="120" t="s">
        <v>69</v>
      </c>
      <c r="AC72" s="134" t="s">
        <v>69</v>
      </c>
      <c r="AD72" s="134" t="s">
        <v>69</v>
      </c>
      <c r="AE72" s="134" t="s">
        <v>69</v>
      </c>
      <c r="AF72" s="134" t="s">
        <v>70</v>
      </c>
      <c r="AG72" s="121" t="s">
        <v>416</v>
      </c>
      <c r="AH72" s="427" t="s">
        <v>108</v>
      </c>
      <c r="AI72" s="134" t="s">
        <v>69</v>
      </c>
      <c r="AJ72" s="134" t="s">
        <v>69</v>
      </c>
      <c r="AK72" s="134" t="s">
        <v>69</v>
      </c>
      <c r="AL72" s="134" t="s">
        <v>69</v>
      </c>
      <c r="AM72" s="134" t="s">
        <v>69</v>
      </c>
      <c r="AN72">
        <f t="shared" si="4"/>
        <v>1</v>
      </c>
      <c r="AO72">
        <f t="shared" si="5"/>
        <v>0</v>
      </c>
      <c r="AP72">
        <f t="shared" si="3"/>
        <v>0</v>
      </c>
    </row>
    <row r="73" spans="1:42" ht="18">
      <c r="A73" s="5">
        <v>72</v>
      </c>
      <c r="B73" s="694" t="s">
        <v>316</v>
      </c>
      <c r="C73" s="254" t="s">
        <v>61</v>
      </c>
      <c r="D73" s="510" t="s">
        <v>412</v>
      </c>
      <c r="E73" s="511" t="s">
        <v>492</v>
      </c>
      <c r="F73" s="512" t="s">
        <v>490</v>
      </c>
      <c r="G73" s="523" t="s">
        <v>133</v>
      </c>
      <c r="H73" s="513" t="s">
        <v>415</v>
      </c>
      <c r="I73" s="239" t="s">
        <v>69</v>
      </c>
      <c r="J73" s="147" t="s">
        <v>267</v>
      </c>
      <c r="K73" s="134" t="s">
        <v>69</v>
      </c>
      <c r="L73" s="144" t="s">
        <v>416</v>
      </c>
      <c r="M73" s="468" t="s">
        <v>108</v>
      </c>
      <c r="N73" s="577" t="s">
        <v>69</v>
      </c>
      <c r="O73" s="9" t="s">
        <v>69</v>
      </c>
      <c r="P73" s="9" t="s">
        <v>69</v>
      </c>
      <c r="Q73" s="9" t="s">
        <v>69</v>
      </c>
      <c r="R73" s="104" t="s">
        <v>69</v>
      </c>
      <c r="S73" s="9" t="s">
        <v>69</v>
      </c>
      <c r="T73" s="469" t="s">
        <v>108</v>
      </c>
      <c r="U73" s="207" t="s">
        <v>69</v>
      </c>
      <c r="V73" s="207" t="s">
        <v>69</v>
      </c>
      <c r="W73" s="207" t="s">
        <v>69</v>
      </c>
      <c r="X73" s="207" t="s">
        <v>69</v>
      </c>
      <c r="Y73" s="207" t="s">
        <v>69</v>
      </c>
      <c r="Z73" s="207" t="s">
        <v>69</v>
      </c>
      <c r="AA73" s="583" t="s">
        <v>108</v>
      </c>
      <c r="AB73" s="141" t="s">
        <v>69</v>
      </c>
      <c r="AC73" s="134" t="s">
        <v>69</v>
      </c>
      <c r="AD73" s="134" t="s">
        <v>69</v>
      </c>
      <c r="AE73" s="134" t="s">
        <v>69</v>
      </c>
      <c r="AF73" s="121" t="s">
        <v>416</v>
      </c>
      <c r="AG73" s="134" t="s">
        <v>69</v>
      </c>
      <c r="AH73" s="329" t="s">
        <v>108</v>
      </c>
      <c r="AI73" s="134" t="s">
        <v>69</v>
      </c>
      <c r="AJ73" s="168" t="s">
        <v>69</v>
      </c>
      <c r="AK73" s="168" t="s">
        <v>69</v>
      </c>
      <c r="AL73" s="168" t="s">
        <v>69</v>
      </c>
      <c r="AM73" s="168" t="s">
        <v>69</v>
      </c>
      <c r="AN73">
        <f t="shared" si="4"/>
        <v>2</v>
      </c>
      <c r="AO73">
        <f t="shared" si="5"/>
        <v>0</v>
      </c>
      <c r="AP73">
        <f t="shared" si="3"/>
        <v>0</v>
      </c>
    </row>
    <row r="74" spans="1:42" ht="18">
      <c r="A74" s="5">
        <v>73</v>
      </c>
      <c r="B74" s="695" t="s">
        <v>318</v>
      </c>
      <c r="C74" s="254" t="s">
        <v>512</v>
      </c>
      <c r="D74" s="510" t="s">
        <v>412</v>
      </c>
      <c r="E74" s="542" t="s">
        <v>413</v>
      </c>
      <c r="F74" s="512" t="s">
        <v>459</v>
      </c>
      <c r="G74" s="513" t="s">
        <v>301</v>
      </c>
      <c r="H74" s="513" t="s">
        <v>415</v>
      </c>
      <c r="I74" s="239" t="s">
        <v>69</v>
      </c>
      <c r="J74" s="239" t="s">
        <v>69</v>
      </c>
      <c r="K74" s="134" t="s">
        <v>69</v>
      </c>
      <c r="L74" s="188" t="s">
        <v>416</v>
      </c>
      <c r="M74" s="468" t="s">
        <v>108</v>
      </c>
      <c r="N74" s="63" t="s">
        <v>416</v>
      </c>
      <c r="O74" s="227" t="s">
        <v>69</v>
      </c>
      <c r="P74" s="227" t="s">
        <v>69</v>
      </c>
      <c r="Q74" s="227" t="s">
        <v>69</v>
      </c>
      <c r="R74" s="104" t="s">
        <v>69</v>
      </c>
      <c r="S74" s="227" t="s">
        <v>69</v>
      </c>
      <c r="T74" s="648" t="s">
        <v>108</v>
      </c>
      <c r="U74" s="218" t="s">
        <v>416</v>
      </c>
      <c r="V74" s="207" t="s">
        <v>69</v>
      </c>
      <c r="W74" s="207" t="s">
        <v>69</v>
      </c>
      <c r="X74" s="207" t="s">
        <v>69</v>
      </c>
      <c r="Y74" s="207" t="s">
        <v>69</v>
      </c>
      <c r="Z74" s="207" t="s">
        <v>69</v>
      </c>
      <c r="AA74" s="583" t="s">
        <v>108</v>
      </c>
      <c r="AB74" s="134" t="s">
        <v>69</v>
      </c>
      <c r="AC74" s="134" t="s">
        <v>69</v>
      </c>
      <c r="AD74" s="239" t="s">
        <v>69</v>
      </c>
      <c r="AE74" s="239" t="s">
        <v>69</v>
      </c>
      <c r="AF74" s="239" t="s">
        <v>69</v>
      </c>
      <c r="AG74" s="239" t="s">
        <v>69</v>
      </c>
      <c r="AH74" s="427" t="s">
        <v>108</v>
      </c>
      <c r="AI74" s="239" t="s">
        <v>69</v>
      </c>
      <c r="AJ74" s="121" t="s">
        <v>416</v>
      </c>
      <c r="AK74" s="120" t="s">
        <v>69</v>
      </c>
      <c r="AL74" s="120" t="s">
        <v>69</v>
      </c>
      <c r="AM74" s="120" t="s">
        <v>69</v>
      </c>
      <c r="AN74">
        <f t="shared" si="4"/>
        <v>4</v>
      </c>
      <c r="AO74">
        <f t="shared" si="5"/>
        <v>0</v>
      </c>
      <c r="AP74">
        <f t="shared" si="3"/>
        <v>0</v>
      </c>
    </row>
  </sheetData>
  <conditionalFormatting sqref="B48">
    <cfRule type="expression" dxfId="2" priority="3">
      <formula>$L48="OFF ROLL"</formula>
    </cfRule>
  </conditionalFormatting>
  <conditionalFormatting sqref="B53">
    <cfRule type="expression" dxfId="1" priority="2">
      <formula>$L53="OFF ROLL"</formula>
    </cfRule>
  </conditionalFormatting>
  <conditionalFormatting sqref="B66">
    <cfRule type="expression" dxfId="0" priority="1">
      <formula>$L66="OFF ROLL"</formula>
    </cfRule>
  </conditionalFormatting>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13C08-98CD-4488-B1F9-9EEE57B52D27}">
  <dimension ref="A1:AM75"/>
  <sheetViews>
    <sheetView workbookViewId="0">
      <pane xSplit="3" ySplit="1" topLeftCell="H6" activePane="bottomRight" state="frozen"/>
      <selection pane="topRight"/>
      <selection pane="bottomLeft"/>
      <selection pane="bottomRight" activeCell="I13" sqref="I13"/>
    </sheetView>
  </sheetViews>
  <sheetFormatPr defaultRowHeight="14.25"/>
  <cols>
    <col min="3" max="3" width="45" bestFit="1" customWidth="1"/>
  </cols>
  <sheetData>
    <row r="1" spans="1:39" ht="54">
      <c r="A1" s="29" t="s">
        <v>64</v>
      </c>
      <c r="B1" s="29" t="s">
        <v>513</v>
      </c>
      <c r="C1" s="29" t="s">
        <v>65</v>
      </c>
      <c r="D1" s="586" t="s">
        <v>405</v>
      </c>
      <c r="E1" s="586" t="s">
        <v>406</v>
      </c>
      <c r="F1" s="586" t="s">
        <v>407</v>
      </c>
      <c r="G1" s="586" t="s">
        <v>278</v>
      </c>
      <c r="H1" s="586" t="s">
        <v>408</v>
      </c>
      <c r="I1" s="165">
        <v>1</v>
      </c>
      <c r="J1" s="165">
        <v>2</v>
      </c>
      <c r="K1" s="165">
        <v>3</v>
      </c>
      <c r="L1" s="165">
        <v>4</v>
      </c>
      <c r="M1" s="165">
        <v>5</v>
      </c>
      <c r="N1" s="165">
        <v>6</v>
      </c>
      <c r="O1" s="165">
        <v>7</v>
      </c>
      <c r="P1" s="122">
        <v>8</v>
      </c>
      <c r="Q1" s="165">
        <v>9</v>
      </c>
      <c r="R1" s="165">
        <v>10</v>
      </c>
      <c r="S1" s="165">
        <v>11</v>
      </c>
      <c r="T1" s="165">
        <v>12</v>
      </c>
      <c r="U1" s="165">
        <v>13</v>
      </c>
      <c r="V1" s="165">
        <v>14</v>
      </c>
      <c r="W1" s="165">
        <v>15</v>
      </c>
      <c r="X1" s="165">
        <v>16</v>
      </c>
      <c r="Y1" s="165">
        <v>17</v>
      </c>
      <c r="Z1" s="165">
        <v>18</v>
      </c>
      <c r="AA1" s="165">
        <v>19</v>
      </c>
      <c r="AB1" s="165">
        <v>20</v>
      </c>
      <c r="AC1" s="165">
        <v>21</v>
      </c>
      <c r="AD1" s="165">
        <v>22</v>
      </c>
      <c r="AE1" s="165">
        <v>23</v>
      </c>
      <c r="AF1" s="165">
        <v>24</v>
      </c>
      <c r="AG1" s="165">
        <v>25</v>
      </c>
      <c r="AH1" s="165">
        <v>26</v>
      </c>
      <c r="AI1" s="165">
        <v>27</v>
      </c>
      <c r="AJ1" s="165">
        <v>28</v>
      </c>
      <c r="AK1" s="166">
        <v>29</v>
      </c>
      <c r="AL1" s="668">
        <v>30</v>
      </c>
      <c r="AM1" s="360">
        <v>31</v>
      </c>
    </row>
    <row r="2" spans="1:39" ht="18">
      <c r="A2" s="5">
        <v>1</v>
      </c>
      <c r="B2" s="666"/>
      <c r="C2" s="254" t="s">
        <v>6</v>
      </c>
      <c r="D2" s="502" t="s">
        <v>412</v>
      </c>
      <c r="E2" s="503" t="s">
        <v>413</v>
      </c>
      <c r="F2" s="504" t="s">
        <v>414</v>
      </c>
      <c r="G2" s="505" t="s">
        <v>284</v>
      </c>
      <c r="H2" s="505" t="s">
        <v>415</v>
      </c>
      <c r="I2" s="239" t="s">
        <v>69</v>
      </c>
      <c r="J2" s="329" t="s">
        <v>108</v>
      </c>
      <c r="K2" s="344"/>
      <c r="L2" s="239"/>
      <c r="M2" s="468"/>
      <c r="N2" s="477"/>
      <c r="O2" s="197"/>
      <c r="P2" s="572"/>
      <c r="Q2" s="572"/>
      <c r="R2" s="572"/>
      <c r="S2" s="572"/>
      <c r="U2" s="141" t="s">
        <v>69</v>
      </c>
      <c r="V2" s="141" t="s">
        <v>69</v>
      </c>
      <c r="W2" s="141" t="s">
        <v>69</v>
      </c>
      <c r="X2" s="141" t="s">
        <v>69</v>
      </c>
      <c r="Y2" s="141" t="s">
        <v>69</v>
      </c>
      <c r="Z2" s="141" t="s">
        <v>69</v>
      </c>
      <c r="AA2" s="583" t="s">
        <v>108</v>
      </c>
      <c r="AB2" s="141" t="s">
        <v>69</v>
      </c>
      <c r="AC2" s="406" t="s">
        <v>416</v>
      </c>
      <c r="AD2" s="134" t="s">
        <v>69</v>
      </c>
      <c r="AE2" s="134"/>
      <c r="AF2" s="134"/>
      <c r="AG2" s="168" t="s">
        <v>69</v>
      </c>
      <c r="AH2" s="329" t="s">
        <v>108</v>
      </c>
      <c r="AI2" s="120" t="s">
        <v>69</v>
      </c>
      <c r="AJ2" s="120"/>
      <c r="AK2" s="120"/>
      <c r="AL2" s="120"/>
      <c r="AM2" s="120" t="s">
        <v>69</v>
      </c>
    </row>
    <row r="3" spans="1:39" ht="18">
      <c r="A3" s="5">
        <v>2</v>
      </c>
      <c r="B3" s="666"/>
      <c r="C3" s="254" t="s">
        <v>249</v>
      </c>
      <c r="D3" s="510" t="s">
        <v>412</v>
      </c>
      <c r="E3" s="511" t="s">
        <v>418</v>
      </c>
      <c r="F3" s="512" t="s">
        <v>419</v>
      </c>
      <c r="G3" s="513" t="s">
        <v>285</v>
      </c>
      <c r="H3" s="513" t="s">
        <v>415</v>
      </c>
      <c r="I3" s="215" t="s">
        <v>514</v>
      </c>
      <c r="J3" s="464" t="s">
        <v>108</v>
      </c>
      <c r="K3" s="344"/>
      <c r="L3" s="239"/>
      <c r="M3" s="433"/>
      <c r="N3" s="477"/>
      <c r="O3" s="9"/>
      <c r="P3" s="572"/>
      <c r="Q3" s="436"/>
      <c r="R3" s="436"/>
      <c r="S3" s="572"/>
      <c r="U3" s="141" t="s">
        <v>69</v>
      </c>
      <c r="V3" s="141" t="s">
        <v>69</v>
      </c>
      <c r="W3" s="141" t="s">
        <v>69</v>
      </c>
      <c r="X3" s="141" t="s">
        <v>69</v>
      </c>
      <c r="Y3" s="171" t="s">
        <v>69</v>
      </c>
      <c r="Z3" s="218" t="s">
        <v>416</v>
      </c>
      <c r="AA3" s="583" t="s">
        <v>108</v>
      </c>
      <c r="AB3" s="141" t="s">
        <v>69</v>
      </c>
      <c r="AC3" s="141" t="s">
        <v>69</v>
      </c>
      <c r="AD3" s="141" t="s">
        <v>69</v>
      </c>
      <c r="AE3" s="141"/>
      <c r="AF3" s="141"/>
      <c r="AG3" s="141" t="s">
        <v>69</v>
      </c>
      <c r="AH3" s="427" t="s">
        <v>108</v>
      </c>
      <c r="AI3" s="134" t="s">
        <v>69</v>
      </c>
      <c r="AJ3" s="134"/>
      <c r="AK3" s="134"/>
      <c r="AL3" s="134"/>
      <c r="AM3" s="134" t="s">
        <v>69</v>
      </c>
    </row>
    <row r="4" spans="1:39" ht="18">
      <c r="A4" s="5">
        <v>3</v>
      </c>
      <c r="B4" s="666"/>
      <c r="C4" s="254" t="s">
        <v>7</v>
      </c>
      <c r="D4" s="510" t="s">
        <v>412</v>
      </c>
      <c r="E4" s="511" t="s">
        <v>413</v>
      </c>
      <c r="F4" s="512" t="s">
        <v>421</v>
      </c>
      <c r="G4" s="513" t="s">
        <v>286</v>
      </c>
      <c r="H4" s="513" t="s">
        <v>415</v>
      </c>
      <c r="I4" s="239" t="s">
        <v>69</v>
      </c>
      <c r="J4" s="329" t="s">
        <v>108</v>
      </c>
      <c r="K4" s="344"/>
      <c r="L4" s="239"/>
      <c r="M4" s="433"/>
      <c r="N4" s="477"/>
      <c r="O4" s="637"/>
      <c r="P4" s="637"/>
      <c r="Q4" s="637"/>
      <c r="R4" s="637"/>
      <c r="S4" s="436"/>
      <c r="U4" s="218" t="s">
        <v>416</v>
      </c>
      <c r="V4" s="141" t="s">
        <v>69</v>
      </c>
      <c r="W4" s="141" t="s">
        <v>69</v>
      </c>
      <c r="X4" s="663" t="s">
        <v>111</v>
      </c>
      <c r="Y4" s="171" t="s">
        <v>69</v>
      </c>
      <c r="Z4" s="171" t="s">
        <v>69</v>
      </c>
      <c r="AA4" s="583" t="s">
        <v>108</v>
      </c>
      <c r="AB4" s="141" t="s">
        <v>69</v>
      </c>
      <c r="AC4" s="141" t="s">
        <v>69</v>
      </c>
      <c r="AD4" s="141" t="s">
        <v>69</v>
      </c>
      <c r="AE4" s="141"/>
      <c r="AF4" s="141"/>
      <c r="AG4" s="141" t="s">
        <v>69</v>
      </c>
      <c r="AH4" s="329" t="s">
        <v>108</v>
      </c>
      <c r="AI4" s="134" t="s">
        <v>69</v>
      </c>
      <c r="AJ4" s="134"/>
      <c r="AK4" s="134"/>
      <c r="AL4" s="134"/>
      <c r="AM4" s="134" t="s">
        <v>69</v>
      </c>
    </row>
    <row r="5" spans="1:39" ht="18">
      <c r="A5" s="5">
        <v>4</v>
      </c>
      <c r="B5" s="666"/>
      <c r="C5" s="254" t="s">
        <v>265</v>
      </c>
      <c r="D5" s="510" t="s">
        <v>412</v>
      </c>
      <c r="E5" s="511" t="s">
        <v>424</v>
      </c>
      <c r="F5" s="512" t="s">
        <v>425</v>
      </c>
      <c r="G5" s="513" t="s">
        <v>284</v>
      </c>
      <c r="H5" s="513" t="s">
        <v>415</v>
      </c>
      <c r="I5" s="239" t="s">
        <v>69</v>
      </c>
      <c r="J5" s="464" t="s">
        <v>108</v>
      </c>
      <c r="K5" s="344"/>
      <c r="L5" s="239"/>
      <c r="M5" s="468"/>
      <c r="N5" s="477"/>
      <c r="O5" s="9"/>
      <c r="P5" s="9"/>
      <c r="Q5" s="9"/>
      <c r="R5" s="9"/>
      <c r="S5" s="572"/>
      <c r="U5" s="141" t="s">
        <v>69</v>
      </c>
      <c r="V5" s="141" t="s">
        <v>69</v>
      </c>
      <c r="W5" s="141" t="s">
        <v>69</v>
      </c>
      <c r="X5" s="141" t="s">
        <v>69</v>
      </c>
      <c r="Y5" s="141" t="s">
        <v>69</v>
      </c>
      <c r="Z5" s="141" t="s">
        <v>69</v>
      </c>
      <c r="AA5" s="583" t="s">
        <v>108</v>
      </c>
      <c r="AB5" s="168" t="s">
        <v>69</v>
      </c>
      <c r="AC5" s="168" t="s">
        <v>69</v>
      </c>
      <c r="AD5" s="168" t="s">
        <v>69</v>
      </c>
      <c r="AE5" s="121"/>
      <c r="AF5" s="121"/>
      <c r="AG5" s="121" t="s">
        <v>416</v>
      </c>
      <c r="AH5" s="427" t="s">
        <v>108</v>
      </c>
      <c r="AI5" s="131" t="s">
        <v>416</v>
      </c>
      <c r="AJ5" s="131"/>
      <c r="AK5" s="131"/>
      <c r="AL5" s="131"/>
      <c r="AM5" s="131" t="s">
        <v>416</v>
      </c>
    </row>
    <row r="6" spans="1:39" ht="18">
      <c r="A6" s="5">
        <v>5</v>
      </c>
      <c r="B6" s="666"/>
      <c r="C6" s="254" t="s">
        <v>266</v>
      </c>
      <c r="D6" s="510" t="s">
        <v>412</v>
      </c>
      <c r="E6" s="511" t="s">
        <v>418</v>
      </c>
      <c r="F6" s="512" t="s">
        <v>428</v>
      </c>
      <c r="G6" s="513" t="s">
        <v>133</v>
      </c>
      <c r="H6" s="513" t="s">
        <v>415</v>
      </c>
      <c r="I6" s="153" t="s">
        <v>416</v>
      </c>
      <c r="J6" s="329" t="s">
        <v>108</v>
      </c>
      <c r="K6" s="207"/>
      <c r="L6" s="134"/>
      <c r="M6" s="468"/>
      <c r="N6" s="477"/>
      <c r="O6" s="637"/>
      <c r="P6" s="637"/>
      <c r="Q6" s="637"/>
      <c r="R6" s="637"/>
      <c r="S6" s="637"/>
      <c r="T6" s="469" t="s">
        <v>108</v>
      </c>
      <c r="U6" s="572" t="s">
        <v>69</v>
      </c>
      <c r="V6" s="572" t="s">
        <v>69</v>
      </c>
      <c r="W6" s="141" t="s">
        <v>69</v>
      </c>
      <c r="X6" s="141" t="s">
        <v>69</v>
      </c>
      <c r="Y6" s="141" t="s">
        <v>69</v>
      </c>
      <c r="Z6" s="141" t="s">
        <v>69</v>
      </c>
      <c r="AA6" s="583" t="s">
        <v>108</v>
      </c>
      <c r="AB6" s="672" t="s">
        <v>515</v>
      </c>
      <c r="AC6" s="134" t="s">
        <v>69</v>
      </c>
      <c r="AD6" s="121" t="s">
        <v>416</v>
      </c>
      <c r="AE6" s="121"/>
      <c r="AF6" s="121"/>
      <c r="AG6" s="121" t="s">
        <v>416</v>
      </c>
      <c r="AH6" s="329" t="s">
        <v>108</v>
      </c>
      <c r="AI6" s="121" t="s">
        <v>416</v>
      </c>
      <c r="AJ6" s="121"/>
      <c r="AK6" s="121"/>
      <c r="AL6" s="121"/>
      <c r="AM6" s="121" t="s">
        <v>416</v>
      </c>
    </row>
    <row r="7" spans="1:39" ht="18">
      <c r="A7" s="5">
        <v>6</v>
      </c>
      <c r="B7" s="666"/>
      <c r="C7" s="254" t="s">
        <v>398</v>
      </c>
      <c r="D7" s="510" t="s">
        <v>412</v>
      </c>
      <c r="E7" s="511" t="s">
        <v>418</v>
      </c>
      <c r="F7" s="512" t="s">
        <v>432</v>
      </c>
      <c r="G7" s="513" t="s">
        <v>133</v>
      </c>
      <c r="H7" s="513" t="s">
        <v>415</v>
      </c>
      <c r="I7" s="239" t="s">
        <v>69</v>
      </c>
      <c r="J7" s="464" t="s">
        <v>108</v>
      </c>
      <c r="K7" s="207"/>
      <c r="L7" s="134"/>
      <c r="M7" s="433"/>
      <c r="N7" s="477"/>
      <c r="O7" s="9"/>
      <c r="P7" s="572"/>
      <c r="Q7" s="584"/>
      <c r="R7" s="572"/>
      <c r="S7" s="572"/>
      <c r="T7" s="648"/>
      <c r="U7" s="572"/>
      <c r="V7" s="658"/>
      <c r="W7" s="141"/>
      <c r="X7" s="141"/>
      <c r="Y7" s="141"/>
      <c r="Z7" s="141"/>
      <c r="AA7" s="583"/>
      <c r="AB7" s="141"/>
      <c r="AC7" s="141"/>
      <c r="AD7" s="141"/>
      <c r="AE7" s="141"/>
      <c r="AF7" s="141"/>
      <c r="AG7" s="141"/>
      <c r="AH7" s="427"/>
      <c r="AI7" s="134" t="s">
        <v>69</v>
      </c>
      <c r="AJ7" s="134"/>
      <c r="AK7" s="132"/>
      <c r="AL7" s="132"/>
      <c r="AM7" s="672" t="s">
        <v>69</v>
      </c>
    </row>
    <row r="8" spans="1:39" ht="18">
      <c r="A8" s="5">
        <v>7</v>
      </c>
      <c r="B8" s="666"/>
      <c r="C8" s="254" t="s">
        <v>11</v>
      </c>
      <c r="D8" s="510" t="s">
        <v>412</v>
      </c>
      <c r="E8" s="511" t="s">
        <v>413</v>
      </c>
      <c r="F8" s="512" t="s">
        <v>434</v>
      </c>
      <c r="G8" s="513" t="s">
        <v>288</v>
      </c>
      <c r="H8" s="513" t="s">
        <v>415</v>
      </c>
      <c r="I8" s="239" t="s">
        <v>69</v>
      </c>
      <c r="J8" s="329" t="s">
        <v>108</v>
      </c>
      <c r="K8" s="207"/>
      <c r="L8" s="134"/>
      <c r="M8" s="433"/>
      <c r="N8" s="477"/>
      <c r="O8" s="637"/>
      <c r="P8" s="436"/>
      <c r="Q8" s="572"/>
      <c r="R8" s="104"/>
      <c r="S8" s="572"/>
      <c r="T8" s="469"/>
      <c r="U8" s="584"/>
      <c r="V8" s="171"/>
      <c r="W8" s="141"/>
      <c r="X8" s="141"/>
      <c r="Y8" s="141"/>
      <c r="Z8" s="141"/>
      <c r="AA8" s="583"/>
      <c r="AB8" s="218"/>
      <c r="AC8" s="134"/>
      <c r="AD8" s="134"/>
      <c r="AE8" s="134"/>
      <c r="AF8" s="134"/>
      <c r="AG8" s="134"/>
      <c r="AH8" s="329"/>
      <c r="AI8" s="134" t="s">
        <v>69</v>
      </c>
      <c r="AJ8" s="134"/>
      <c r="AK8" s="121"/>
      <c r="AL8" s="134" t="s">
        <v>69</v>
      </c>
      <c r="AM8" s="134" t="s">
        <v>69</v>
      </c>
    </row>
    <row r="9" spans="1:39" ht="18">
      <c r="A9" s="5">
        <v>8</v>
      </c>
      <c r="B9" s="666"/>
      <c r="C9" s="254" t="s">
        <v>10</v>
      </c>
      <c r="D9" s="510" t="s">
        <v>412</v>
      </c>
      <c r="E9" s="511" t="s">
        <v>436</v>
      </c>
      <c r="F9" s="512" t="s">
        <v>437</v>
      </c>
      <c r="G9" s="513" t="s">
        <v>289</v>
      </c>
      <c r="H9" s="513" t="s">
        <v>415</v>
      </c>
      <c r="I9" s="215" t="s">
        <v>514</v>
      </c>
      <c r="J9" s="464" t="s">
        <v>108</v>
      </c>
      <c r="K9" s="344"/>
      <c r="L9" s="134"/>
      <c r="M9" s="468"/>
      <c r="N9" s="477"/>
      <c r="O9" s="9"/>
      <c r="P9" s="9"/>
      <c r="Q9" s="436"/>
      <c r="R9" s="436"/>
      <c r="S9" s="572"/>
      <c r="T9" s="648"/>
      <c r="U9" s="584"/>
      <c r="V9" s="584"/>
      <c r="W9" s="141"/>
      <c r="X9" s="141"/>
      <c r="Y9" s="141"/>
      <c r="Z9" s="141"/>
      <c r="AA9" s="583"/>
      <c r="AB9" s="141"/>
      <c r="AC9" s="141"/>
      <c r="AD9" s="141"/>
      <c r="AE9" s="141"/>
      <c r="AF9" s="141"/>
      <c r="AG9" s="141"/>
      <c r="AH9" s="427"/>
      <c r="AI9" s="134" t="s">
        <v>69</v>
      </c>
      <c r="AJ9" s="121"/>
      <c r="AK9" s="134"/>
      <c r="AL9" s="134" t="s">
        <v>69</v>
      </c>
      <c r="AM9" s="134" t="s">
        <v>69</v>
      </c>
    </row>
    <row r="10" spans="1:39" ht="18">
      <c r="A10" s="5">
        <v>9</v>
      </c>
      <c r="B10" s="666"/>
      <c r="C10" s="254" t="s">
        <v>290</v>
      </c>
      <c r="D10" s="510" t="s">
        <v>412</v>
      </c>
      <c r="E10" s="511" t="s">
        <v>424</v>
      </c>
      <c r="F10" s="512" t="s">
        <v>438</v>
      </c>
      <c r="G10" s="513" t="s">
        <v>291</v>
      </c>
      <c r="H10" s="513" t="s">
        <v>415</v>
      </c>
      <c r="I10" s="215" t="s">
        <v>514</v>
      </c>
      <c r="J10" s="329" t="s">
        <v>108</v>
      </c>
      <c r="K10" s="377"/>
      <c r="L10" s="134"/>
      <c r="M10" s="468"/>
      <c r="N10" s="477"/>
      <c r="O10" s="637"/>
      <c r="P10" s="572"/>
      <c r="Q10" s="572"/>
      <c r="R10" s="572"/>
      <c r="S10" s="572"/>
      <c r="T10" s="469"/>
      <c r="U10" s="576"/>
      <c r="V10" s="171"/>
      <c r="W10" s="141"/>
      <c r="X10" s="576"/>
      <c r="Y10" s="141"/>
      <c r="Z10" s="141"/>
      <c r="AA10" s="583"/>
      <c r="AB10" s="141"/>
      <c r="AC10" s="141"/>
      <c r="AD10" s="141"/>
      <c r="AE10" s="141"/>
      <c r="AF10" s="141"/>
      <c r="AG10" s="141"/>
      <c r="AH10" s="329"/>
      <c r="AI10" s="134" t="s">
        <v>69</v>
      </c>
      <c r="AJ10" s="134"/>
      <c r="AK10" s="134"/>
      <c r="AL10" s="134" t="s">
        <v>69</v>
      </c>
      <c r="AM10" s="134" t="s">
        <v>69</v>
      </c>
    </row>
    <row r="11" spans="1:39" ht="18">
      <c r="A11" s="5">
        <v>10</v>
      </c>
      <c r="B11" s="666"/>
      <c r="C11" s="254" t="s">
        <v>13</v>
      </c>
      <c r="D11" s="510" t="s">
        <v>412</v>
      </c>
      <c r="E11" s="511" t="s">
        <v>436</v>
      </c>
      <c r="F11" s="512" t="s">
        <v>440</v>
      </c>
      <c r="G11" s="513" t="s">
        <v>133</v>
      </c>
      <c r="H11" s="513" t="s">
        <v>415</v>
      </c>
      <c r="I11" s="215" t="s">
        <v>514</v>
      </c>
      <c r="J11" s="464" t="s">
        <v>108</v>
      </c>
      <c r="K11" s="207"/>
      <c r="L11" s="134"/>
      <c r="M11" s="433"/>
      <c r="N11" s="574"/>
      <c r="O11" s="637"/>
      <c r="P11" s="637"/>
      <c r="Q11" s="637"/>
      <c r="R11" s="637"/>
      <c r="S11" s="572"/>
      <c r="T11" s="648"/>
      <c r="U11" s="158"/>
      <c r="V11" s="158"/>
      <c r="W11" s="141"/>
      <c r="X11" s="158"/>
      <c r="Y11" s="141"/>
      <c r="Z11" s="141"/>
      <c r="AA11" s="583"/>
      <c r="AB11" s="141"/>
      <c r="AC11" s="141"/>
      <c r="AD11" s="141"/>
      <c r="AE11" s="141"/>
      <c r="AF11" s="141"/>
      <c r="AG11" s="131"/>
      <c r="AH11" s="427"/>
      <c r="AI11" s="120" t="s">
        <v>69</v>
      </c>
      <c r="AJ11" s="120" t="s">
        <v>69</v>
      </c>
      <c r="AK11" s="120" t="s">
        <v>69</v>
      </c>
      <c r="AL11" s="120" t="s">
        <v>69</v>
      </c>
      <c r="AM11" s="120" t="s">
        <v>69</v>
      </c>
    </row>
    <row r="12" spans="1:39" ht="18">
      <c r="A12" s="5">
        <v>11</v>
      </c>
      <c r="B12" s="666"/>
      <c r="C12" s="254" t="s">
        <v>497</v>
      </c>
      <c r="D12" s="510"/>
      <c r="E12" s="511"/>
      <c r="F12" s="512"/>
      <c r="G12" s="513"/>
      <c r="H12" s="513"/>
      <c r="I12" s="239" t="s">
        <v>69</v>
      </c>
      <c r="J12" s="464" t="s">
        <v>108</v>
      </c>
      <c r="K12" s="207"/>
      <c r="L12" s="134"/>
      <c r="M12" s="433"/>
      <c r="N12" s="239"/>
      <c r="O12" s="9"/>
      <c r="P12" s="9"/>
      <c r="Q12" s="9"/>
      <c r="R12" s="9"/>
      <c r="S12" s="572"/>
      <c r="T12" s="582"/>
      <c r="U12" s="134"/>
      <c r="V12" s="147"/>
      <c r="W12" s="239"/>
      <c r="X12" s="121"/>
      <c r="Y12" s="141"/>
      <c r="Z12" s="141"/>
      <c r="AA12" s="583"/>
      <c r="AB12" s="141"/>
      <c r="AC12" s="132"/>
      <c r="AD12" s="147"/>
      <c r="AE12" s="134"/>
      <c r="AF12" s="134"/>
      <c r="AG12" s="134"/>
      <c r="AH12" s="329"/>
      <c r="AI12" s="120" t="s">
        <v>69</v>
      </c>
      <c r="AJ12" s="120"/>
      <c r="AK12" s="120" t="s">
        <v>69</v>
      </c>
      <c r="AL12" s="120" t="s">
        <v>69</v>
      </c>
      <c r="AM12" s="120" t="s">
        <v>69</v>
      </c>
    </row>
    <row r="13" spans="1:39" ht="18">
      <c r="A13" s="5">
        <v>12</v>
      </c>
      <c r="B13" s="666"/>
      <c r="C13" s="254" t="s">
        <v>194</v>
      </c>
      <c r="D13" s="510" t="s">
        <v>412</v>
      </c>
      <c r="E13" s="511" t="s">
        <v>418</v>
      </c>
      <c r="F13" s="512" t="s">
        <v>441</v>
      </c>
      <c r="G13" s="513" t="s">
        <v>292</v>
      </c>
      <c r="H13" s="513" t="s">
        <v>415</v>
      </c>
      <c r="I13" s="239"/>
      <c r="J13" s="464" t="s">
        <v>108</v>
      </c>
      <c r="K13" s="207"/>
      <c r="L13" s="134"/>
      <c r="M13" s="468"/>
      <c r="N13" s="477"/>
      <c r="O13" s="9"/>
      <c r="P13" s="9"/>
      <c r="Q13" s="9"/>
      <c r="R13" s="9"/>
      <c r="S13" s="572"/>
      <c r="T13" s="648"/>
      <c r="U13" s="134"/>
      <c r="V13" s="134"/>
      <c r="W13" s="171"/>
      <c r="X13" s="664"/>
      <c r="Y13" s="664"/>
      <c r="Z13" s="222"/>
      <c r="AA13" s="583"/>
      <c r="AB13" s="141"/>
      <c r="AC13" s="141"/>
      <c r="AD13" s="141"/>
      <c r="AE13" s="141"/>
      <c r="AF13" s="141"/>
      <c r="AG13" s="141"/>
      <c r="AH13" s="427"/>
      <c r="AI13" s="120" t="s">
        <v>69</v>
      </c>
      <c r="AJ13" s="120" t="s">
        <v>69</v>
      </c>
      <c r="AK13" s="120" t="s">
        <v>69</v>
      </c>
      <c r="AL13" s="120" t="s">
        <v>69</v>
      </c>
      <c r="AM13" s="120" t="s">
        <v>69</v>
      </c>
    </row>
    <row r="14" spans="1:39" ht="18">
      <c r="A14" s="5">
        <v>13</v>
      </c>
      <c r="B14" s="666"/>
      <c r="C14" s="254" t="s">
        <v>177</v>
      </c>
      <c r="D14" s="510" t="s">
        <v>412</v>
      </c>
      <c r="E14" s="511" t="s">
        <v>424</v>
      </c>
      <c r="F14" s="512" t="s">
        <v>442</v>
      </c>
      <c r="G14" s="513" t="s">
        <v>293</v>
      </c>
      <c r="H14" s="513" t="s">
        <v>415</v>
      </c>
      <c r="I14" s="239"/>
      <c r="J14" s="329" t="s">
        <v>108</v>
      </c>
      <c r="K14" s="134"/>
      <c r="L14" s="144"/>
      <c r="M14" s="468"/>
      <c r="N14" s="477"/>
      <c r="O14" s="637"/>
      <c r="P14" s="250"/>
      <c r="Q14" s="572"/>
      <c r="R14" s="579"/>
      <c r="S14" s="572"/>
      <c r="T14" s="469"/>
      <c r="U14" s="583"/>
      <c r="V14" s="134"/>
      <c r="W14" s="171"/>
      <c r="X14" s="141"/>
      <c r="Y14" s="141"/>
      <c r="Z14" s="141"/>
      <c r="AA14" s="583"/>
      <c r="AB14" s="218"/>
      <c r="AC14" s="134"/>
      <c r="AD14" s="134"/>
      <c r="AE14" s="134"/>
      <c r="AF14" s="134"/>
      <c r="AG14" s="134"/>
      <c r="AH14" s="329"/>
      <c r="AI14" s="168" t="s">
        <v>69</v>
      </c>
      <c r="AJ14" s="168" t="s">
        <v>69</v>
      </c>
      <c r="AK14" s="168" t="s">
        <v>69</v>
      </c>
      <c r="AL14" s="168" t="s">
        <v>69</v>
      </c>
      <c r="AM14" s="168" t="s">
        <v>69</v>
      </c>
    </row>
    <row r="15" spans="1:39" ht="18">
      <c r="A15" s="5">
        <v>14</v>
      </c>
      <c r="B15" s="666"/>
      <c r="C15" s="254" t="s">
        <v>294</v>
      </c>
      <c r="D15" s="510" t="s">
        <v>412</v>
      </c>
      <c r="E15" s="511" t="s">
        <v>443</v>
      </c>
      <c r="F15" s="512" t="s">
        <v>444</v>
      </c>
      <c r="G15" s="513" t="s">
        <v>295</v>
      </c>
      <c r="H15" s="513" t="s">
        <v>415</v>
      </c>
      <c r="I15" s="239"/>
      <c r="J15" s="464" t="s">
        <v>108</v>
      </c>
      <c r="K15" s="134"/>
      <c r="L15" s="144"/>
      <c r="M15" s="433"/>
      <c r="N15" s="677"/>
      <c r="O15" s="116"/>
      <c r="P15" s="116"/>
      <c r="Q15" s="140"/>
      <c r="R15" s="104"/>
      <c r="S15" s="572"/>
      <c r="T15" s="648"/>
      <c r="U15" s="141"/>
      <c r="V15" s="141"/>
      <c r="W15" s="670"/>
      <c r="X15" s="670"/>
      <c r="Y15" s="670"/>
      <c r="Z15" s="670"/>
      <c r="AA15" s="583"/>
      <c r="AB15" s="576"/>
      <c r="AC15" s="134"/>
      <c r="AD15" s="134"/>
      <c r="AE15" s="134"/>
      <c r="AF15" s="121"/>
      <c r="AG15" s="120"/>
      <c r="AH15" s="427"/>
      <c r="AI15" s="131" t="s">
        <v>416</v>
      </c>
      <c r="AJ15" s="131" t="s">
        <v>416</v>
      </c>
      <c r="AK15" s="447" t="s">
        <v>514</v>
      </c>
      <c r="AL15" s="168" t="s">
        <v>69</v>
      </c>
      <c r="AM15" s="168" t="s">
        <v>69</v>
      </c>
    </row>
    <row r="16" spans="1:39" ht="18">
      <c r="A16" s="5">
        <v>15</v>
      </c>
      <c r="B16" s="666"/>
      <c r="C16" s="254" t="s">
        <v>17</v>
      </c>
      <c r="D16" s="510" t="s">
        <v>412</v>
      </c>
      <c r="E16" s="511" t="s">
        <v>445</v>
      </c>
      <c r="F16" s="512" t="s">
        <v>446</v>
      </c>
      <c r="G16" s="513" t="s">
        <v>291</v>
      </c>
      <c r="H16" s="513" t="s">
        <v>415</v>
      </c>
      <c r="I16" s="159"/>
      <c r="J16" s="464" t="s">
        <v>108</v>
      </c>
      <c r="K16" s="134"/>
      <c r="L16" s="147"/>
      <c r="M16" s="433"/>
      <c r="N16" s="477"/>
      <c r="O16" s="104"/>
      <c r="P16" s="669"/>
      <c r="Q16" s="140"/>
      <c r="R16" s="104"/>
      <c r="S16" s="572"/>
      <c r="T16" s="469"/>
      <c r="U16" s="219"/>
      <c r="V16" s="673"/>
      <c r="W16" s="670"/>
      <c r="X16" s="64"/>
      <c r="Y16" s="64"/>
      <c r="Z16" s="670"/>
      <c r="AA16" s="583"/>
      <c r="AB16" s="121"/>
      <c r="AC16" s="134"/>
      <c r="AD16" s="134"/>
      <c r="AE16" s="132"/>
      <c r="AF16" s="672"/>
      <c r="AG16" s="121"/>
      <c r="AH16" s="329"/>
      <c r="AI16" s="672" t="s">
        <v>69</v>
      </c>
      <c r="AJ16" s="672" t="s">
        <v>69</v>
      </c>
      <c r="AK16" s="672" t="s">
        <v>69</v>
      </c>
      <c r="AL16" s="121" t="s">
        <v>416</v>
      </c>
      <c r="AM16" s="121" t="s">
        <v>416</v>
      </c>
    </row>
    <row r="17" spans="1:39" ht="18">
      <c r="A17" s="5">
        <v>16</v>
      </c>
      <c r="B17" s="666"/>
      <c r="C17" s="254" t="s">
        <v>18</v>
      </c>
      <c r="D17" s="510" t="s">
        <v>412</v>
      </c>
      <c r="E17" s="511" t="s">
        <v>418</v>
      </c>
      <c r="F17" s="512" t="s">
        <v>447</v>
      </c>
      <c r="G17" s="513" t="s">
        <v>286</v>
      </c>
      <c r="H17" s="513" t="s">
        <v>415</v>
      </c>
      <c r="I17" s="239"/>
      <c r="J17" s="464" t="s">
        <v>108</v>
      </c>
      <c r="K17" s="134"/>
      <c r="L17" s="134"/>
      <c r="M17" s="468"/>
      <c r="N17" s="477"/>
      <c r="O17" s="678"/>
      <c r="P17" s="573"/>
      <c r="Q17" s="578"/>
      <c r="R17" s="104"/>
      <c r="S17" s="579"/>
      <c r="T17" s="648"/>
      <c r="U17" s="579"/>
      <c r="V17" s="579"/>
      <c r="W17" s="670"/>
      <c r="X17" s="670"/>
      <c r="Y17" s="670"/>
      <c r="Z17" s="679"/>
      <c r="AA17" s="583"/>
      <c r="AB17" s="670"/>
      <c r="AC17" s="670"/>
      <c r="AD17" s="670"/>
      <c r="AE17" s="670"/>
      <c r="AF17" s="25"/>
      <c r="AG17" s="134"/>
      <c r="AH17" s="427"/>
      <c r="AI17" s="134" t="s">
        <v>69</v>
      </c>
      <c r="AJ17" s="134" t="s">
        <v>69</v>
      </c>
      <c r="AK17" s="134" t="s">
        <v>69</v>
      </c>
      <c r="AL17" s="134" t="s">
        <v>69</v>
      </c>
      <c r="AM17" s="134" t="s">
        <v>69</v>
      </c>
    </row>
    <row r="18" spans="1:39" ht="18">
      <c r="A18" s="5">
        <v>17</v>
      </c>
      <c r="B18" s="666"/>
      <c r="C18" s="254" t="s">
        <v>517</v>
      </c>
      <c r="D18" s="526" t="s">
        <v>412</v>
      </c>
      <c r="E18" s="511" t="s">
        <v>418</v>
      </c>
      <c r="F18" s="512" t="s">
        <v>450</v>
      </c>
      <c r="G18" s="513" t="s">
        <v>296</v>
      </c>
      <c r="H18" s="513" t="s">
        <v>415</v>
      </c>
      <c r="I18" s="239"/>
      <c r="J18" s="329" t="s">
        <v>108</v>
      </c>
      <c r="K18" s="132"/>
      <c r="L18" s="134"/>
      <c r="M18" s="468"/>
      <c r="N18" s="642"/>
      <c r="O18" s="637"/>
      <c r="P18" s="573"/>
      <c r="Q18" s="578"/>
      <c r="R18" s="104"/>
      <c r="S18" s="104"/>
      <c r="T18" s="469"/>
      <c r="U18" s="104"/>
      <c r="V18" s="104"/>
      <c r="W18" s="153"/>
      <c r="X18" s="153"/>
      <c r="Y18" s="153"/>
      <c r="Z18" s="121"/>
      <c r="AA18" s="583"/>
      <c r="AB18" s="239"/>
      <c r="AC18" s="239"/>
      <c r="AD18" s="239"/>
      <c r="AE18" s="239"/>
      <c r="AF18" s="239"/>
      <c r="AG18" s="153"/>
      <c r="AH18" s="329"/>
      <c r="AI18" s="134" t="s">
        <v>69</v>
      </c>
      <c r="AJ18" s="134" t="s">
        <v>69</v>
      </c>
      <c r="AK18" s="134" t="s">
        <v>69</v>
      </c>
      <c r="AL18" s="134" t="s">
        <v>69</v>
      </c>
      <c r="AM18" s="134" t="s">
        <v>69</v>
      </c>
    </row>
    <row r="19" spans="1:39" ht="18">
      <c r="A19" s="5">
        <v>18</v>
      </c>
      <c r="B19" s="666"/>
      <c r="C19" s="186" t="s">
        <v>238</v>
      </c>
      <c r="D19" s="510" t="s">
        <v>412</v>
      </c>
      <c r="E19" s="511" t="s">
        <v>424</v>
      </c>
      <c r="F19" s="512" t="s">
        <v>451</v>
      </c>
      <c r="G19" s="523" t="s">
        <v>297</v>
      </c>
      <c r="H19" s="513" t="s">
        <v>415</v>
      </c>
      <c r="I19" s="239"/>
      <c r="J19" s="464" t="s">
        <v>108</v>
      </c>
      <c r="K19" s="134"/>
      <c r="L19" s="134"/>
      <c r="M19" s="433"/>
      <c r="N19" s="212"/>
      <c r="O19" s="644"/>
      <c r="P19" s="572"/>
      <c r="Q19" s="578"/>
      <c r="R19" s="104"/>
      <c r="S19" s="108"/>
      <c r="T19" s="648"/>
      <c r="U19" s="108"/>
      <c r="V19" s="108"/>
      <c r="W19" s="239"/>
      <c r="X19" s="239"/>
      <c r="Y19" s="239"/>
      <c r="Z19" s="134"/>
      <c r="AA19" s="583"/>
      <c r="AB19" s="239"/>
      <c r="AC19" s="239"/>
      <c r="AD19" s="239"/>
      <c r="AE19" s="239"/>
      <c r="AF19" s="120"/>
      <c r="AG19" s="120"/>
      <c r="AH19" s="427"/>
      <c r="AI19" s="120" t="s">
        <v>69</v>
      </c>
      <c r="AJ19" s="168" t="s">
        <v>69</v>
      </c>
      <c r="AK19" s="121" t="s">
        <v>416</v>
      </c>
      <c r="AL19" s="134" t="s">
        <v>69</v>
      </c>
      <c r="AM19" s="120" t="s">
        <v>69</v>
      </c>
    </row>
    <row r="20" spans="1:39" ht="18">
      <c r="A20" s="5">
        <v>19</v>
      </c>
      <c r="B20" s="666" t="s">
        <v>518</v>
      </c>
      <c r="C20" s="186" t="s">
        <v>519</v>
      </c>
      <c r="D20" s="510" t="s">
        <v>412</v>
      </c>
      <c r="E20" s="511" t="s">
        <v>413</v>
      </c>
      <c r="F20" s="512" t="s">
        <v>439</v>
      </c>
      <c r="G20" s="523" t="s">
        <v>292</v>
      </c>
      <c r="H20" s="513"/>
      <c r="I20" s="153"/>
      <c r="J20" s="464" t="s">
        <v>108</v>
      </c>
      <c r="K20" s="153"/>
      <c r="L20" s="153"/>
      <c r="M20" s="468"/>
      <c r="N20" s="153"/>
      <c r="O20" s="153"/>
      <c r="P20" s="153"/>
      <c r="Q20" s="153"/>
      <c r="R20" s="104"/>
      <c r="S20" s="153"/>
      <c r="T20" s="469"/>
      <c r="U20" s="153"/>
      <c r="V20" s="153"/>
      <c r="W20" s="153"/>
      <c r="X20" s="153"/>
      <c r="Y20" s="153"/>
      <c r="Z20" s="121"/>
      <c r="AA20" s="583"/>
      <c r="AB20" s="239"/>
      <c r="AC20" s="134"/>
      <c r="AD20" s="134"/>
      <c r="AE20" s="131"/>
      <c r="AF20" s="120"/>
      <c r="AG20" s="120"/>
      <c r="AH20" s="329"/>
      <c r="AI20" s="120" t="s">
        <v>69</v>
      </c>
      <c r="AJ20" s="120" t="s">
        <v>69</v>
      </c>
      <c r="AK20" s="120" t="s">
        <v>69</v>
      </c>
      <c r="AL20" s="120" t="s">
        <v>69</v>
      </c>
      <c r="AM20" s="447" t="s">
        <v>514</v>
      </c>
    </row>
    <row r="21" spans="1:39" ht="18">
      <c r="A21" s="5">
        <v>20</v>
      </c>
      <c r="B21" s="666"/>
      <c r="C21" s="254" t="s">
        <v>22</v>
      </c>
      <c r="D21" s="510" t="s">
        <v>412</v>
      </c>
      <c r="E21" s="511" t="s">
        <v>418</v>
      </c>
      <c r="F21" s="512" t="s">
        <v>452</v>
      </c>
      <c r="G21" s="513" t="s">
        <v>285</v>
      </c>
      <c r="H21" s="513" t="s">
        <v>415</v>
      </c>
      <c r="I21" s="239"/>
      <c r="J21" s="464" t="s">
        <v>108</v>
      </c>
      <c r="K21" s="134"/>
      <c r="L21" s="134"/>
      <c r="M21" s="433"/>
      <c r="N21" s="239"/>
      <c r="O21" s="134"/>
      <c r="P21" s="572"/>
      <c r="Q21" s="578"/>
      <c r="R21" s="104"/>
      <c r="S21" s="104"/>
      <c r="T21" s="469"/>
      <c r="U21" s="108"/>
      <c r="V21" s="171"/>
      <c r="W21" s="239"/>
      <c r="X21" s="239"/>
      <c r="Y21" s="239"/>
      <c r="Z21" s="134"/>
      <c r="AA21" s="583"/>
      <c r="AB21" s="239"/>
      <c r="AC21" s="406"/>
      <c r="AD21" s="134"/>
      <c r="AE21" s="134"/>
      <c r="AF21" s="134"/>
      <c r="AG21" s="134"/>
      <c r="AH21" s="427"/>
      <c r="AI21" s="120" t="s">
        <v>69</v>
      </c>
      <c r="AJ21" s="120" t="s">
        <v>69</v>
      </c>
      <c r="AK21" s="120" t="s">
        <v>69</v>
      </c>
      <c r="AL21" s="120" t="s">
        <v>69</v>
      </c>
      <c r="AM21" s="134" t="s">
        <v>69</v>
      </c>
    </row>
    <row r="22" spans="1:39" ht="18">
      <c r="A22" s="5">
        <v>21</v>
      </c>
      <c r="B22" s="666"/>
      <c r="C22" s="254" t="s">
        <v>179</v>
      </c>
      <c r="D22" s="510" t="s">
        <v>412</v>
      </c>
      <c r="E22" s="511" t="s">
        <v>424</v>
      </c>
      <c r="F22" s="512" t="s">
        <v>453</v>
      </c>
      <c r="G22" s="513" t="s">
        <v>289</v>
      </c>
      <c r="H22" s="513" t="s">
        <v>415</v>
      </c>
      <c r="I22" s="239"/>
      <c r="J22" s="329" t="s">
        <v>108</v>
      </c>
      <c r="K22" s="134"/>
      <c r="L22" s="134"/>
      <c r="M22" s="468"/>
      <c r="N22" s="643"/>
      <c r="O22" s="645"/>
      <c r="P22" s="572"/>
      <c r="Q22" s="140"/>
      <c r="R22" s="104"/>
      <c r="S22" s="104"/>
      <c r="T22" s="648"/>
      <c r="U22" s="108"/>
      <c r="V22" s="576"/>
      <c r="W22" s="239"/>
      <c r="X22" s="239"/>
      <c r="Y22" s="239"/>
      <c r="Z22" s="134"/>
      <c r="AA22" s="583"/>
      <c r="AB22" s="239"/>
      <c r="AC22" s="239"/>
      <c r="AD22" s="239"/>
      <c r="AE22" s="239"/>
      <c r="AF22" s="239"/>
      <c r="AG22" s="239"/>
      <c r="AH22" s="329"/>
      <c r="AI22" s="168" t="s">
        <v>69</v>
      </c>
      <c r="AJ22" s="168" t="s">
        <v>69</v>
      </c>
      <c r="AK22" s="168" t="s">
        <v>69</v>
      </c>
      <c r="AL22" s="168" t="s">
        <v>69</v>
      </c>
      <c r="AM22" s="134" t="s">
        <v>69</v>
      </c>
    </row>
    <row r="23" spans="1:39" ht="18">
      <c r="A23" s="5">
        <v>22</v>
      </c>
      <c r="B23" s="666"/>
      <c r="C23" s="254" t="s">
        <v>298</v>
      </c>
      <c r="D23" s="510" t="s">
        <v>412</v>
      </c>
      <c r="E23" s="530" t="s">
        <v>424</v>
      </c>
      <c r="F23" s="531" t="s">
        <v>454</v>
      </c>
      <c r="G23" s="532" t="s">
        <v>303</v>
      </c>
      <c r="H23" s="513" t="s">
        <v>415</v>
      </c>
      <c r="I23" s="239"/>
      <c r="J23" s="464" t="s">
        <v>108</v>
      </c>
      <c r="K23" s="134"/>
      <c r="L23" s="134"/>
      <c r="M23" s="468"/>
      <c r="N23" s="575"/>
      <c r="O23" s="120"/>
      <c r="P23" s="572"/>
      <c r="Q23" s="152"/>
      <c r="R23" s="104"/>
      <c r="S23" s="104"/>
      <c r="T23" s="469"/>
      <c r="U23" s="108"/>
      <c r="V23" s="171"/>
      <c r="W23" s="239"/>
      <c r="X23" s="239"/>
      <c r="Y23" s="239"/>
      <c r="Z23" s="134"/>
      <c r="AA23" s="583"/>
      <c r="AB23" s="239"/>
      <c r="AC23" s="239"/>
      <c r="AD23" s="239"/>
      <c r="AE23" s="239"/>
      <c r="AF23" s="239"/>
      <c r="AG23" s="168"/>
      <c r="AH23" s="427"/>
      <c r="AI23" s="120" t="s">
        <v>69</v>
      </c>
      <c r="AJ23" s="120" t="s">
        <v>69</v>
      </c>
      <c r="AK23" s="447" t="s">
        <v>514</v>
      </c>
      <c r="AL23" s="168" t="s">
        <v>69</v>
      </c>
      <c r="AM23" s="121" t="s">
        <v>416</v>
      </c>
    </row>
    <row r="24" spans="1:39" ht="18">
      <c r="A24" s="5">
        <v>23</v>
      </c>
      <c r="B24" s="666"/>
      <c r="C24" s="254" t="s">
        <v>140</v>
      </c>
      <c r="D24" s="510" t="s">
        <v>412</v>
      </c>
      <c r="E24" s="511" t="s">
        <v>456</v>
      </c>
      <c r="F24" s="512" t="s">
        <v>457</v>
      </c>
      <c r="G24" s="513" t="s">
        <v>300</v>
      </c>
      <c r="H24" s="513" t="s">
        <v>415</v>
      </c>
      <c r="I24" s="239"/>
      <c r="J24" s="464" t="s">
        <v>108</v>
      </c>
      <c r="K24" s="134"/>
      <c r="L24" s="134"/>
      <c r="M24" s="433"/>
      <c r="N24" s="239"/>
      <c r="O24" s="134"/>
      <c r="P24" s="134"/>
      <c r="Q24" s="134"/>
      <c r="R24" s="104"/>
      <c r="S24" s="134"/>
      <c r="T24" s="648"/>
      <c r="U24" s="108"/>
      <c r="V24" s="108"/>
      <c r="W24" s="239"/>
      <c r="X24" s="239"/>
      <c r="Y24" s="239"/>
      <c r="Z24" s="134"/>
      <c r="AA24" s="583"/>
      <c r="AB24" s="672"/>
      <c r="AC24" s="121"/>
      <c r="AD24" s="672"/>
      <c r="AE24" s="672"/>
      <c r="AF24" s="672"/>
      <c r="AG24" s="134"/>
      <c r="AH24" s="329"/>
      <c r="AI24" s="134" t="s">
        <v>69</v>
      </c>
      <c r="AJ24" s="134" t="s">
        <v>69</v>
      </c>
      <c r="AK24" s="134" t="s">
        <v>69</v>
      </c>
      <c r="AL24" s="134" t="s">
        <v>69</v>
      </c>
      <c r="AM24" s="134" t="s">
        <v>69</v>
      </c>
    </row>
    <row r="25" spans="1:39" ht="18">
      <c r="A25" s="5">
        <v>24</v>
      </c>
      <c r="B25" s="666"/>
      <c r="C25" s="254" t="s">
        <v>222</v>
      </c>
      <c r="D25" s="510" t="s">
        <v>412</v>
      </c>
      <c r="E25" s="511" t="s">
        <v>418</v>
      </c>
      <c r="F25" s="512" t="s">
        <v>458</v>
      </c>
      <c r="G25" s="513" t="s">
        <v>296</v>
      </c>
      <c r="H25" s="513" t="s">
        <v>415</v>
      </c>
      <c r="I25" s="674"/>
      <c r="J25" s="464" t="s">
        <v>108</v>
      </c>
      <c r="K25" s="134"/>
      <c r="L25" s="134"/>
      <c r="M25" s="433"/>
      <c r="N25" s="140"/>
      <c r="O25" s="107"/>
      <c r="P25" s="436"/>
      <c r="Q25" s="134"/>
      <c r="R25" s="104"/>
      <c r="S25" s="134"/>
      <c r="T25" s="469"/>
      <c r="U25" s="108"/>
      <c r="V25" s="108"/>
      <c r="W25" s="153"/>
      <c r="X25" s="239"/>
      <c r="Y25" s="239"/>
      <c r="Z25" s="239"/>
      <c r="AA25" s="583"/>
      <c r="AB25" s="153"/>
      <c r="AC25" s="134"/>
      <c r="AD25" s="134"/>
      <c r="AE25" s="134"/>
      <c r="AF25" s="134"/>
      <c r="AG25" s="134"/>
      <c r="AH25" s="427"/>
      <c r="AI25" s="134" t="s">
        <v>69</v>
      </c>
      <c r="AJ25" s="134" t="s">
        <v>69</v>
      </c>
      <c r="AK25" s="134" t="s">
        <v>69</v>
      </c>
      <c r="AL25" s="134" t="s">
        <v>69</v>
      </c>
      <c r="AM25" s="134" t="s">
        <v>69</v>
      </c>
    </row>
    <row r="26" spans="1:39" ht="18">
      <c r="A26" s="5">
        <v>25</v>
      </c>
      <c r="B26" s="666"/>
      <c r="C26" s="254" t="s">
        <v>114</v>
      </c>
      <c r="D26" s="510" t="s">
        <v>412</v>
      </c>
      <c r="E26" s="511" t="s">
        <v>418</v>
      </c>
      <c r="F26" s="512" t="s">
        <v>459</v>
      </c>
      <c r="G26" s="513" t="s">
        <v>301</v>
      </c>
      <c r="H26" s="513" t="s">
        <v>415</v>
      </c>
      <c r="I26" s="674"/>
      <c r="J26" s="329" t="s">
        <v>108</v>
      </c>
      <c r="K26" s="134"/>
      <c r="L26" s="134"/>
      <c r="M26" s="468"/>
      <c r="N26" s="575"/>
      <c r="O26" s="637"/>
      <c r="P26" s="637"/>
      <c r="Q26" s="637"/>
      <c r="R26" s="104"/>
      <c r="S26" s="637"/>
      <c r="T26" s="648"/>
      <c r="U26" s="108"/>
      <c r="V26" s="108"/>
      <c r="W26" s="239"/>
      <c r="X26" s="239"/>
      <c r="Y26" s="239"/>
      <c r="Z26" s="239"/>
      <c r="AA26" s="583"/>
      <c r="AB26" s="239"/>
      <c r="AC26" s="239"/>
      <c r="AD26" s="239"/>
      <c r="AE26" s="239"/>
      <c r="AF26" s="239"/>
      <c r="AG26" s="134"/>
      <c r="AH26" s="329"/>
      <c r="AI26" s="134" t="s">
        <v>69</v>
      </c>
      <c r="AJ26" s="134" t="s">
        <v>69</v>
      </c>
      <c r="AK26" s="134" t="s">
        <v>69</v>
      </c>
      <c r="AL26" s="134" t="s">
        <v>69</v>
      </c>
      <c r="AM26" s="134" t="s">
        <v>69</v>
      </c>
    </row>
    <row r="27" spans="1:39" ht="18">
      <c r="A27" s="5">
        <v>26</v>
      </c>
      <c r="B27" s="666"/>
      <c r="C27" s="254" t="s">
        <v>253</v>
      </c>
      <c r="D27" s="510" t="s">
        <v>412</v>
      </c>
      <c r="E27" s="511" t="s">
        <v>460</v>
      </c>
      <c r="F27" s="512" t="s">
        <v>414</v>
      </c>
      <c r="G27" s="513" t="s">
        <v>284</v>
      </c>
      <c r="H27" s="513" t="s">
        <v>415</v>
      </c>
      <c r="I27" s="674"/>
      <c r="J27" s="464" t="s">
        <v>108</v>
      </c>
      <c r="K27" s="144"/>
      <c r="L27" s="134"/>
      <c r="M27" s="468"/>
      <c r="N27" s="140"/>
      <c r="O27" s="116"/>
      <c r="P27" s="572"/>
      <c r="Q27" s="636"/>
      <c r="R27" s="104"/>
      <c r="S27" s="171"/>
      <c r="T27" s="469"/>
      <c r="U27" s="108"/>
      <c r="V27" s="108"/>
      <c r="W27" s="108"/>
      <c r="X27" s="239"/>
      <c r="Y27" s="239"/>
      <c r="Z27" s="665"/>
      <c r="AA27" s="583"/>
      <c r="AB27" s="239"/>
      <c r="AC27" s="239"/>
      <c r="AD27" s="239"/>
      <c r="AE27" s="239"/>
      <c r="AF27" s="239"/>
      <c r="AG27" s="132"/>
      <c r="AH27" s="329"/>
      <c r="AI27" s="134" t="s">
        <v>69</v>
      </c>
      <c r="AJ27" s="134" t="s">
        <v>69</v>
      </c>
      <c r="AK27" s="121" t="s">
        <v>416</v>
      </c>
      <c r="AL27" s="121" t="s">
        <v>416</v>
      </c>
      <c r="AM27" s="120" t="s">
        <v>69</v>
      </c>
    </row>
    <row r="28" spans="1:39" ht="18">
      <c r="A28" s="5">
        <v>27</v>
      </c>
      <c r="B28" s="666"/>
      <c r="C28" s="254" t="s">
        <v>26</v>
      </c>
      <c r="D28" s="510" t="s">
        <v>412</v>
      </c>
      <c r="E28" s="511" t="s">
        <v>461</v>
      </c>
      <c r="F28" s="512" t="s">
        <v>457</v>
      </c>
      <c r="G28" s="513" t="s">
        <v>300</v>
      </c>
      <c r="H28" s="513" t="s">
        <v>415</v>
      </c>
      <c r="I28" s="674"/>
      <c r="J28" s="464" t="s">
        <v>108</v>
      </c>
      <c r="K28" s="207"/>
      <c r="L28" s="147"/>
      <c r="M28" s="433"/>
      <c r="N28" s="140"/>
      <c r="O28" s="157"/>
      <c r="P28" s="157"/>
      <c r="Q28" s="157"/>
      <c r="R28" s="104"/>
      <c r="S28" s="157"/>
      <c r="T28" s="648"/>
      <c r="U28" s="108"/>
      <c r="V28" s="218"/>
      <c r="W28" s="218"/>
      <c r="X28" s="576"/>
      <c r="Y28" s="576"/>
      <c r="Z28" s="134"/>
      <c r="AA28" s="583"/>
      <c r="AB28" s="215"/>
      <c r="AC28" s="134"/>
      <c r="AD28" s="132"/>
      <c r="AE28" s="132"/>
      <c r="AF28" s="132"/>
      <c r="AG28" s="134"/>
      <c r="AH28" s="427"/>
      <c r="AI28" s="134" t="s">
        <v>69</v>
      </c>
      <c r="AJ28" s="168" t="s">
        <v>69</v>
      </c>
      <c r="AK28" s="134" t="s">
        <v>69</v>
      </c>
      <c r="AL28" s="132" t="s">
        <v>514</v>
      </c>
      <c r="AM28" s="132" t="s">
        <v>514</v>
      </c>
    </row>
    <row r="29" spans="1:39" ht="18">
      <c r="A29" s="5">
        <v>28</v>
      </c>
      <c r="B29" s="666"/>
      <c r="C29" s="254" t="s">
        <v>27</v>
      </c>
      <c r="D29" s="510" t="s">
        <v>412</v>
      </c>
      <c r="E29" s="511" t="s">
        <v>462</v>
      </c>
      <c r="F29" s="512" t="s">
        <v>457</v>
      </c>
      <c r="G29" s="513" t="s">
        <v>300</v>
      </c>
      <c r="H29" s="513" t="s">
        <v>415</v>
      </c>
      <c r="I29" s="674"/>
      <c r="J29" s="464" t="s">
        <v>108</v>
      </c>
      <c r="K29" s="219"/>
      <c r="L29" s="134"/>
      <c r="M29" s="433"/>
      <c r="N29" s="140"/>
      <c r="O29" s="157"/>
      <c r="P29" s="436"/>
      <c r="Q29" s="157"/>
      <c r="R29" s="104"/>
      <c r="S29" s="157"/>
      <c r="T29" s="469"/>
      <c r="U29" s="108"/>
      <c r="V29" s="108"/>
      <c r="W29" s="141"/>
      <c r="X29" s="141"/>
      <c r="Y29" s="218"/>
      <c r="Z29" s="218"/>
      <c r="AA29" s="583"/>
      <c r="AB29" s="215"/>
      <c r="AC29" s="134"/>
      <c r="AD29" s="121"/>
      <c r="AE29" s="132"/>
      <c r="AF29" s="121"/>
      <c r="AG29" s="672"/>
      <c r="AH29" s="329"/>
      <c r="AI29" s="672" t="s">
        <v>69</v>
      </c>
      <c r="AJ29" s="672" t="s">
        <v>69</v>
      </c>
      <c r="AK29" s="672" t="s">
        <v>69</v>
      </c>
      <c r="AL29" s="672" t="s">
        <v>69</v>
      </c>
      <c r="AM29" s="121" t="s">
        <v>416</v>
      </c>
    </row>
    <row r="30" spans="1:39" ht="18">
      <c r="A30" s="5">
        <v>29</v>
      </c>
      <c r="B30" s="666"/>
      <c r="C30" s="254" t="s">
        <v>28</v>
      </c>
      <c r="D30" s="510" t="s">
        <v>412</v>
      </c>
      <c r="E30" s="511" t="s">
        <v>443</v>
      </c>
      <c r="F30" s="512" t="s">
        <v>421</v>
      </c>
      <c r="G30" s="513" t="s">
        <v>286</v>
      </c>
      <c r="H30" s="513" t="s">
        <v>415</v>
      </c>
      <c r="J30" s="329" t="s">
        <v>108</v>
      </c>
      <c r="K30" s="207"/>
      <c r="L30" s="219"/>
      <c r="M30" s="468"/>
      <c r="N30" s="140"/>
      <c r="O30" s="637"/>
      <c r="P30" s="637"/>
      <c r="Q30" s="637"/>
      <c r="R30" s="104"/>
      <c r="S30" s="637"/>
      <c r="T30" s="648"/>
      <c r="U30" s="108"/>
      <c r="V30" s="108"/>
      <c r="W30" s="108"/>
      <c r="X30" s="218"/>
      <c r="Y30" s="141"/>
      <c r="Z30" s="141"/>
      <c r="AA30" s="583"/>
      <c r="AB30" s="168"/>
      <c r="AC30" s="132"/>
      <c r="AD30" s="134"/>
      <c r="AE30" s="134"/>
      <c r="AF30" s="147"/>
      <c r="AG30" s="134"/>
      <c r="AH30" s="427"/>
      <c r="AI30" s="134" t="s">
        <v>69</v>
      </c>
      <c r="AJ30" s="134" t="s">
        <v>69</v>
      </c>
      <c r="AK30" s="134" t="s">
        <v>69</v>
      </c>
      <c r="AL30" s="134" t="s">
        <v>69</v>
      </c>
      <c r="AM30" s="672" t="s">
        <v>69</v>
      </c>
    </row>
    <row r="31" spans="1:39" ht="18">
      <c r="A31" s="5">
        <v>30</v>
      </c>
      <c r="B31" s="666"/>
      <c r="C31" s="254" t="s">
        <v>29</v>
      </c>
      <c r="D31" s="510" t="s">
        <v>412</v>
      </c>
      <c r="E31" s="511" t="s">
        <v>413</v>
      </c>
      <c r="F31" s="512" t="s">
        <v>463</v>
      </c>
      <c r="G31" s="513" t="s">
        <v>303</v>
      </c>
      <c r="H31" s="513" t="s">
        <v>415</v>
      </c>
      <c r="I31" s="215"/>
      <c r="J31" s="464" t="s">
        <v>108</v>
      </c>
      <c r="K31" s="134"/>
      <c r="L31" s="134"/>
      <c r="M31" s="468"/>
      <c r="N31" s="140"/>
      <c r="O31" s="646"/>
      <c r="P31" s="646"/>
      <c r="Q31" s="646"/>
      <c r="R31" s="104"/>
      <c r="S31" s="646"/>
      <c r="T31" s="469"/>
      <c r="U31" s="108"/>
      <c r="V31" s="171"/>
      <c r="W31" s="141"/>
      <c r="X31" s="141"/>
      <c r="Y31" s="141"/>
      <c r="Z31" s="141"/>
      <c r="AA31" s="583"/>
      <c r="AB31" s="168"/>
      <c r="AC31" s="168"/>
      <c r="AD31" s="168"/>
      <c r="AE31" s="168"/>
      <c r="AF31" s="168"/>
      <c r="AG31" s="120"/>
      <c r="AH31" s="329"/>
      <c r="AI31" s="120" t="s">
        <v>69</v>
      </c>
      <c r="AJ31" s="168" t="s">
        <v>69</v>
      </c>
      <c r="AK31" s="672" t="s">
        <v>69</v>
      </c>
      <c r="AL31" s="672" t="s">
        <v>69</v>
      </c>
      <c r="AM31" s="672" t="s">
        <v>69</v>
      </c>
    </row>
    <row r="32" spans="1:39" ht="18">
      <c r="A32" s="5">
        <v>31</v>
      </c>
      <c r="B32" s="666"/>
      <c r="C32" s="254" t="s">
        <v>181</v>
      </c>
      <c r="D32" s="510" t="s">
        <v>412</v>
      </c>
      <c r="E32" s="511" t="s">
        <v>443</v>
      </c>
      <c r="F32" s="512" t="s">
        <v>464</v>
      </c>
      <c r="G32" s="513" t="s">
        <v>293</v>
      </c>
      <c r="H32" s="513" t="s">
        <v>415</v>
      </c>
      <c r="I32" s="674"/>
      <c r="J32" s="464" t="s">
        <v>108</v>
      </c>
      <c r="K32" s="672"/>
      <c r="L32" s="672"/>
      <c r="M32" s="433"/>
      <c r="N32" s="140"/>
      <c r="O32" s="120"/>
      <c r="P32" s="120"/>
      <c r="Q32" s="120"/>
      <c r="R32" s="104"/>
      <c r="S32" s="157"/>
      <c r="T32" s="648"/>
      <c r="U32" s="108"/>
      <c r="V32" s="108"/>
      <c r="W32" s="141"/>
      <c r="X32" s="171"/>
      <c r="Y32" s="141"/>
      <c r="Z32" s="141"/>
      <c r="AA32" s="583"/>
      <c r="AB32" s="141"/>
      <c r="AC32" s="427"/>
      <c r="AD32" s="672"/>
      <c r="AE32" s="672"/>
      <c r="AF32" s="672"/>
      <c r="AG32" s="672"/>
      <c r="AH32" s="427"/>
      <c r="AI32" s="120" t="s">
        <v>69</v>
      </c>
      <c r="AJ32" s="447" t="s">
        <v>514</v>
      </c>
      <c r="AK32" s="447" t="s">
        <v>514</v>
      </c>
      <c r="AL32" s="120" t="s">
        <v>69</v>
      </c>
      <c r="AM32" s="672" t="s">
        <v>69</v>
      </c>
    </row>
    <row r="33" spans="1:39" ht="18">
      <c r="A33" s="5">
        <v>32</v>
      </c>
      <c r="B33" s="666"/>
      <c r="C33" s="254" t="s">
        <v>30</v>
      </c>
      <c r="D33" s="510" t="s">
        <v>412</v>
      </c>
      <c r="E33" s="511" t="s">
        <v>443</v>
      </c>
      <c r="F33" s="512" t="s">
        <v>459</v>
      </c>
      <c r="G33" s="513" t="s">
        <v>301</v>
      </c>
      <c r="H33" s="513" t="s">
        <v>415</v>
      </c>
      <c r="I33" s="674"/>
      <c r="J33" s="464" t="s">
        <v>108</v>
      </c>
      <c r="K33" s="672"/>
      <c r="L33" s="672"/>
      <c r="M33" s="433"/>
      <c r="N33" s="140"/>
      <c r="O33" s="647"/>
      <c r="P33" s="673"/>
      <c r="Q33" s="477"/>
      <c r="R33" s="104"/>
      <c r="S33" s="104"/>
      <c r="T33" s="469"/>
      <c r="U33" s="104"/>
      <c r="V33" s="104"/>
      <c r="W33" s="141"/>
      <c r="X33" s="141"/>
      <c r="Y33" s="141"/>
      <c r="Z33" s="141"/>
      <c r="AA33" s="583"/>
      <c r="AB33" s="141"/>
      <c r="AC33" s="427"/>
      <c r="AD33" s="120"/>
      <c r="AE33" s="120"/>
      <c r="AF33" s="120"/>
      <c r="AG33" s="672"/>
      <c r="AH33" s="329"/>
      <c r="AI33" s="672" t="s">
        <v>69</v>
      </c>
      <c r="AJ33" s="168" t="s">
        <v>69</v>
      </c>
      <c r="AK33" s="134" t="s">
        <v>69</v>
      </c>
      <c r="AL33" s="134" t="s">
        <v>69</v>
      </c>
      <c r="AM33" s="672" t="s">
        <v>69</v>
      </c>
    </row>
    <row r="34" spans="1:39" ht="18">
      <c r="A34" s="5">
        <v>33</v>
      </c>
      <c r="B34" s="666"/>
      <c r="C34" s="254" t="s">
        <v>31</v>
      </c>
      <c r="D34" s="510" t="s">
        <v>412</v>
      </c>
      <c r="E34" s="511" t="s">
        <v>461</v>
      </c>
      <c r="F34" s="512" t="s">
        <v>441</v>
      </c>
      <c r="G34" s="513" t="s">
        <v>292</v>
      </c>
      <c r="H34" s="513" t="s">
        <v>415</v>
      </c>
      <c r="I34" s="674"/>
      <c r="J34" s="329" t="s">
        <v>108</v>
      </c>
      <c r="K34" s="672"/>
      <c r="L34" s="672"/>
      <c r="M34" s="468"/>
      <c r="N34" s="140"/>
      <c r="O34" s="140"/>
      <c r="P34" s="140"/>
      <c r="Q34" s="477"/>
      <c r="R34" s="104"/>
      <c r="S34" s="108"/>
      <c r="T34" s="648"/>
      <c r="U34" s="104"/>
      <c r="V34" s="104"/>
      <c r="W34" s="168"/>
      <c r="X34" s="131"/>
      <c r="Y34" s="141"/>
      <c r="Z34" s="141"/>
      <c r="AA34" s="583"/>
      <c r="AB34" s="141"/>
      <c r="AC34" s="141"/>
      <c r="AD34" s="141"/>
      <c r="AE34" s="141"/>
      <c r="AF34" s="141"/>
      <c r="AG34" s="134"/>
      <c r="AH34" s="427"/>
      <c r="AI34" s="134" t="s">
        <v>69</v>
      </c>
      <c r="AJ34" s="134" t="s">
        <v>69</v>
      </c>
      <c r="AK34" s="121" t="s">
        <v>416</v>
      </c>
      <c r="AL34" s="672" t="s">
        <v>69</v>
      </c>
      <c r="AM34" s="672" t="s">
        <v>69</v>
      </c>
    </row>
    <row r="35" spans="1:39" ht="18">
      <c r="A35" s="5">
        <v>34</v>
      </c>
      <c r="B35" s="666"/>
      <c r="C35" s="186" t="s">
        <v>142</v>
      </c>
      <c r="D35" s="510" t="s">
        <v>412</v>
      </c>
      <c r="E35" s="511" t="s">
        <v>462</v>
      </c>
      <c r="F35" s="512" t="s">
        <v>441</v>
      </c>
      <c r="G35" s="513" t="s">
        <v>292</v>
      </c>
      <c r="H35" s="513" t="s">
        <v>415</v>
      </c>
      <c r="I35" s="153"/>
      <c r="J35" s="464" t="s">
        <v>108</v>
      </c>
      <c r="K35" s="672"/>
      <c r="L35" s="120"/>
      <c r="M35" s="468"/>
      <c r="N35" s="140"/>
      <c r="O35" s="140"/>
      <c r="P35" s="148"/>
      <c r="Q35" s="574"/>
      <c r="R35" s="104"/>
      <c r="S35" s="108"/>
      <c r="T35" s="469"/>
      <c r="U35" s="68"/>
      <c r="V35" s="104"/>
      <c r="W35" s="134"/>
      <c r="X35" s="121"/>
      <c r="Y35" s="121"/>
      <c r="Z35" s="121"/>
      <c r="AA35" s="583"/>
      <c r="AB35" s="134"/>
      <c r="AC35" s="134"/>
      <c r="AD35" s="134"/>
      <c r="AE35" s="134"/>
      <c r="AF35" s="134"/>
      <c r="AG35" s="134"/>
      <c r="AH35" s="329"/>
      <c r="AI35" s="134" t="s">
        <v>69</v>
      </c>
      <c r="AJ35" s="134" t="s">
        <v>69</v>
      </c>
      <c r="AK35" s="121" t="s">
        <v>416</v>
      </c>
      <c r="AL35" s="672" t="s">
        <v>69</v>
      </c>
      <c r="AM35" s="120" t="s">
        <v>69</v>
      </c>
    </row>
    <row r="36" spans="1:39" ht="18">
      <c r="A36" s="5">
        <v>35</v>
      </c>
      <c r="B36" s="666"/>
      <c r="C36" s="186" t="s">
        <v>33</v>
      </c>
      <c r="D36" s="510" t="s">
        <v>412</v>
      </c>
      <c r="E36" s="511" t="s">
        <v>413</v>
      </c>
      <c r="F36" s="512" t="s">
        <v>465</v>
      </c>
      <c r="G36" s="513" t="s">
        <v>300</v>
      </c>
      <c r="H36" s="513" t="s">
        <v>415</v>
      </c>
      <c r="I36" s="215"/>
      <c r="J36" s="464" t="s">
        <v>108</v>
      </c>
      <c r="K36" s="672"/>
      <c r="L36" s="120"/>
      <c r="M36" s="433"/>
      <c r="N36" s="140"/>
      <c r="O36" s="140"/>
      <c r="P36" s="140"/>
      <c r="Q36" s="104"/>
      <c r="R36" s="104"/>
      <c r="S36" s="656"/>
      <c r="T36" s="648"/>
      <c r="U36" s="61"/>
      <c r="V36" s="104"/>
      <c r="W36" s="134"/>
      <c r="X36" s="134"/>
      <c r="Y36" s="134"/>
      <c r="Z36" s="134"/>
      <c r="AA36" s="583"/>
      <c r="AB36" s="134"/>
      <c r="AC36" s="134"/>
      <c r="AD36" s="134"/>
      <c r="AE36" s="134"/>
      <c r="AF36" s="134"/>
      <c r="AG36" s="121"/>
      <c r="AH36" s="427"/>
      <c r="AI36" s="134" t="s">
        <v>69</v>
      </c>
      <c r="AJ36" s="134" t="s">
        <v>69</v>
      </c>
      <c r="AK36" s="134" t="s">
        <v>69</v>
      </c>
      <c r="AL36" s="132" t="s">
        <v>514</v>
      </c>
      <c r="AM36" s="134" t="s">
        <v>69</v>
      </c>
    </row>
    <row r="37" spans="1:39" ht="18">
      <c r="A37" s="5">
        <v>36</v>
      </c>
      <c r="B37" s="666"/>
      <c r="C37" s="186" t="s">
        <v>271</v>
      </c>
      <c r="D37" s="510" t="s">
        <v>412</v>
      </c>
      <c r="E37" s="511" t="s">
        <v>462</v>
      </c>
      <c r="F37" s="512" t="s">
        <v>444</v>
      </c>
      <c r="G37" s="513" t="s">
        <v>295</v>
      </c>
      <c r="H37" s="513" t="s">
        <v>415</v>
      </c>
      <c r="I37" s="239"/>
      <c r="J37" s="464" t="s">
        <v>108</v>
      </c>
      <c r="K37" s="134"/>
      <c r="L37" s="134"/>
      <c r="M37" s="433"/>
      <c r="N37" s="140"/>
      <c r="O37" s="140"/>
      <c r="P37" s="575"/>
      <c r="Q37" s="655"/>
      <c r="R37" s="104"/>
      <c r="S37" s="104"/>
      <c r="T37" s="469"/>
      <c r="U37" s="496"/>
      <c r="V37" s="496"/>
      <c r="W37" s="496"/>
      <c r="X37" s="496"/>
      <c r="Y37" s="496"/>
      <c r="Z37" s="134"/>
      <c r="AA37" s="583"/>
      <c r="AB37" s="134"/>
      <c r="AC37" s="134"/>
      <c r="AD37" s="134"/>
      <c r="AE37" s="134"/>
      <c r="AF37" s="134"/>
      <c r="AG37" s="120"/>
      <c r="AH37" s="329"/>
      <c r="AI37" s="120" t="s">
        <v>69</v>
      </c>
      <c r="AJ37" s="120" t="s">
        <v>69</v>
      </c>
      <c r="AK37" s="120" t="s">
        <v>69</v>
      </c>
      <c r="AL37" s="120" t="s">
        <v>69</v>
      </c>
      <c r="AM37" s="131" t="s">
        <v>416</v>
      </c>
    </row>
    <row r="38" spans="1:39" ht="18">
      <c r="A38" s="5">
        <v>37</v>
      </c>
      <c r="B38" s="666"/>
      <c r="C38" s="186" t="s">
        <v>522</v>
      </c>
      <c r="D38" s="510"/>
      <c r="E38" s="511"/>
      <c r="F38" s="512"/>
      <c r="G38" s="513"/>
      <c r="H38" s="513"/>
      <c r="I38" s="159"/>
      <c r="J38" s="329" t="s">
        <v>108</v>
      </c>
      <c r="K38" s="134"/>
      <c r="L38" s="134"/>
      <c r="M38" s="468"/>
      <c r="N38" s="140"/>
      <c r="O38" s="140"/>
      <c r="P38" s="148"/>
      <c r="Q38" s="239"/>
      <c r="R38" s="104"/>
      <c r="S38" s="200"/>
      <c r="T38" s="654"/>
      <c r="U38" s="134"/>
      <c r="V38" s="134"/>
      <c r="W38" s="239"/>
      <c r="X38" s="239"/>
      <c r="Y38" s="239"/>
      <c r="Z38" s="239"/>
      <c r="AA38" s="583"/>
      <c r="AB38" s="239"/>
      <c r="AC38" s="239"/>
      <c r="AD38" s="239"/>
      <c r="AE38" s="239"/>
      <c r="AF38" s="239"/>
      <c r="AG38" s="134"/>
      <c r="AH38" s="427"/>
      <c r="AI38" s="120" t="s">
        <v>69</v>
      </c>
      <c r="AJ38" s="120" t="s">
        <v>69</v>
      </c>
      <c r="AK38" s="120" t="s">
        <v>69</v>
      </c>
      <c r="AL38" s="120" t="s">
        <v>69</v>
      </c>
      <c r="AM38" s="120" t="s">
        <v>69</v>
      </c>
    </row>
    <row r="39" spans="1:39" ht="18">
      <c r="A39" s="5">
        <v>38</v>
      </c>
      <c r="B39" s="666"/>
      <c r="C39" s="186" t="s">
        <v>35</v>
      </c>
      <c r="D39" s="510" t="s">
        <v>412</v>
      </c>
      <c r="E39" s="511" t="s">
        <v>466</v>
      </c>
      <c r="F39" s="512" t="s">
        <v>463</v>
      </c>
      <c r="G39" s="513" t="s">
        <v>303</v>
      </c>
      <c r="H39" s="513" t="s">
        <v>415</v>
      </c>
      <c r="I39" s="239"/>
      <c r="J39" s="464" t="s">
        <v>108</v>
      </c>
      <c r="K39" s="134"/>
      <c r="L39" s="134"/>
      <c r="M39" s="468"/>
      <c r="N39" s="140"/>
      <c r="O39" s="140"/>
      <c r="P39" s="157"/>
      <c r="Q39" s="680"/>
      <c r="R39" s="104"/>
      <c r="S39" s="681"/>
      <c r="T39" s="469"/>
      <c r="U39" s="641"/>
      <c r="V39" s="641"/>
      <c r="W39" s="120"/>
      <c r="X39" s="120"/>
      <c r="Y39" s="120"/>
      <c r="Z39" s="120"/>
      <c r="AA39" s="583"/>
      <c r="AB39" s="120"/>
      <c r="AC39" s="120"/>
      <c r="AD39" s="120"/>
      <c r="AE39" s="120"/>
      <c r="AF39" s="120"/>
      <c r="AG39" s="131"/>
      <c r="AH39" s="329"/>
      <c r="AI39" s="120" t="s">
        <v>69</v>
      </c>
      <c r="AJ39" s="131" t="s">
        <v>416</v>
      </c>
      <c r="AK39" s="131" t="s">
        <v>416</v>
      </c>
      <c r="AL39" s="131" t="s">
        <v>416</v>
      </c>
      <c r="AM39" s="131"/>
    </row>
    <row r="40" spans="1:39" ht="18">
      <c r="A40" s="5">
        <v>39</v>
      </c>
      <c r="B40" s="666"/>
      <c r="C40" s="186" t="s">
        <v>118</v>
      </c>
      <c r="D40" s="510" t="s">
        <v>412</v>
      </c>
      <c r="E40" s="511" t="s">
        <v>418</v>
      </c>
      <c r="F40" s="512" t="s">
        <v>467</v>
      </c>
      <c r="G40" s="513" t="s">
        <v>296</v>
      </c>
      <c r="H40" s="513" t="s">
        <v>415</v>
      </c>
      <c r="I40" s="239"/>
      <c r="J40" s="464" t="s">
        <v>108</v>
      </c>
      <c r="K40" s="134"/>
      <c r="L40" s="134"/>
      <c r="M40" s="433"/>
      <c r="N40" s="140"/>
      <c r="O40" s="140"/>
      <c r="P40" s="120"/>
      <c r="Q40" s="680"/>
      <c r="R40" s="104"/>
      <c r="S40" s="680"/>
      <c r="T40" s="648"/>
      <c r="U40" s="104"/>
      <c r="V40" s="104"/>
      <c r="W40" s="120"/>
      <c r="X40" s="120"/>
      <c r="Y40" s="120"/>
      <c r="Z40" s="120"/>
      <c r="AA40" s="583"/>
      <c r="AB40" s="131"/>
      <c r="AC40" s="134"/>
      <c r="AD40" s="134"/>
      <c r="AE40" s="134"/>
      <c r="AF40" s="134"/>
      <c r="AG40" s="121"/>
      <c r="AH40" s="427"/>
      <c r="AI40" s="120" t="s">
        <v>69</v>
      </c>
      <c r="AJ40" s="120" t="s">
        <v>69</v>
      </c>
      <c r="AK40" s="120" t="s">
        <v>69</v>
      </c>
      <c r="AL40" s="120" t="s">
        <v>69</v>
      </c>
      <c r="AM40" s="120"/>
    </row>
    <row r="41" spans="1:39" ht="18">
      <c r="A41" s="5">
        <v>40</v>
      </c>
      <c r="B41" s="666"/>
      <c r="C41" s="186" t="s">
        <v>36</v>
      </c>
      <c r="D41" s="510" t="s">
        <v>412</v>
      </c>
      <c r="E41" s="511" t="s">
        <v>436</v>
      </c>
      <c r="F41" s="512" t="s">
        <v>459</v>
      </c>
      <c r="G41" s="513" t="s">
        <v>301</v>
      </c>
      <c r="H41" s="513" t="s">
        <v>415</v>
      </c>
      <c r="I41" s="239"/>
      <c r="J41" s="464" t="s">
        <v>108</v>
      </c>
      <c r="K41" s="134"/>
      <c r="L41" s="134"/>
      <c r="M41" s="433"/>
      <c r="N41" s="140"/>
      <c r="O41" s="140"/>
      <c r="P41" s="120"/>
      <c r="Q41" s="680"/>
      <c r="R41" s="104"/>
      <c r="S41" s="144"/>
      <c r="T41" s="469"/>
      <c r="U41" s="207"/>
      <c r="V41" s="207"/>
      <c r="W41" s="207"/>
      <c r="X41" s="207"/>
      <c r="Y41" s="207"/>
      <c r="Z41" s="207"/>
      <c r="AA41" s="583"/>
      <c r="AB41" s="672"/>
      <c r="AC41" s="672"/>
      <c r="AD41" s="672"/>
      <c r="AE41" s="672"/>
      <c r="AF41" s="134"/>
      <c r="AG41" s="672"/>
      <c r="AH41" s="329"/>
      <c r="AI41" s="672" t="s">
        <v>69</v>
      </c>
      <c r="AJ41" s="672" t="s">
        <v>69</v>
      </c>
      <c r="AK41" s="672" t="s">
        <v>69</v>
      </c>
      <c r="AL41" s="672" t="s">
        <v>69</v>
      </c>
      <c r="AM41" s="447"/>
    </row>
    <row r="42" spans="1:39" ht="18">
      <c r="A42" s="5">
        <v>41</v>
      </c>
      <c r="B42" s="666"/>
      <c r="C42" s="186" t="s">
        <v>143</v>
      </c>
      <c r="D42" s="510" t="s">
        <v>412</v>
      </c>
      <c r="E42" s="511" t="s">
        <v>413</v>
      </c>
      <c r="F42" s="512" t="s">
        <v>457</v>
      </c>
      <c r="G42" s="513" t="s">
        <v>300</v>
      </c>
      <c r="H42" s="513" t="s">
        <v>415</v>
      </c>
      <c r="I42" s="239"/>
      <c r="J42" s="329" t="s">
        <v>108</v>
      </c>
      <c r="K42" s="134"/>
      <c r="L42" s="134"/>
      <c r="M42" s="468"/>
      <c r="N42" s="140"/>
      <c r="O42" s="140"/>
      <c r="P42" s="120"/>
      <c r="Q42" s="680"/>
      <c r="R42" s="104"/>
      <c r="S42" s="680"/>
      <c r="T42" s="652"/>
      <c r="U42" s="682"/>
      <c r="V42" s="218"/>
      <c r="W42" s="144"/>
      <c r="X42" s="144"/>
      <c r="Y42" s="207"/>
      <c r="Z42" s="207"/>
      <c r="AA42" s="583"/>
      <c r="AB42" s="207"/>
      <c r="AC42" s="207"/>
      <c r="AD42" s="207"/>
      <c r="AE42" s="207"/>
      <c r="AF42" s="207"/>
      <c r="AG42" s="672"/>
      <c r="AH42" s="427"/>
      <c r="AI42" s="672" t="s">
        <v>69</v>
      </c>
      <c r="AJ42" s="168" t="s">
        <v>69</v>
      </c>
      <c r="AK42" s="672" t="s">
        <v>69</v>
      </c>
      <c r="AL42" s="672" t="s">
        <v>69</v>
      </c>
      <c r="AM42" s="120"/>
    </row>
    <row r="43" spans="1:39" ht="18">
      <c r="A43" s="5">
        <v>42</v>
      </c>
      <c r="B43" s="666"/>
      <c r="C43" s="254" t="s">
        <v>38</v>
      </c>
      <c r="D43" s="510" t="s">
        <v>412</v>
      </c>
      <c r="E43" s="511" t="s">
        <v>418</v>
      </c>
      <c r="F43" s="512" t="s">
        <v>468</v>
      </c>
      <c r="G43" s="513" t="s">
        <v>133</v>
      </c>
      <c r="H43" s="513" t="s">
        <v>415</v>
      </c>
      <c r="I43" s="239"/>
      <c r="J43" s="464" t="s">
        <v>108</v>
      </c>
      <c r="K43" s="134"/>
      <c r="L43" s="134"/>
      <c r="M43" s="468"/>
      <c r="N43" s="140"/>
      <c r="O43" s="140"/>
      <c r="P43" s="148"/>
      <c r="Q43" s="477"/>
      <c r="R43" s="104"/>
      <c r="S43" s="477"/>
      <c r="T43" s="329"/>
      <c r="U43" s="682"/>
      <c r="V43" s="682"/>
      <c r="W43" s="207"/>
      <c r="X43" s="207"/>
      <c r="Y43" s="207"/>
      <c r="Z43" s="207"/>
      <c r="AA43" s="583"/>
      <c r="AB43" s="207"/>
      <c r="AC43" s="134"/>
      <c r="AD43" s="134"/>
      <c r="AE43" s="134"/>
      <c r="AF43" s="134"/>
      <c r="AG43" s="134"/>
      <c r="AH43" s="329"/>
      <c r="AI43" s="134" t="s">
        <v>69</v>
      </c>
      <c r="AJ43" s="168" t="s">
        <v>69</v>
      </c>
      <c r="AK43" s="672" t="s">
        <v>69</v>
      </c>
      <c r="AL43" s="132" t="s">
        <v>514</v>
      </c>
      <c r="AM43" s="672"/>
    </row>
    <row r="44" spans="1:39" ht="18">
      <c r="A44" s="5">
        <v>43</v>
      </c>
      <c r="B44" s="666"/>
      <c r="C44" s="254" t="s">
        <v>39</v>
      </c>
      <c r="D44" s="510" t="s">
        <v>412</v>
      </c>
      <c r="E44" s="511" t="s">
        <v>424</v>
      </c>
      <c r="F44" s="512" t="s">
        <v>469</v>
      </c>
      <c r="G44" s="513" t="s">
        <v>285</v>
      </c>
      <c r="H44" s="513" t="s">
        <v>415</v>
      </c>
      <c r="I44" s="239"/>
      <c r="J44" s="464" t="s">
        <v>108</v>
      </c>
      <c r="K44" s="134"/>
      <c r="L44" s="134"/>
      <c r="M44" s="433"/>
      <c r="N44" s="140"/>
      <c r="O44" s="140"/>
      <c r="P44" s="120"/>
      <c r="Q44" s="680"/>
      <c r="R44" s="104"/>
      <c r="S44" s="680"/>
      <c r="T44" s="653"/>
      <c r="U44" s="682"/>
      <c r="V44" s="682"/>
      <c r="W44" s="682"/>
      <c r="X44" s="682"/>
      <c r="Y44" s="144"/>
      <c r="Z44" s="144"/>
      <c r="AA44" s="583"/>
      <c r="AB44" s="207"/>
      <c r="AC44" s="207"/>
      <c r="AD44" s="207"/>
      <c r="AE44" s="207"/>
      <c r="AF44" s="207"/>
      <c r="AG44" s="134"/>
      <c r="AH44" s="427"/>
      <c r="AI44" s="134" t="s">
        <v>69</v>
      </c>
      <c r="AJ44" s="404" t="s">
        <v>92</v>
      </c>
      <c r="AK44" s="672" t="s">
        <v>69</v>
      </c>
      <c r="AL44" s="672" t="s">
        <v>69</v>
      </c>
      <c r="AM44" s="672"/>
    </row>
    <row r="45" spans="1:39" ht="18">
      <c r="A45" s="5">
        <v>44</v>
      </c>
      <c r="B45" s="666"/>
      <c r="C45" s="254" t="s">
        <v>40</v>
      </c>
      <c r="D45" s="510" t="s">
        <v>412</v>
      </c>
      <c r="E45" s="511" t="s">
        <v>466</v>
      </c>
      <c r="F45" s="512" t="s">
        <v>452</v>
      </c>
      <c r="G45" s="513" t="s">
        <v>285</v>
      </c>
      <c r="H45" s="513" t="s">
        <v>415</v>
      </c>
      <c r="I45" s="239"/>
      <c r="J45" s="464" t="s">
        <v>108</v>
      </c>
      <c r="K45" s="134"/>
      <c r="L45" s="134"/>
      <c r="M45" s="433"/>
      <c r="N45" s="140"/>
      <c r="O45" s="140"/>
      <c r="P45" s="120"/>
      <c r="Q45" s="680"/>
      <c r="R45" s="104"/>
      <c r="S45" s="680"/>
      <c r="T45" s="469"/>
      <c r="U45" s="682"/>
      <c r="V45" s="682"/>
      <c r="W45" s="682"/>
      <c r="X45" s="682"/>
      <c r="Y45" s="682"/>
      <c r="Z45" s="682"/>
      <c r="AA45" s="583"/>
      <c r="AB45" s="134"/>
      <c r="AC45" s="134"/>
      <c r="AD45" s="134"/>
      <c r="AE45" s="134"/>
      <c r="AF45" s="134"/>
      <c r="AG45" s="120"/>
      <c r="AH45" s="329"/>
      <c r="AI45" s="120" t="s">
        <v>69</v>
      </c>
      <c r="AJ45" s="120" t="s">
        <v>69</v>
      </c>
      <c r="AK45" s="120" t="s">
        <v>69</v>
      </c>
      <c r="AL45" s="120" t="s">
        <v>69</v>
      </c>
      <c r="AM45" s="120"/>
    </row>
    <row r="46" spans="1:39" ht="18">
      <c r="A46" s="5">
        <v>45</v>
      </c>
      <c r="B46" s="667"/>
      <c r="C46" s="359" t="s">
        <v>227</v>
      </c>
      <c r="D46" s="510" t="s">
        <v>412</v>
      </c>
      <c r="E46" s="511" t="s">
        <v>462</v>
      </c>
      <c r="F46" s="512" t="s">
        <v>464</v>
      </c>
      <c r="G46" s="513" t="s">
        <v>293</v>
      </c>
      <c r="H46" s="513" t="s">
        <v>415</v>
      </c>
      <c r="I46" s="153"/>
      <c r="J46" s="329" t="s">
        <v>108</v>
      </c>
      <c r="K46" s="121"/>
      <c r="L46" s="121"/>
      <c r="M46" s="468"/>
      <c r="N46" s="636"/>
      <c r="O46" s="140"/>
      <c r="P46" s="157"/>
      <c r="Q46" s="680"/>
      <c r="R46" s="104"/>
      <c r="S46" s="680"/>
      <c r="T46" s="648"/>
      <c r="U46" s="651"/>
      <c r="V46" s="661"/>
      <c r="W46" s="682"/>
      <c r="X46" s="682"/>
      <c r="Y46" s="682"/>
      <c r="Z46" s="682"/>
      <c r="AA46" s="583"/>
      <c r="AB46" s="134"/>
      <c r="AC46" s="134"/>
      <c r="AD46" s="134"/>
      <c r="AE46" s="134"/>
      <c r="AF46" s="134"/>
      <c r="AG46" s="120"/>
      <c r="AH46" s="427"/>
      <c r="AI46" s="120" t="s">
        <v>69</v>
      </c>
      <c r="AJ46" s="120" t="s">
        <v>69</v>
      </c>
      <c r="AK46" s="120" t="s">
        <v>69</v>
      </c>
      <c r="AL46" s="120" t="s">
        <v>69</v>
      </c>
      <c r="AM46" s="120"/>
    </row>
    <row r="47" spans="1:39" ht="18">
      <c r="A47" s="5">
        <v>46</v>
      </c>
      <c r="B47" s="666"/>
      <c r="C47" s="186" t="s">
        <v>41</v>
      </c>
      <c r="D47" s="510" t="s">
        <v>412</v>
      </c>
      <c r="E47" s="511" t="s">
        <v>462</v>
      </c>
      <c r="F47" s="512" t="s">
        <v>457</v>
      </c>
      <c r="G47" s="513" t="s">
        <v>300</v>
      </c>
      <c r="H47" s="513" t="s">
        <v>415</v>
      </c>
      <c r="I47" s="153"/>
      <c r="J47" s="464" t="s">
        <v>108</v>
      </c>
      <c r="K47" s="121"/>
      <c r="L47" s="121"/>
      <c r="M47" s="468"/>
      <c r="N47" s="140"/>
      <c r="O47" s="140"/>
      <c r="P47" s="120"/>
      <c r="Q47" s="680"/>
      <c r="R47" s="104"/>
      <c r="S47" s="680"/>
      <c r="T47" s="469"/>
      <c r="U47" s="171"/>
      <c r="V47" s="171"/>
      <c r="W47" s="171"/>
      <c r="X47" s="171"/>
      <c r="Y47" s="171"/>
      <c r="Z47" s="171"/>
      <c r="AA47" s="583"/>
      <c r="AB47" s="672"/>
      <c r="AC47" s="672"/>
      <c r="AD47" s="672"/>
      <c r="AE47" s="672"/>
      <c r="AF47" s="672"/>
      <c r="AG47" s="131"/>
      <c r="AH47" s="329"/>
      <c r="AI47" s="447" t="s">
        <v>514</v>
      </c>
      <c r="AJ47" s="120" t="s">
        <v>69</v>
      </c>
      <c r="AK47" s="120" t="s">
        <v>69</v>
      </c>
      <c r="AL47" s="120" t="s">
        <v>69</v>
      </c>
      <c r="AM47" s="120"/>
    </row>
    <row r="48" spans="1:39" ht="18">
      <c r="A48" s="5">
        <v>47</v>
      </c>
      <c r="B48" s="666"/>
      <c r="C48" s="186" t="s">
        <v>403</v>
      </c>
      <c r="D48" s="510" t="s">
        <v>412</v>
      </c>
      <c r="E48" s="536" t="s">
        <v>424</v>
      </c>
      <c r="F48" s="531" t="s">
        <v>414</v>
      </c>
      <c r="G48" s="513" t="s">
        <v>284</v>
      </c>
      <c r="H48" s="513" t="s">
        <v>415</v>
      </c>
      <c r="I48" s="159"/>
      <c r="J48" s="464" t="s">
        <v>108</v>
      </c>
      <c r="K48" s="121"/>
      <c r="L48" s="120"/>
      <c r="M48" s="433"/>
      <c r="N48" s="636"/>
      <c r="O48" s="140"/>
      <c r="P48" s="157"/>
      <c r="Q48" s="680"/>
      <c r="R48" s="104"/>
      <c r="S48" s="680"/>
      <c r="T48" s="648"/>
      <c r="U48" s="141"/>
      <c r="V48" s="141"/>
      <c r="W48" s="141"/>
      <c r="X48" s="141"/>
      <c r="Y48" s="141"/>
      <c r="Z48" s="141"/>
      <c r="AA48" s="583"/>
      <c r="AB48" s="230"/>
      <c r="AC48" s="230"/>
      <c r="AD48" s="121"/>
      <c r="AE48" s="121"/>
      <c r="AF48" s="134"/>
      <c r="AG48" s="134"/>
      <c r="AH48" s="427"/>
      <c r="AI48" s="134" t="s">
        <v>69</v>
      </c>
      <c r="AJ48" s="404" t="s">
        <v>92</v>
      </c>
      <c r="AK48" s="132" t="s">
        <v>524</v>
      </c>
      <c r="AL48" s="168" t="s">
        <v>69</v>
      </c>
      <c r="AM48" s="120" t="s">
        <v>69</v>
      </c>
    </row>
    <row r="49" spans="1:39" ht="18">
      <c r="A49" s="5">
        <v>48</v>
      </c>
      <c r="B49" s="666"/>
      <c r="C49" s="186" t="s">
        <v>228</v>
      </c>
      <c r="D49" s="510" t="s">
        <v>412</v>
      </c>
      <c r="E49" s="511" t="s">
        <v>418</v>
      </c>
      <c r="F49" s="512" t="s">
        <v>472</v>
      </c>
      <c r="G49" s="513" t="s">
        <v>292</v>
      </c>
      <c r="H49" s="513" t="s">
        <v>415</v>
      </c>
      <c r="I49" s="159"/>
      <c r="J49" s="464" t="s">
        <v>108</v>
      </c>
      <c r="K49" s="134"/>
      <c r="L49" s="134"/>
      <c r="M49" s="433"/>
      <c r="N49" s="169"/>
      <c r="O49" s="636"/>
      <c r="P49" s="447"/>
      <c r="Q49" s="680"/>
      <c r="R49" s="104"/>
      <c r="S49" s="680"/>
      <c r="T49" s="469"/>
      <c r="U49" s="141"/>
      <c r="V49" s="141"/>
      <c r="W49" s="121"/>
      <c r="X49" s="141"/>
      <c r="Y49" s="141"/>
      <c r="Z49" s="121"/>
      <c r="AA49" s="583"/>
      <c r="AB49" s="134"/>
      <c r="AC49" s="134"/>
      <c r="AD49" s="134"/>
      <c r="AE49" s="134"/>
      <c r="AF49" s="134"/>
      <c r="AG49" s="134"/>
      <c r="AH49" s="329"/>
      <c r="AI49" s="168" t="s">
        <v>69</v>
      </c>
      <c r="AJ49" s="168" t="s">
        <v>69</v>
      </c>
      <c r="AK49" s="131" t="s">
        <v>416</v>
      </c>
      <c r="AL49" s="131" t="s">
        <v>416</v>
      </c>
      <c r="AM49" s="120" t="s">
        <v>69</v>
      </c>
    </row>
    <row r="50" spans="1:39" ht="18">
      <c r="A50" s="5">
        <v>49</v>
      </c>
      <c r="B50" s="666"/>
      <c r="C50" s="254" t="s">
        <v>42</v>
      </c>
      <c r="D50" s="510" t="s">
        <v>412</v>
      </c>
      <c r="E50" s="536" t="s">
        <v>473</v>
      </c>
      <c r="F50" s="531" t="s">
        <v>446</v>
      </c>
      <c r="G50" s="513" t="s">
        <v>291</v>
      </c>
      <c r="H50" s="513" t="s">
        <v>415</v>
      </c>
      <c r="I50" s="239"/>
      <c r="J50" s="329" t="s">
        <v>108</v>
      </c>
      <c r="K50" s="134"/>
      <c r="L50" s="120"/>
      <c r="M50" s="468"/>
      <c r="N50" s="152"/>
      <c r="O50" s="637"/>
      <c r="P50" s="681"/>
      <c r="Q50" s="680"/>
      <c r="R50" s="104"/>
      <c r="S50" s="207"/>
      <c r="T50" s="648"/>
      <c r="U50" s="171"/>
      <c r="V50" s="171"/>
      <c r="W50" s="171"/>
      <c r="X50" s="171"/>
      <c r="Y50" s="171"/>
      <c r="Z50" s="171"/>
      <c r="AA50" s="583"/>
      <c r="AB50" s="340"/>
      <c r="AC50" s="340"/>
      <c r="AD50" s="340"/>
      <c r="AE50" s="340"/>
      <c r="AF50" s="340"/>
      <c r="AG50" s="134"/>
      <c r="AH50" s="427"/>
      <c r="AI50" s="131" t="s">
        <v>416</v>
      </c>
      <c r="AJ50" s="168" t="s">
        <v>69</v>
      </c>
      <c r="AK50" s="120" t="s">
        <v>69</v>
      </c>
      <c r="AL50" s="120" t="s">
        <v>69</v>
      </c>
      <c r="AM50" s="120" t="s">
        <v>69</v>
      </c>
    </row>
    <row r="51" spans="1:39" ht="18">
      <c r="A51" s="5">
        <v>50</v>
      </c>
      <c r="B51" s="666"/>
      <c r="C51" s="254" t="s">
        <v>257</v>
      </c>
      <c r="D51" s="510" t="s">
        <v>412</v>
      </c>
      <c r="E51" s="511" t="s">
        <v>413</v>
      </c>
      <c r="F51" s="512" t="s">
        <v>474</v>
      </c>
      <c r="G51" s="513" t="s">
        <v>284</v>
      </c>
      <c r="H51" s="513" t="s">
        <v>415</v>
      </c>
      <c r="I51" s="159"/>
      <c r="J51" s="464" t="s">
        <v>108</v>
      </c>
      <c r="K51" s="134"/>
      <c r="L51" s="672"/>
      <c r="M51" s="468"/>
      <c r="N51" s="152"/>
      <c r="O51" s="63"/>
      <c r="P51" s="481"/>
      <c r="Q51" s="481"/>
      <c r="R51" s="104"/>
      <c r="S51" s="581"/>
      <c r="T51" s="469"/>
      <c r="U51" s="141"/>
      <c r="V51" s="141"/>
      <c r="W51" s="141"/>
      <c r="X51" s="141"/>
      <c r="Y51" s="141"/>
      <c r="Z51" s="141"/>
      <c r="AA51" s="583"/>
      <c r="AB51" s="214"/>
      <c r="AC51" s="672"/>
      <c r="AD51" s="672"/>
      <c r="AE51" s="672"/>
      <c r="AF51" s="672"/>
      <c r="AG51" s="120"/>
      <c r="AH51" s="329"/>
      <c r="AI51" s="120" t="s">
        <v>69</v>
      </c>
      <c r="AJ51" s="168" t="s">
        <v>69</v>
      </c>
      <c r="AK51" s="120" t="s">
        <v>69</v>
      </c>
      <c r="AL51" s="120" t="s">
        <v>69</v>
      </c>
      <c r="AM51" s="120" t="s">
        <v>69</v>
      </c>
    </row>
    <row r="52" spans="1:39" ht="18">
      <c r="A52" s="5">
        <v>51</v>
      </c>
      <c r="B52" s="666"/>
      <c r="C52" s="483" t="s">
        <v>508</v>
      </c>
      <c r="D52" s="510" t="s">
        <v>412</v>
      </c>
      <c r="E52" s="536" t="s">
        <v>475</v>
      </c>
      <c r="F52" s="531" t="s">
        <v>464</v>
      </c>
      <c r="G52" s="513" t="s">
        <v>293</v>
      </c>
      <c r="H52" s="513" t="s">
        <v>415</v>
      </c>
      <c r="I52" s="674"/>
      <c r="J52" s="464" t="s">
        <v>108</v>
      </c>
      <c r="K52" s="134"/>
      <c r="L52" s="134"/>
      <c r="M52" s="433"/>
      <c r="N52" s="152"/>
      <c r="O52" s="205"/>
      <c r="P52" s="288"/>
      <c r="Q52" s="680"/>
      <c r="R52" s="104"/>
      <c r="S52" s="480"/>
      <c r="T52" s="648"/>
      <c r="U52" s="141"/>
      <c r="V52" s="141"/>
      <c r="W52" s="141"/>
      <c r="X52" s="141"/>
      <c r="Y52" s="141"/>
      <c r="Z52" s="141"/>
      <c r="AA52" s="583"/>
      <c r="AB52" s="340"/>
      <c r="AC52" s="340"/>
      <c r="AD52" s="340"/>
      <c r="AE52" s="340"/>
      <c r="AF52" s="340"/>
      <c r="AG52" s="447"/>
      <c r="AH52" s="427"/>
      <c r="AI52" s="120" t="s">
        <v>69</v>
      </c>
      <c r="AJ52" s="168" t="s">
        <v>69</v>
      </c>
      <c r="AK52" s="120" t="s">
        <v>69</v>
      </c>
      <c r="AL52" s="120" t="s">
        <v>69</v>
      </c>
      <c r="AM52" s="120" t="s">
        <v>69</v>
      </c>
    </row>
    <row r="53" spans="1:39" ht="18">
      <c r="A53" s="5">
        <v>52</v>
      </c>
      <c r="B53" s="666" t="s">
        <v>525</v>
      </c>
      <c r="C53" s="483" t="s">
        <v>526</v>
      </c>
      <c r="D53" s="510" t="s">
        <v>412</v>
      </c>
      <c r="E53" s="536" t="s">
        <v>424</v>
      </c>
      <c r="F53" s="531" t="s">
        <v>527</v>
      </c>
      <c r="G53" s="513" t="s">
        <v>289</v>
      </c>
      <c r="H53" s="513"/>
      <c r="I53" s="153"/>
      <c r="J53" s="464" t="s">
        <v>108</v>
      </c>
      <c r="K53" s="153"/>
      <c r="L53" s="153"/>
      <c r="M53" s="468"/>
      <c r="N53" s="140"/>
      <c r="O53" s="140"/>
      <c r="P53" s="120"/>
      <c r="Q53" s="680"/>
      <c r="R53" s="104"/>
      <c r="S53" s="480"/>
      <c r="T53" s="469"/>
      <c r="U53" s="141"/>
      <c r="V53" s="141"/>
      <c r="W53" s="141"/>
      <c r="X53" s="141"/>
      <c r="Y53" s="141"/>
      <c r="Z53" s="141"/>
      <c r="AA53" s="583"/>
      <c r="AB53" s="340"/>
      <c r="AC53" s="340"/>
      <c r="AD53" s="340"/>
      <c r="AE53" s="340"/>
      <c r="AF53" s="340"/>
      <c r="AG53" s="120"/>
      <c r="AH53" s="329"/>
      <c r="AI53" s="120" t="s">
        <v>69</v>
      </c>
      <c r="AJ53" s="168" t="s">
        <v>69</v>
      </c>
      <c r="AK53" s="120" t="s">
        <v>69</v>
      </c>
      <c r="AL53" s="120" t="s">
        <v>69</v>
      </c>
      <c r="AM53" s="120" t="s">
        <v>69</v>
      </c>
    </row>
    <row r="54" spans="1:39" ht="18">
      <c r="A54" s="5">
        <v>53</v>
      </c>
      <c r="B54" s="666"/>
      <c r="C54" s="186" t="s">
        <v>161</v>
      </c>
      <c r="D54" s="510" t="s">
        <v>412</v>
      </c>
      <c r="E54" s="511" t="s">
        <v>462</v>
      </c>
      <c r="F54" s="512" t="s">
        <v>476</v>
      </c>
      <c r="G54" s="513" t="s">
        <v>291</v>
      </c>
      <c r="H54" s="513" t="s">
        <v>415</v>
      </c>
      <c r="I54" s="674"/>
      <c r="J54" s="329" t="s">
        <v>108</v>
      </c>
      <c r="K54" s="672"/>
      <c r="L54" s="134"/>
      <c r="M54" s="433"/>
      <c r="N54" s="140"/>
      <c r="O54" s="9"/>
      <c r="P54" s="681"/>
      <c r="Q54" s="680"/>
      <c r="R54" s="104"/>
      <c r="S54" s="659"/>
      <c r="T54" s="648"/>
      <c r="U54" s="141"/>
      <c r="V54" s="141"/>
      <c r="W54" s="141"/>
      <c r="X54" s="141"/>
      <c r="Y54" s="141"/>
      <c r="Z54" s="141"/>
      <c r="AA54" s="583"/>
      <c r="AB54" s="134"/>
      <c r="AC54" s="134"/>
      <c r="AD54" s="134"/>
      <c r="AE54" s="134"/>
      <c r="AF54" s="121"/>
      <c r="AG54" s="120"/>
      <c r="AH54" s="427"/>
      <c r="AI54" s="120" t="s">
        <v>69</v>
      </c>
      <c r="AJ54" s="120" t="s">
        <v>69</v>
      </c>
      <c r="AK54" s="447" t="s">
        <v>514</v>
      </c>
      <c r="AL54" s="168" t="s">
        <v>69</v>
      </c>
      <c r="AM54" s="168" t="s">
        <v>69</v>
      </c>
    </row>
    <row r="55" spans="1:39" ht="18">
      <c r="A55" s="5">
        <v>54</v>
      </c>
      <c r="B55" s="666" t="s">
        <v>528</v>
      </c>
      <c r="C55" s="186" t="s">
        <v>529</v>
      </c>
      <c r="D55" s="510" t="s">
        <v>412</v>
      </c>
      <c r="E55" s="511" t="s">
        <v>424</v>
      </c>
      <c r="F55" s="512" t="s">
        <v>530</v>
      </c>
      <c r="G55" s="513" t="s">
        <v>306</v>
      </c>
      <c r="H55" s="513"/>
      <c r="I55" s="153"/>
      <c r="J55" s="464" t="s">
        <v>108</v>
      </c>
      <c r="K55" s="153"/>
      <c r="L55" s="153"/>
      <c r="M55" s="468"/>
      <c r="N55" s="152"/>
      <c r="O55" s="152"/>
      <c r="P55" s="152"/>
      <c r="Q55" s="152"/>
      <c r="R55" s="104"/>
      <c r="S55" s="131"/>
      <c r="T55" s="648"/>
      <c r="U55" s="218"/>
      <c r="V55" s="218"/>
      <c r="W55" s="141"/>
      <c r="X55" s="340"/>
      <c r="Y55" s="340"/>
      <c r="Z55" s="340"/>
      <c r="AA55" s="583"/>
      <c r="AB55" s="207"/>
      <c r="AC55" s="672"/>
      <c r="AD55" s="134"/>
      <c r="AE55" s="134"/>
      <c r="AF55" s="134"/>
      <c r="AG55" s="134"/>
      <c r="AH55" s="329"/>
      <c r="AI55" s="120" t="s">
        <v>69</v>
      </c>
      <c r="AJ55" s="120" t="s">
        <v>69</v>
      </c>
      <c r="AK55" s="131" t="s">
        <v>416</v>
      </c>
      <c r="AL55" s="168" t="s">
        <v>69</v>
      </c>
      <c r="AM55" s="168" t="s">
        <v>69</v>
      </c>
    </row>
    <row r="56" spans="1:39" ht="18">
      <c r="A56" s="5">
        <v>55</v>
      </c>
      <c r="B56" s="666"/>
      <c r="C56" s="254" t="s">
        <v>49</v>
      </c>
      <c r="D56" s="510" t="s">
        <v>412</v>
      </c>
      <c r="E56" s="511" t="s">
        <v>443</v>
      </c>
      <c r="F56" s="512" t="s">
        <v>446</v>
      </c>
      <c r="G56" s="513" t="s">
        <v>291</v>
      </c>
      <c r="H56" s="513" t="s">
        <v>415</v>
      </c>
      <c r="I56" s="674"/>
      <c r="J56" s="464" t="s">
        <v>108</v>
      </c>
      <c r="K56" s="672"/>
      <c r="L56" s="68"/>
      <c r="M56" s="468"/>
      <c r="N56" s="140"/>
      <c r="O56" s="9"/>
      <c r="P56" s="680"/>
      <c r="Q56" s="680"/>
      <c r="R56" s="104"/>
      <c r="S56" s="660"/>
      <c r="T56" s="469"/>
      <c r="U56" s="141"/>
      <c r="V56" s="141"/>
      <c r="W56" s="141"/>
      <c r="X56" s="141"/>
      <c r="Y56" s="141"/>
      <c r="Z56" s="218"/>
      <c r="AA56" s="583"/>
      <c r="AB56" s="141"/>
      <c r="AC56" s="141"/>
      <c r="AD56" s="141"/>
      <c r="AE56" s="141"/>
      <c r="AF56" s="141"/>
      <c r="AG56" s="134"/>
      <c r="AH56" s="329"/>
      <c r="AI56" s="134" t="s">
        <v>69</v>
      </c>
      <c r="AJ56" s="134" t="s">
        <v>69</v>
      </c>
      <c r="AK56" s="134" t="s">
        <v>69</v>
      </c>
      <c r="AL56" s="134" t="s">
        <v>69</v>
      </c>
      <c r="AM56" s="134" t="s">
        <v>69</v>
      </c>
    </row>
    <row r="57" spans="1:39" ht="18">
      <c r="A57" s="5">
        <v>56</v>
      </c>
      <c r="B57" s="666"/>
      <c r="C57" s="254" t="s">
        <v>203</v>
      </c>
      <c r="D57" s="510" t="s">
        <v>412</v>
      </c>
      <c r="E57" s="511" t="s">
        <v>462</v>
      </c>
      <c r="F57" s="512" t="s">
        <v>421</v>
      </c>
      <c r="G57" s="513" t="s">
        <v>286</v>
      </c>
      <c r="H57" s="513" t="s">
        <v>415</v>
      </c>
      <c r="I57" s="674" t="s">
        <v>69</v>
      </c>
      <c r="J57" s="464" t="s">
        <v>108</v>
      </c>
      <c r="K57" s="672"/>
      <c r="L57" s="65"/>
      <c r="M57" s="468"/>
      <c r="N57" s="140"/>
      <c r="O57" s="205"/>
      <c r="P57" s="680"/>
      <c r="Q57" s="680"/>
      <c r="R57" s="104"/>
      <c r="S57" s="480"/>
      <c r="T57" s="648"/>
      <c r="U57" s="158"/>
      <c r="V57" s="158"/>
      <c r="W57" s="158"/>
      <c r="X57" s="662"/>
      <c r="Y57" s="158"/>
      <c r="Z57" s="158"/>
      <c r="AA57" s="583"/>
      <c r="AB57" s="141"/>
      <c r="AC57" s="141"/>
      <c r="AD57" s="141"/>
      <c r="AE57" s="141"/>
      <c r="AF57" s="121"/>
      <c r="AG57" s="132"/>
      <c r="AH57" s="427"/>
      <c r="AI57" s="134" t="s">
        <v>69</v>
      </c>
      <c r="AJ57" s="134" t="s">
        <v>69</v>
      </c>
      <c r="AK57" s="134" t="s">
        <v>69</v>
      </c>
      <c r="AL57" s="134" t="s">
        <v>69</v>
      </c>
      <c r="AM57" s="131" t="s">
        <v>416</v>
      </c>
    </row>
    <row r="58" spans="1:39" ht="18">
      <c r="A58" s="5">
        <v>57</v>
      </c>
      <c r="B58" s="666"/>
      <c r="C58" s="254" t="s">
        <v>185</v>
      </c>
      <c r="D58" s="510" t="s">
        <v>412</v>
      </c>
      <c r="E58" s="536" t="s">
        <v>462</v>
      </c>
      <c r="F58" s="531" t="s">
        <v>477</v>
      </c>
      <c r="G58" s="513" t="s">
        <v>296</v>
      </c>
      <c r="H58" s="513" t="s">
        <v>415</v>
      </c>
      <c r="I58" s="159" t="s">
        <v>267</v>
      </c>
      <c r="J58" s="329" t="s">
        <v>108</v>
      </c>
      <c r="K58" s="672"/>
      <c r="L58" s="65"/>
      <c r="M58" s="433"/>
      <c r="N58" s="140"/>
      <c r="O58" s="104"/>
      <c r="P58" s="680"/>
      <c r="Q58" s="680"/>
      <c r="R58" s="104"/>
      <c r="S58" s="480"/>
      <c r="T58" s="469"/>
      <c r="U58" s="649"/>
      <c r="V58" s="649"/>
      <c r="W58" s="649"/>
      <c r="X58" s="141"/>
      <c r="Y58" s="141"/>
      <c r="Z58" s="141"/>
      <c r="AA58" s="583"/>
      <c r="AB58" s="120"/>
      <c r="AC58" s="120"/>
      <c r="AD58" s="120"/>
      <c r="AE58" s="120"/>
      <c r="AF58" s="120"/>
      <c r="AG58" s="134"/>
      <c r="AH58" s="329"/>
      <c r="AI58" s="121" t="s">
        <v>416</v>
      </c>
      <c r="AJ58" s="134" t="s">
        <v>69</v>
      </c>
      <c r="AK58" s="134" t="s">
        <v>69</v>
      </c>
      <c r="AL58" s="134" t="s">
        <v>69</v>
      </c>
      <c r="AM58" s="134" t="s">
        <v>69</v>
      </c>
    </row>
    <row r="59" spans="1:39" ht="18">
      <c r="A59" s="5">
        <v>58</v>
      </c>
      <c r="B59" s="666"/>
      <c r="C59" s="254" t="s">
        <v>244</v>
      </c>
      <c r="D59" s="510" t="s">
        <v>412</v>
      </c>
      <c r="E59" s="511" t="s">
        <v>418</v>
      </c>
      <c r="F59" s="512" t="s">
        <v>478</v>
      </c>
      <c r="G59" s="513" t="s">
        <v>284</v>
      </c>
      <c r="H59" s="513" t="s">
        <v>415</v>
      </c>
      <c r="I59" s="674" t="s">
        <v>69</v>
      </c>
      <c r="J59" s="464" t="s">
        <v>108</v>
      </c>
      <c r="K59" s="672"/>
      <c r="L59" s="585"/>
      <c r="M59" s="433"/>
      <c r="N59" s="140"/>
      <c r="O59" s="242"/>
      <c r="P59" s="638"/>
      <c r="Q59" s="573"/>
      <c r="R59" s="104"/>
      <c r="S59" s="650"/>
      <c r="T59" s="648"/>
      <c r="U59" s="120"/>
      <c r="V59" s="120"/>
      <c r="W59" s="120"/>
      <c r="X59" s="120"/>
      <c r="Y59" s="120"/>
      <c r="Z59" s="120"/>
      <c r="AA59" s="583"/>
      <c r="AB59" s="141"/>
      <c r="AC59" s="141"/>
      <c r="AD59" s="141"/>
      <c r="AE59" s="576"/>
      <c r="AF59" s="141"/>
      <c r="AG59" s="121"/>
      <c r="AH59" s="427"/>
      <c r="AI59" s="132" t="s">
        <v>514</v>
      </c>
      <c r="AJ59" s="168" t="s">
        <v>69</v>
      </c>
      <c r="AK59" s="147" t="s">
        <v>92</v>
      </c>
      <c r="AL59" s="134" t="s">
        <v>69</v>
      </c>
      <c r="AM59" s="134" t="s">
        <v>69</v>
      </c>
    </row>
    <row r="60" spans="1:39" ht="18">
      <c r="A60" s="5">
        <v>59</v>
      </c>
      <c r="B60" s="666"/>
      <c r="C60" s="254" t="s">
        <v>50</v>
      </c>
      <c r="D60" s="510" t="s">
        <v>412</v>
      </c>
      <c r="E60" s="511" t="s">
        <v>462</v>
      </c>
      <c r="F60" s="512" t="s">
        <v>474</v>
      </c>
      <c r="G60" s="513" t="s">
        <v>284</v>
      </c>
      <c r="H60" s="513" t="s">
        <v>415</v>
      </c>
      <c r="I60" s="153" t="s">
        <v>416</v>
      </c>
      <c r="J60" s="464" t="s">
        <v>108</v>
      </c>
      <c r="K60" s="672"/>
      <c r="L60" s="683"/>
      <c r="M60" s="468"/>
      <c r="N60" s="674"/>
      <c r="O60" s="229"/>
      <c r="P60" s="672"/>
      <c r="Q60" s="684"/>
      <c r="R60" s="104"/>
      <c r="S60" s="480"/>
      <c r="T60" s="469"/>
      <c r="U60" s="685"/>
      <c r="V60" s="685"/>
      <c r="W60" s="685"/>
      <c r="X60" s="685"/>
      <c r="Y60" s="685"/>
      <c r="Z60" s="685"/>
      <c r="AA60" s="583"/>
      <c r="AB60" s="672"/>
      <c r="AC60" s="672"/>
      <c r="AD60" s="672"/>
      <c r="AE60" s="672"/>
      <c r="AF60" s="672"/>
      <c r="AG60" s="134"/>
      <c r="AH60" s="329"/>
      <c r="AI60" s="121" t="s">
        <v>416</v>
      </c>
      <c r="AJ60" s="132" t="s">
        <v>514</v>
      </c>
      <c r="AK60" s="134" t="s">
        <v>69</v>
      </c>
      <c r="AL60" s="134" t="s">
        <v>69</v>
      </c>
      <c r="AM60" s="134" t="s">
        <v>69</v>
      </c>
    </row>
    <row r="61" spans="1:39" ht="18">
      <c r="A61" s="5">
        <v>60</v>
      </c>
      <c r="B61" s="667"/>
      <c r="C61" s="359" t="s">
        <v>186</v>
      </c>
      <c r="D61" s="510" t="s">
        <v>412</v>
      </c>
      <c r="E61" s="511" t="s">
        <v>462</v>
      </c>
      <c r="F61" s="512" t="s">
        <v>446</v>
      </c>
      <c r="G61" s="513" t="s">
        <v>291</v>
      </c>
      <c r="H61" s="513" t="s">
        <v>415</v>
      </c>
      <c r="I61" s="674" t="s">
        <v>69</v>
      </c>
      <c r="J61" s="464" t="s">
        <v>108</v>
      </c>
      <c r="K61" s="686"/>
      <c r="L61" s="686"/>
      <c r="M61" s="468"/>
      <c r="N61" s="140"/>
      <c r="O61" s="120"/>
      <c r="P61" s="639"/>
      <c r="Q61" s="580"/>
      <c r="R61" s="104"/>
      <c r="S61" s="480"/>
      <c r="T61" s="648"/>
      <c r="U61" s="685"/>
      <c r="V61" s="685"/>
      <c r="W61" s="685"/>
      <c r="X61" s="685"/>
      <c r="Y61" s="685"/>
      <c r="Z61" s="685"/>
      <c r="AA61" s="583"/>
      <c r="AB61" s="672"/>
      <c r="AC61" s="672"/>
      <c r="AD61" s="672"/>
      <c r="AE61" s="672"/>
      <c r="AF61" s="134"/>
      <c r="AG61" s="134"/>
      <c r="AH61" s="427"/>
      <c r="AI61" s="134" t="s">
        <v>69</v>
      </c>
      <c r="AJ61" s="134" t="s">
        <v>69</v>
      </c>
      <c r="AK61" s="134" t="s">
        <v>69</v>
      </c>
      <c r="AL61" s="134" t="s">
        <v>69</v>
      </c>
      <c r="AM61" s="134" t="s">
        <v>69</v>
      </c>
    </row>
    <row r="62" spans="1:39" ht="18">
      <c r="A62" s="5">
        <v>61</v>
      </c>
      <c r="B62" s="667"/>
      <c r="C62" s="359" t="s">
        <v>232</v>
      </c>
      <c r="D62" s="510" t="s">
        <v>412</v>
      </c>
      <c r="E62" s="511" t="s">
        <v>413</v>
      </c>
      <c r="F62" s="512" t="s">
        <v>459</v>
      </c>
      <c r="G62" s="513" t="s">
        <v>301</v>
      </c>
      <c r="H62" s="513" t="s">
        <v>415</v>
      </c>
      <c r="I62" s="674" t="s">
        <v>69</v>
      </c>
      <c r="J62" s="329" t="s">
        <v>108</v>
      </c>
      <c r="K62" s="672"/>
      <c r="L62" s="207"/>
      <c r="M62" s="433"/>
      <c r="N62" s="140"/>
      <c r="O62" s="108"/>
      <c r="P62" s="640"/>
      <c r="Q62" s="104"/>
      <c r="R62" s="104"/>
      <c r="S62" s="581"/>
      <c r="T62" s="469"/>
      <c r="U62" s="480"/>
      <c r="V62" s="685"/>
      <c r="W62" s="685"/>
      <c r="X62" s="685"/>
      <c r="Y62" s="685"/>
      <c r="Z62" s="685"/>
      <c r="AA62" s="583"/>
      <c r="AB62" s="134"/>
      <c r="AC62" s="134"/>
      <c r="AD62" s="134"/>
      <c r="AE62" s="134"/>
      <c r="AF62" s="134"/>
      <c r="AG62" s="134"/>
      <c r="AH62" s="329"/>
      <c r="AI62" s="134" t="s">
        <v>69</v>
      </c>
      <c r="AJ62" s="120" t="s">
        <v>69</v>
      </c>
      <c r="AK62" s="134" t="s">
        <v>69</v>
      </c>
      <c r="AL62" s="134" t="s">
        <v>69</v>
      </c>
      <c r="AM62" s="134" t="s">
        <v>69</v>
      </c>
    </row>
    <row r="63" spans="1:39" ht="18">
      <c r="A63" s="5">
        <v>62</v>
      </c>
      <c r="B63" s="666"/>
      <c r="C63" s="254" t="s">
        <v>52</v>
      </c>
      <c r="D63" s="510" t="s">
        <v>412</v>
      </c>
      <c r="E63" s="511" t="s">
        <v>443</v>
      </c>
      <c r="F63" s="512" t="s">
        <v>428</v>
      </c>
      <c r="G63" s="513" t="s">
        <v>133</v>
      </c>
      <c r="H63" s="513" t="s">
        <v>415</v>
      </c>
      <c r="I63" s="674" t="s">
        <v>69</v>
      </c>
      <c r="J63" s="464" t="s">
        <v>108</v>
      </c>
      <c r="K63" s="672"/>
      <c r="L63" s="239"/>
      <c r="M63" s="433"/>
      <c r="N63" s="140"/>
      <c r="O63" s="288"/>
      <c r="P63" s="435"/>
      <c r="Q63" s="639"/>
      <c r="R63" s="104"/>
      <c r="S63" s="480"/>
      <c r="T63" s="648"/>
      <c r="U63" s="480"/>
      <c r="V63" s="685"/>
      <c r="W63" s="685"/>
      <c r="X63" s="685"/>
      <c r="Y63" s="685"/>
      <c r="Z63" s="685"/>
      <c r="AA63" s="583"/>
      <c r="AB63" s="120"/>
      <c r="AC63" s="672"/>
      <c r="AD63" s="134"/>
      <c r="AE63" s="134"/>
      <c r="AF63" s="134"/>
      <c r="AG63" s="134"/>
      <c r="AH63" s="427"/>
      <c r="AI63" s="134" t="s">
        <v>69</v>
      </c>
      <c r="AJ63" s="134" t="s">
        <v>69</v>
      </c>
      <c r="AK63" s="134" t="s">
        <v>69</v>
      </c>
      <c r="AL63" s="134" t="s">
        <v>69</v>
      </c>
      <c r="AM63" s="134" t="s">
        <v>69</v>
      </c>
    </row>
    <row r="64" spans="1:39" ht="18">
      <c r="A64" s="5">
        <v>63</v>
      </c>
      <c r="B64" s="666"/>
      <c r="C64" s="254" t="s">
        <v>53</v>
      </c>
      <c r="D64" s="510" t="s">
        <v>412</v>
      </c>
      <c r="E64" s="511" t="s">
        <v>413</v>
      </c>
      <c r="F64" s="512" t="s">
        <v>476</v>
      </c>
      <c r="G64" s="513" t="s">
        <v>291</v>
      </c>
      <c r="H64" s="513" t="s">
        <v>415</v>
      </c>
      <c r="I64" s="674" t="s">
        <v>69</v>
      </c>
      <c r="J64" s="464" t="s">
        <v>108</v>
      </c>
      <c r="K64" s="207"/>
      <c r="L64" s="207"/>
      <c r="M64" s="468"/>
      <c r="N64" s="169"/>
      <c r="O64" s="168"/>
      <c r="P64" s="168"/>
      <c r="Q64" s="168"/>
      <c r="R64" s="104"/>
      <c r="S64" s="168"/>
      <c r="T64" s="469"/>
      <c r="U64" s="657"/>
      <c r="V64" s="218"/>
      <c r="W64" s="134"/>
      <c r="X64" s="121"/>
      <c r="Y64" s="132"/>
      <c r="Z64" s="134"/>
      <c r="AA64" s="583"/>
      <c r="AB64" s="121"/>
      <c r="AC64" s="121"/>
      <c r="AD64" s="132"/>
      <c r="AE64" s="132"/>
      <c r="AF64" s="134"/>
      <c r="AG64" s="134"/>
      <c r="AH64" s="329"/>
      <c r="AI64" s="147" t="s">
        <v>92</v>
      </c>
      <c r="AJ64" s="447" t="s">
        <v>514</v>
      </c>
      <c r="AK64" s="134" t="s">
        <v>69</v>
      </c>
      <c r="AL64" s="134" t="s">
        <v>69</v>
      </c>
      <c r="AM64" s="134" t="s">
        <v>69</v>
      </c>
    </row>
    <row r="65" spans="1:39" ht="18">
      <c r="A65" s="5">
        <v>64</v>
      </c>
      <c r="B65" s="666"/>
      <c r="C65" s="254" t="s">
        <v>274</v>
      </c>
      <c r="D65" s="510" t="s">
        <v>412</v>
      </c>
      <c r="E65" s="511" t="s">
        <v>462</v>
      </c>
      <c r="F65" s="512" t="s">
        <v>480</v>
      </c>
      <c r="G65" s="513" t="s">
        <v>296</v>
      </c>
      <c r="H65" s="513" t="s">
        <v>415</v>
      </c>
      <c r="I65" s="674"/>
      <c r="J65" s="464" t="s">
        <v>108</v>
      </c>
      <c r="K65" s="672"/>
      <c r="L65" s="672"/>
      <c r="M65" s="468"/>
      <c r="N65" s="674"/>
      <c r="O65" s="686"/>
      <c r="P65" s="686"/>
      <c r="Q65" s="686"/>
      <c r="R65" s="104"/>
      <c r="S65" s="686"/>
      <c r="T65" s="648"/>
      <c r="U65" s="207"/>
      <c r="V65" s="207"/>
      <c r="W65" s="207"/>
      <c r="X65" s="207"/>
      <c r="Y65" s="207"/>
      <c r="Z65" s="121"/>
      <c r="AA65" s="583"/>
      <c r="AB65" s="134"/>
      <c r="AC65" s="406"/>
      <c r="AD65" s="121"/>
      <c r="AE65" s="121"/>
      <c r="AF65" s="134"/>
      <c r="AG65" s="134"/>
      <c r="AH65" s="427"/>
      <c r="AI65" s="120"/>
      <c r="AJ65" s="120"/>
      <c r="AK65" s="120"/>
      <c r="AL65" s="120"/>
      <c r="AM65" s="120" t="s">
        <v>69</v>
      </c>
    </row>
    <row r="66" spans="1:39" ht="18">
      <c r="A66" s="5">
        <v>65</v>
      </c>
      <c r="B66" s="666"/>
      <c r="C66" s="254" t="s">
        <v>531</v>
      </c>
      <c r="D66" s="510" t="s">
        <v>412</v>
      </c>
      <c r="E66" s="511" t="s">
        <v>418</v>
      </c>
      <c r="F66" s="512" t="s">
        <v>482</v>
      </c>
      <c r="G66" s="513" t="s">
        <v>396</v>
      </c>
      <c r="H66" s="513" t="s">
        <v>415</v>
      </c>
      <c r="I66" s="674"/>
      <c r="J66" s="329" t="s">
        <v>108</v>
      </c>
      <c r="K66" s="672"/>
      <c r="L66" s="672"/>
      <c r="M66" s="433"/>
      <c r="N66" s="239"/>
      <c r="O66" s="587"/>
      <c r="P66" s="686"/>
      <c r="Q66" s="686"/>
      <c r="R66" s="104"/>
      <c r="S66" s="686"/>
      <c r="T66" s="469"/>
      <c r="U66" s="207"/>
      <c r="V66" s="207"/>
      <c r="W66" s="207"/>
      <c r="X66" s="144"/>
      <c r="Y66" s="207"/>
      <c r="Z66" s="230"/>
      <c r="AA66" s="583"/>
      <c r="AB66" s="134"/>
      <c r="AC66" s="134"/>
      <c r="AD66" s="134"/>
      <c r="AE66" s="134"/>
      <c r="AF66" s="121"/>
      <c r="AG66" s="120"/>
      <c r="AH66" s="329"/>
      <c r="AI66" s="120"/>
      <c r="AJ66" s="120"/>
      <c r="AK66" s="120"/>
      <c r="AL66" s="120"/>
      <c r="AM66" s="120" t="s">
        <v>69</v>
      </c>
    </row>
    <row r="67" spans="1:39" ht="18">
      <c r="A67" s="5">
        <v>66</v>
      </c>
      <c r="B67" s="666" t="s">
        <v>533</v>
      </c>
      <c r="C67" s="254" t="s">
        <v>534</v>
      </c>
      <c r="D67" s="510" t="s">
        <v>412</v>
      </c>
      <c r="E67" s="511" t="s">
        <v>413</v>
      </c>
      <c r="F67" s="512" t="s">
        <v>444</v>
      </c>
      <c r="G67" s="513" t="s">
        <v>295</v>
      </c>
      <c r="H67" s="513"/>
      <c r="I67" s="153"/>
      <c r="J67" s="464" t="s">
        <v>108</v>
      </c>
      <c r="K67" s="153"/>
      <c r="L67" s="153"/>
      <c r="M67" s="468"/>
      <c r="N67" s="153"/>
      <c r="O67" s="153"/>
      <c r="P67" s="153"/>
      <c r="Q67" s="153"/>
      <c r="R67" s="104"/>
      <c r="S67" s="153"/>
      <c r="T67" s="648"/>
      <c r="U67" s="153"/>
      <c r="V67" s="153"/>
      <c r="W67" s="153"/>
      <c r="X67" s="153"/>
      <c r="Y67" s="153"/>
      <c r="Z67" s="121"/>
      <c r="AA67" s="583"/>
      <c r="AB67" s="134"/>
      <c r="AC67" s="134"/>
      <c r="AD67" s="147"/>
      <c r="AE67" s="134"/>
      <c r="AF67" s="134"/>
      <c r="AG67" s="134"/>
      <c r="AH67" s="329"/>
      <c r="AI67" s="120"/>
      <c r="AJ67" s="120"/>
      <c r="AK67" s="120"/>
      <c r="AL67" s="120"/>
      <c r="AM67" s="120" t="s">
        <v>69</v>
      </c>
    </row>
    <row r="68" spans="1:39" ht="18">
      <c r="A68" s="5">
        <v>67</v>
      </c>
      <c r="B68" s="666"/>
      <c r="C68" s="254" t="s">
        <v>260</v>
      </c>
      <c r="D68" s="510" t="s">
        <v>412</v>
      </c>
      <c r="E68" s="511" t="s">
        <v>418</v>
      </c>
      <c r="F68" s="531" t="s">
        <v>485</v>
      </c>
      <c r="G68" s="513" t="s">
        <v>286</v>
      </c>
      <c r="H68" s="513" t="s">
        <v>415</v>
      </c>
      <c r="I68" s="153" t="s">
        <v>416</v>
      </c>
      <c r="J68" s="464" t="s">
        <v>108</v>
      </c>
      <c r="K68" s="207"/>
      <c r="L68" s="207"/>
      <c r="M68" s="433"/>
      <c r="N68" s="153"/>
      <c r="O68" s="288"/>
      <c r="P68" s="188"/>
      <c r="Q68" s="686"/>
      <c r="R68" s="104"/>
      <c r="S68" s="686"/>
      <c r="T68" s="648"/>
      <c r="U68" s="207"/>
      <c r="V68" s="207"/>
      <c r="W68" s="207"/>
      <c r="X68" s="207"/>
      <c r="Y68" s="207"/>
      <c r="Z68" s="340"/>
      <c r="AA68" s="583"/>
      <c r="AB68" s="134"/>
      <c r="AC68" s="134"/>
      <c r="AD68" s="134"/>
      <c r="AE68" s="134"/>
      <c r="AF68" s="134"/>
      <c r="AG68" s="134"/>
      <c r="AH68" s="427"/>
      <c r="AI68" s="134"/>
      <c r="AJ68" s="134"/>
      <c r="AK68" s="134"/>
      <c r="AL68" s="134"/>
      <c r="AM68" s="168" t="s">
        <v>69</v>
      </c>
    </row>
    <row r="69" spans="1:39" ht="18">
      <c r="A69" s="5">
        <v>68</v>
      </c>
      <c r="B69" s="666"/>
      <c r="C69" s="254" t="s">
        <v>55</v>
      </c>
      <c r="D69" s="510" t="s">
        <v>412</v>
      </c>
      <c r="E69" s="511" t="s">
        <v>462</v>
      </c>
      <c r="F69" s="512" t="s">
        <v>474</v>
      </c>
      <c r="G69" s="513" t="s">
        <v>284</v>
      </c>
      <c r="H69" s="513" t="s">
        <v>415</v>
      </c>
      <c r="I69" s="239" t="s">
        <v>69</v>
      </c>
      <c r="J69" s="464" t="s">
        <v>108</v>
      </c>
      <c r="K69" s="346"/>
      <c r="L69" s="346"/>
      <c r="M69" s="468"/>
      <c r="N69" s="478"/>
      <c r="O69" s="65"/>
      <c r="P69" s="65"/>
      <c r="Q69" s="65"/>
      <c r="R69" s="104"/>
      <c r="S69" s="65"/>
      <c r="T69" s="469"/>
      <c r="U69" s="207"/>
      <c r="V69" s="207"/>
      <c r="W69" s="207"/>
      <c r="X69" s="207"/>
      <c r="Y69" s="207"/>
      <c r="Z69" s="207"/>
      <c r="AA69" s="583"/>
      <c r="AB69" s="134"/>
      <c r="AC69" s="134"/>
      <c r="AD69" s="134"/>
      <c r="AE69" s="134"/>
      <c r="AF69" s="134"/>
      <c r="AG69" s="134"/>
      <c r="AH69" s="329"/>
      <c r="AI69" s="134"/>
      <c r="AJ69" s="134" t="s">
        <v>69</v>
      </c>
      <c r="AK69" s="134"/>
      <c r="AL69" s="134"/>
      <c r="AM69" s="134" t="s">
        <v>69</v>
      </c>
    </row>
    <row r="70" spans="1:39" ht="18">
      <c r="A70" s="5">
        <v>69</v>
      </c>
      <c r="B70" s="666"/>
      <c r="C70" s="186" t="s">
        <v>233</v>
      </c>
      <c r="D70" s="510" t="s">
        <v>412</v>
      </c>
      <c r="E70" s="511" t="s">
        <v>462</v>
      </c>
      <c r="F70" s="512" t="s">
        <v>428</v>
      </c>
      <c r="G70" s="513" t="s">
        <v>133</v>
      </c>
      <c r="H70" s="513" t="s">
        <v>487</v>
      </c>
      <c r="I70" s="239" t="s">
        <v>69</v>
      </c>
      <c r="J70" s="329" t="s">
        <v>108</v>
      </c>
      <c r="K70" s="239"/>
      <c r="L70" s="239"/>
      <c r="M70" s="468"/>
      <c r="N70" s="478"/>
      <c r="O70" s="641"/>
      <c r="P70" s="641"/>
      <c r="Q70" s="641"/>
      <c r="R70" s="104"/>
      <c r="S70" s="641"/>
      <c r="T70" s="648"/>
      <c r="U70" s="207"/>
      <c r="V70" s="207"/>
      <c r="W70" s="207"/>
      <c r="X70" s="207"/>
      <c r="Y70" s="207"/>
      <c r="Z70" s="207"/>
      <c r="AA70" s="583"/>
      <c r="AB70" s="435"/>
      <c r="AC70" s="132"/>
      <c r="AD70" s="120"/>
      <c r="AE70" s="120"/>
      <c r="AF70" s="168"/>
      <c r="AG70" s="168"/>
      <c r="AH70" s="427"/>
      <c r="AI70" s="168"/>
      <c r="AJ70" s="168"/>
      <c r="AK70" s="168"/>
      <c r="AL70" s="168"/>
      <c r="AM70" s="168" t="s">
        <v>69</v>
      </c>
    </row>
    <row r="71" spans="1:39" ht="18">
      <c r="A71" s="5">
        <v>70</v>
      </c>
      <c r="B71" s="666"/>
      <c r="C71" s="254" t="s">
        <v>57</v>
      </c>
      <c r="D71" s="510" t="s">
        <v>412</v>
      </c>
      <c r="E71" s="511" t="s">
        <v>462</v>
      </c>
      <c r="F71" s="512" t="s">
        <v>467</v>
      </c>
      <c r="G71" s="513" t="s">
        <v>296</v>
      </c>
      <c r="H71" s="513" t="s">
        <v>415</v>
      </c>
      <c r="I71" s="239" t="s">
        <v>69</v>
      </c>
      <c r="J71" s="464" t="s">
        <v>108</v>
      </c>
      <c r="K71" s="252"/>
      <c r="L71" s="239"/>
      <c r="M71" s="433"/>
      <c r="N71" s="478"/>
      <c r="O71" s="211"/>
      <c r="P71" s="641"/>
      <c r="Q71" s="641"/>
      <c r="R71" s="104"/>
      <c r="S71" s="641"/>
      <c r="T71" s="469"/>
      <c r="U71" s="207"/>
      <c r="V71" s="219"/>
      <c r="W71" s="207"/>
      <c r="X71" s="436"/>
      <c r="Y71" s="436"/>
      <c r="Z71" s="436"/>
      <c r="AA71" s="583"/>
      <c r="AB71" s="134"/>
      <c r="AC71" s="134"/>
      <c r="AD71" s="134"/>
      <c r="AE71" s="672"/>
      <c r="AF71" s="134"/>
      <c r="AG71" s="132"/>
      <c r="AH71" s="329"/>
      <c r="AI71" s="132"/>
      <c r="AJ71" s="134"/>
      <c r="AK71" s="134"/>
      <c r="AL71" s="121"/>
      <c r="AM71" s="134" t="s">
        <v>69</v>
      </c>
    </row>
    <row r="72" spans="1:39" ht="18">
      <c r="A72" s="5">
        <v>71</v>
      </c>
      <c r="B72" s="666"/>
      <c r="C72" s="186" t="s">
        <v>106</v>
      </c>
      <c r="D72" s="510" t="s">
        <v>412</v>
      </c>
      <c r="E72" s="511" t="s">
        <v>424</v>
      </c>
      <c r="F72" s="512" t="s">
        <v>464</v>
      </c>
      <c r="G72" s="513" t="s">
        <v>306</v>
      </c>
      <c r="H72" s="513" t="s">
        <v>415</v>
      </c>
      <c r="I72" s="239" t="s">
        <v>69</v>
      </c>
      <c r="J72" s="464" t="s">
        <v>108</v>
      </c>
      <c r="K72" s="207"/>
      <c r="L72" s="207"/>
      <c r="M72" s="433"/>
      <c r="N72" s="477"/>
      <c r="O72" s="104"/>
      <c r="P72" s="104"/>
      <c r="Q72" s="104"/>
      <c r="R72" s="104"/>
      <c r="S72" s="104"/>
      <c r="T72" s="648"/>
      <c r="U72" s="207"/>
      <c r="V72" s="207"/>
      <c r="W72" s="207"/>
      <c r="X72" s="207"/>
      <c r="Y72" s="207"/>
      <c r="Z72" s="207"/>
      <c r="AA72" s="583"/>
      <c r="AB72" s="120"/>
      <c r="AC72" s="134"/>
      <c r="AD72" s="134"/>
      <c r="AE72" s="134"/>
      <c r="AF72" s="134"/>
      <c r="AG72" s="121"/>
      <c r="AH72" s="427"/>
      <c r="AI72" s="134" t="s">
        <v>69</v>
      </c>
      <c r="AJ72" s="134" t="s">
        <v>69</v>
      </c>
      <c r="AK72" s="134"/>
      <c r="AL72" s="134"/>
      <c r="AM72" s="134" t="s">
        <v>69</v>
      </c>
    </row>
    <row r="73" spans="1:39" ht="18">
      <c r="A73" s="5">
        <v>72</v>
      </c>
      <c r="B73" s="666"/>
      <c r="C73" s="254" t="s">
        <v>61</v>
      </c>
      <c r="D73" s="510" t="s">
        <v>412</v>
      </c>
      <c r="E73" s="511" t="s">
        <v>492</v>
      </c>
      <c r="F73" s="512" t="s">
        <v>490</v>
      </c>
      <c r="G73" s="523" t="s">
        <v>133</v>
      </c>
      <c r="H73" s="513" t="s">
        <v>415</v>
      </c>
      <c r="I73" s="239" t="s">
        <v>69</v>
      </c>
      <c r="J73" s="464" t="s">
        <v>108</v>
      </c>
      <c r="K73" s="134"/>
      <c r="L73" s="144"/>
      <c r="M73" s="468"/>
      <c r="N73" s="577"/>
      <c r="O73" s="9"/>
      <c r="P73" s="9"/>
      <c r="Q73" s="9"/>
      <c r="R73" s="104"/>
      <c r="S73" s="9"/>
      <c r="T73" s="469"/>
      <c r="U73" s="207"/>
      <c r="V73" s="207"/>
      <c r="W73" s="207"/>
      <c r="X73" s="207"/>
      <c r="Y73" s="207"/>
      <c r="Z73" s="207"/>
      <c r="AA73" s="583"/>
      <c r="AB73" s="141"/>
      <c r="AC73" s="134"/>
      <c r="AD73" s="134"/>
      <c r="AE73" s="134"/>
      <c r="AF73" s="121"/>
      <c r="AG73" s="134"/>
      <c r="AH73" s="329"/>
      <c r="AI73" s="134" t="s">
        <v>69</v>
      </c>
      <c r="AJ73" s="168" t="s">
        <v>69</v>
      </c>
      <c r="AK73" s="168" t="s">
        <v>69</v>
      </c>
      <c r="AL73" s="168" t="s">
        <v>69</v>
      </c>
      <c r="AM73" s="168" t="s">
        <v>69</v>
      </c>
    </row>
    <row r="74" spans="1:39" ht="18">
      <c r="A74" s="5">
        <v>73</v>
      </c>
      <c r="B74" s="666"/>
      <c r="C74" s="254" t="s">
        <v>62</v>
      </c>
      <c r="D74" s="510" t="s">
        <v>412</v>
      </c>
      <c r="E74" s="542" t="s">
        <v>413</v>
      </c>
      <c r="F74" s="512" t="s">
        <v>459</v>
      </c>
      <c r="G74" s="513" t="s">
        <v>301</v>
      </c>
      <c r="H74" s="513" t="s">
        <v>415</v>
      </c>
      <c r="I74" s="239" t="s">
        <v>69</v>
      </c>
      <c r="J74" s="348" t="s">
        <v>108</v>
      </c>
      <c r="K74" s="134"/>
      <c r="L74" s="188"/>
      <c r="M74" s="468"/>
      <c r="N74" s="63"/>
      <c r="O74" s="227"/>
      <c r="P74" s="227"/>
      <c r="Q74" s="227"/>
      <c r="R74" s="104"/>
      <c r="S74" s="227"/>
      <c r="T74" s="648"/>
      <c r="U74" s="218"/>
      <c r="V74" s="207"/>
      <c r="W74" s="207"/>
      <c r="X74" s="207"/>
      <c r="Y74" s="207"/>
      <c r="Z74" s="207"/>
      <c r="AA74" s="583"/>
      <c r="AB74" s="134"/>
      <c r="AC74" s="134"/>
      <c r="AD74" s="239"/>
      <c r="AE74" s="239"/>
      <c r="AF74" s="239"/>
      <c r="AG74" s="239"/>
      <c r="AH74" s="427"/>
      <c r="AI74" s="239" t="s">
        <v>69</v>
      </c>
      <c r="AJ74" s="121" t="s">
        <v>416</v>
      </c>
      <c r="AK74" s="120" t="s">
        <v>69</v>
      </c>
      <c r="AL74" s="120" t="s">
        <v>69</v>
      </c>
      <c r="AM74" s="120" t="s">
        <v>69</v>
      </c>
    </row>
    <row r="75" spans="1:39">
      <c r="J75" s="46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FEB</vt:lpstr>
      <vt:lpstr>MAR</vt:lpstr>
      <vt:lpstr>APR</vt:lpstr>
      <vt:lpstr>MAY</vt:lpstr>
      <vt:lpstr>JUN</vt:lpstr>
      <vt:lpstr>JULY</vt:lpstr>
      <vt:lpstr>AUG</vt:lpstr>
      <vt:lpstr>SEP</vt:lpstr>
      <vt:lpstr>OCT</vt:lpstr>
      <vt:lpstr>NOV</vt:lpstr>
      <vt:lpstr>DEC</vt:lpstr>
      <vt:lpstr>JAN-26</vt:lpstr>
      <vt:lpstr>FEB- 26</vt:lpstr>
      <vt:lpstr>Mar-26</vt:lpstr>
      <vt:lpstr>Apr-26</vt:lpstr>
      <vt:lpstr>May-26</vt:lpstr>
      <vt:lpstr>Jun-26</vt:lpstr>
      <vt:lpstr>Jul-26</vt:lpstr>
      <vt:lpstr>Aug-26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HR</dc:creator>
  <cp:keywords/>
  <dc:description/>
  <cp:lastModifiedBy>Advocate Kajol Verma</cp:lastModifiedBy>
  <cp:revision/>
  <dcterms:created xsi:type="dcterms:W3CDTF">2025-03-05T08:30:04Z</dcterms:created>
  <dcterms:modified xsi:type="dcterms:W3CDTF">2026-08-05T10:18:41Z</dcterms:modified>
  <cp:category/>
  <cp:contentStatus/>
</cp:coreProperties>
</file>