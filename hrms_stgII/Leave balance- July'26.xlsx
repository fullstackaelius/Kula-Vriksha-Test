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0co\Desktop\Eupheus Desktop data\0. Personal\360 Corp Insights\SeaSoul Data\Salary Registers- FY'26-27\4. July'26\"/>
    </mc:Choice>
  </mc:AlternateContent>
  <xr:revisionPtr revIDLastSave="0" documentId="13_ncr:1_{AE6FE07B-DB4F-483D-AE6E-C7B8470C6589}" xr6:coauthVersionLast="47" xr6:coauthVersionMax="47" xr10:uidLastSave="{00000000-0000-0000-0000-000000000000}"/>
  <bookViews>
    <workbookView xWindow="-98" yWindow="-98" windowWidth="19396" windowHeight="11475" activeTab="1" xr2:uid="{2C46A761-8C22-4FF6-9D0D-4891DC874F52}"/>
  </bookViews>
  <sheets>
    <sheet name="Sales" sheetId="2" r:id="rId1"/>
    <sheet name="APHL_VD_HQ_R" sheetId="1" r:id="rId2"/>
  </sheets>
  <definedNames>
    <definedName name="_xlnm._FilterDatabase" localSheetId="1" hidden="1">APHL_VD_HQ_R!$A$1:$S$46</definedName>
    <definedName name="_xlnm._FilterDatabase" localSheetId="0" hidden="1">Sales!$A$1:$Q$77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7" i="2" l="1"/>
  <c r="I77" i="2"/>
  <c r="J75" i="2"/>
  <c r="I75" i="2"/>
  <c r="J49" i="2" l="1"/>
  <c r="I49" i="2"/>
  <c r="Q77" i="2"/>
  <c r="P77" i="2"/>
  <c r="J76" i="2"/>
  <c r="Q76" i="2" s="1"/>
  <c r="I76" i="2"/>
  <c r="P76" i="2" s="1"/>
  <c r="Q75" i="2"/>
  <c r="P75" i="2"/>
  <c r="J74" i="2"/>
  <c r="Q74" i="2" s="1"/>
  <c r="I74" i="2"/>
  <c r="P74" i="2" s="1"/>
  <c r="J73" i="2"/>
  <c r="Q73" i="2" s="1"/>
  <c r="J72" i="2"/>
  <c r="Q72" i="2" s="1"/>
  <c r="I73" i="2"/>
  <c r="P73" i="2" s="1"/>
  <c r="I72" i="2"/>
  <c r="P72" i="2" s="1"/>
  <c r="F77" i="2"/>
  <c r="F76" i="2"/>
  <c r="F75" i="2"/>
  <c r="F74" i="2"/>
  <c r="F73" i="2"/>
  <c r="F72" i="2"/>
  <c r="I7" i="1"/>
  <c r="J7" i="1"/>
  <c r="M46" i="1"/>
  <c r="T46" i="1" s="1"/>
  <c r="M45" i="1"/>
  <c r="T45" i="1" s="1"/>
  <c r="M44" i="1"/>
  <c r="T44" i="1" s="1"/>
  <c r="M43" i="1"/>
  <c r="T43" i="1" s="1"/>
  <c r="M42" i="1"/>
  <c r="T42" i="1" s="1"/>
  <c r="M41" i="1"/>
  <c r="T41" i="1" s="1"/>
  <c r="M40" i="1"/>
  <c r="T40" i="1" s="1"/>
  <c r="M39" i="1"/>
  <c r="T39" i="1" s="1"/>
  <c r="M38" i="1"/>
  <c r="T38" i="1" s="1"/>
  <c r="M37" i="1"/>
  <c r="T37" i="1" s="1"/>
  <c r="M36" i="1"/>
  <c r="T36" i="1" s="1"/>
  <c r="M35" i="1"/>
  <c r="T35" i="1" s="1"/>
  <c r="M34" i="1"/>
  <c r="T34" i="1" s="1"/>
  <c r="M33" i="1"/>
  <c r="T33" i="1" s="1"/>
  <c r="M32" i="1"/>
  <c r="T32" i="1" s="1"/>
  <c r="M31" i="1"/>
  <c r="T31" i="1" s="1"/>
  <c r="M30" i="1"/>
  <c r="T30" i="1" s="1"/>
  <c r="M29" i="1"/>
  <c r="T29" i="1" s="1"/>
  <c r="M28" i="1"/>
  <c r="T28" i="1" s="1"/>
  <c r="M27" i="1"/>
  <c r="T27" i="1" s="1"/>
  <c r="M26" i="1"/>
  <c r="T26" i="1" s="1"/>
  <c r="M25" i="1"/>
  <c r="T25" i="1" s="1"/>
  <c r="M24" i="1"/>
  <c r="T24" i="1" s="1"/>
  <c r="M23" i="1"/>
  <c r="T23" i="1" s="1"/>
  <c r="M22" i="1"/>
  <c r="T22" i="1" s="1"/>
  <c r="M21" i="1"/>
  <c r="T21" i="1" s="1"/>
  <c r="M20" i="1"/>
  <c r="T20" i="1" s="1"/>
  <c r="M19" i="1"/>
  <c r="T19" i="1" s="1"/>
  <c r="M18" i="1"/>
  <c r="T18" i="1" s="1"/>
  <c r="M17" i="1"/>
  <c r="T17" i="1" s="1"/>
  <c r="M16" i="1"/>
  <c r="T16" i="1" s="1"/>
  <c r="M15" i="1"/>
  <c r="T15" i="1" s="1"/>
  <c r="M14" i="1"/>
  <c r="T14" i="1" s="1"/>
  <c r="M13" i="1"/>
  <c r="T13" i="1" s="1"/>
  <c r="M12" i="1"/>
  <c r="T12" i="1" s="1"/>
  <c r="M11" i="1"/>
  <c r="T11" i="1" s="1"/>
  <c r="M10" i="1"/>
  <c r="T10" i="1" s="1"/>
  <c r="M9" i="1"/>
  <c r="T9" i="1" s="1"/>
  <c r="M8" i="1"/>
  <c r="T8" i="1" s="1"/>
  <c r="M7" i="1"/>
  <c r="T7" i="1" s="1"/>
  <c r="M6" i="1"/>
  <c r="T6" i="1" s="1"/>
  <c r="M5" i="1"/>
  <c r="T5" i="1" s="1"/>
  <c r="M4" i="1"/>
  <c r="T4" i="1" s="1"/>
  <c r="M3" i="1"/>
  <c r="T3" i="1" s="1"/>
  <c r="M2" i="1" l="1"/>
  <c r="T2" i="1" s="1"/>
  <c r="J34" i="1"/>
  <c r="S34" i="1" s="1"/>
  <c r="J33" i="1"/>
  <c r="S33" i="1" s="1"/>
  <c r="I34" i="1"/>
  <c r="R34" i="1" s="1"/>
  <c r="I33" i="1"/>
  <c r="R33" i="1" s="1"/>
  <c r="E34" i="1"/>
  <c r="E33" i="1"/>
  <c r="J46" i="1"/>
  <c r="S46" i="1" s="1"/>
  <c r="I46" i="1"/>
  <c r="R46" i="1" s="1"/>
  <c r="E46" i="1"/>
  <c r="E45" i="1"/>
  <c r="J45" i="1"/>
  <c r="S45" i="1" s="1"/>
  <c r="I45" i="1"/>
  <c r="R45" i="1" s="1"/>
  <c r="J44" i="1" l="1"/>
  <c r="S44" i="1" s="1"/>
  <c r="I44" i="1"/>
  <c r="R44" i="1" s="1"/>
  <c r="E44" i="1"/>
  <c r="J71" i="2"/>
  <c r="Q71" i="2" s="1"/>
  <c r="J70" i="2"/>
  <c r="J69" i="2"/>
  <c r="J68" i="2"/>
  <c r="J67" i="2"/>
  <c r="J66" i="2"/>
  <c r="I71" i="2"/>
  <c r="P71" i="2" s="1"/>
  <c r="I70" i="2"/>
  <c r="I69" i="2"/>
  <c r="I68" i="2"/>
  <c r="I67" i="2"/>
  <c r="I66" i="2"/>
  <c r="J18" i="2"/>
  <c r="Q18" i="2" s="1"/>
  <c r="I18" i="2"/>
  <c r="P18" i="2" s="1"/>
  <c r="F18" i="2" l="1"/>
  <c r="F71" i="2"/>
  <c r="J43" i="1" l="1"/>
  <c r="S43" i="1" s="1"/>
  <c r="J42" i="1"/>
  <c r="S42" i="1" s="1"/>
  <c r="J41" i="1"/>
  <c r="J40" i="1"/>
  <c r="J39" i="1"/>
  <c r="J38" i="1"/>
  <c r="J37" i="1"/>
  <c r="J36" i="1"/>
  <c r="I43" i="1"/>
  <c r="R43" i="1" s="1"/>
  <c r="I42" i="1"/>
  <c r="R42" i="1" s="1"/>
  <c r="I41" i="1"/>
  <c r="I40" i="1"/>
  <c r="I39" i="1"/>
  <c r="I38" i="1"/>
  <c r="I37" i="1"/>
  <c r="I36" i="1"/>
  <c r="E43" i="1"/>
  <c r="E42" i="1"/>
  <c r="Q67" i="2" l="1"/>
  <c r="P67" i="2"/>
  <c r="F70" i="2"/>
  <c r="F69" i="2"/>
  <c r="F68" i="2"/>
  <c r="F67" i="2"/>
  <c r="Q69" i="2" l="1"/>
  <c r="P69" i="2"/>
  <c r="Q68" i="2"/>
  <c r="P68" i="2"/>
  <c r="Q70" i="2"/>
  <c r="P70" i="2"/>
  <c r="Q66" i="2" l="1"/>
  <c r="P66" i="2"/>
  <c r="J65" i="2"/>
  <c r="Q65" i="2" s="1"/>
  <c r="I65" i="2"/>
  <c r="P65" i="2" s="1"/>
  <c r="J64" i="2"/>
  <c r="Q64" i="2" s="1"/>
  <c r="I64" i="2"/>
  <c r="P64" i="2" s="1"/>
  <c r="J63" i="2"/>
  <c r="Q63" i="2" s="1"/>
  <c r="I63" i="2"/>
  <c r="P63" i="2" s="1"/>
  <c r="J62" i="2"/>
  <c r="Q62" i="2" s="1"/>
  <c r="I62" i="2"/>
  <c r="P62" i="2" s="1"/>
  <c r="J61" i="2"/>
  <c r="Q61" i="2" s="1"/>
  <c r="I61" i="2"/>
  <c r="P61" i="2" s="1"/>
  <c r="J60" i="2"/>
  <c r="Q60" i="2" s="1"/>
  <c r="I60" i="2"/>
  <c r="P60" i="2" s="1"/>
  <c r="J59" i="2"/>
  <c r="Q59" i="2" s="1"/>
  <c r="I59" i="2"/>
  <c r="P59" i="2" s="1"/>
  <c r="J58" i="2"/>
  <c r="Q58" i="2" s="1"/>
  <c r="I58" i="2"/>
  <c r="P58" i="2" s="1"/>
  <c r="J57" i="2"/>
  <c r="Q57" i="2" s="1"/>
  <c r="I57" i="2"/>
  <c r="P57" i="2" s="1"/>
  <c r="J56" i="2"/>
  <c r="Q56" i="2" s="1"/>
  <c r="I56" i="2"/>
  <c r="P56" i="2" s="1"/>
  <c r="J55" i="2"/>
  <c r="Q55" i="2" s="1"/>
  <c r="I55" i="2"/>
  <c r="P55" i="2" s="1"/>
  <c r="J54" i="2"/>
  <c r="Q54" i="2" s="1"/>
  <c r="I54" i="2"/>
  <c r="P54" i="2" s="1"/>
  <c r="J53" i="2"/>
  <c r="Q53" i="2" s="1"/>
  <c r="I53" i="2"/>
  <c r="P53" i="2" s="1"/>
  <c r="J52" i="2"/>
  <c r="Q52" i="2" s="1"/>
  <c r="I52" i="2"/>
  <c r="P52" i="2" s="1"/>
  <c r="J51" i="2"/>
  <c r="Q51" i="2" s="1"/>
  <c r="I51" i="2"/>
  <c r="P51" i="2" s="1"/>
  <c r="J50" i="2"/>
  <c r="Q50" i="2" s="1"/>
  <c r="I50" i="2"/>
  <c r="P50" i="2" s="1"/>
  <c r="Q49" i="2"/>
  <c r="P49" i="2"/>
  <c r="J48" i="2"/>
  <c r="Q48" i="2" s="1"/>
  <c r="I48" i="2"/>
  <c r="P48" i="2" s="1"/>
  <c r="J47" i="2"/>
  <c r="Q47" i="2" s="1"/>
  <c r="I47" i="2"/>
  <c r="P47" i="2" s="1"/>
  <c r="J46" i="2"/>
  <c r="Q46" i="2" s="1"/>
  <c r="I46" i="2"/>
  <c r="P46" i="2" s="1"/>
  <c r="J45" i="2"/>
  <c r="Q45" i="2" s="1"/>
  <c r="I45" i="2"/>
  <c r="P45" i="2" s="1"/>
  <c r="J44" i="2"/>
  <c r="Q44" i="2" s="1"/>
  <c r="I44" i="2"/>
  <c r="P44" i="2" s="1"/>
  <c r="J43" i="2"/>
  <c r="Q43" i="2" s="1"/>
  <c r="I43" i="2"/>
  <c r="P43" i="2" s="1"/>
  <c r="J42" i="2"/>
  <c r="Q42" i="2" s="1"/>
  <c r="I42" i="2"/>
  <c r="P42" i="2" s="1"/>
  <c r="J41" i="2"/>
  <c r="Q41" i="2" s="1"/>
  <c r="I41" i="2"/>
  <c r="P41" i="2" s="1"/>
  <c r="J40" i="2"/>
  <c r="Q40" i="2" s="1"/>
  <c r="I40" i="2"/>
  <c r="P40" i="2" s="1"/>
  <c r="J39" i="2"/>
  <c r="Q39" i="2" s="1"/>
  <c r="I39" i="2"/>
  <c r="P39" i="2" s="1"/>
  <c r="J38" i="2"/>
  <c r="Q38" i="2" s="1"/>
  <c r="I38" i="2"/>
  <c r="P38" i="2" s="1"/>
  <c r="J37" i="2"/>
  <c r="Q37" i="2" s="1"/>
  <c r="I37" i="2"/>
  <c r="P37" i="2" s="1"/>
  <c r="J36" i="2"/>
  <c r="Q36" i="2" s="1"/>
  <c r="I36" i="2"/>
  <c r="P36" i="2" s="1"/>
  <c r="J35" i="2"/>
  <c r="Q35" i="2" s="1"/>
  <c r="I35" i="2"/>
  <c r="P35" i="2" s="1"/>
  <c r="J34" i="2"/>
  <c r="Q34" i="2" s="1"/>
  <c r="I34" i="2"/>
  <c r="P34" i="2" s="1"/>
  <c r="J33" i="2"/>
  <c r="Q33" i="2" s="1"/>
  <c r="I33" i="2"/>
  <c r="P33" i="2" s="1"/>
  <c r="J32" i="2"/>
  <c r="Q32" i="2" s="1"/>
  <c r="I32" i="2"/>
  <c r="P32" i="2" s="1"/>
  <c r="J31" i="2"/>
  <c r="Q31" i="2" s="1"/>
  <c r="I31" i="2"/>
  <c r="P31" i="2" s="1"/>
  <c r="J30" i="2"/>
  <c r="Q30" i="2" s="1"/>
  <c r="I30" i="2"/>
  <c r="P30" i="2" s="1"/>
  <c r="J29" i="2"/>
  <c r="Q29" i="2" s="1"/>
  <c r="I29" i="2"/>
  <c r="P29" i="2" s="1"/>
  <c r="J28" i="2"/>
  <c r="Q28" i="2" s="1"/>
  <c r="I28" i="2"/>
  <c r="P28" i="2" s="1"/>
  <c r="J27" i="2"/>
  <c r="Q27" i="2" s="1"/>
  <c r="I27" i="2"/>
  <c r="P27" i="2" s="1"/>
  <c r="J26" i="2"/>
  <c r="Q26" i="2" s="1"/>
  <c r="I26" i="2"/>
  <c r="P26" i="2" s="1"/>
  <c r="J25" i="2"/>
  <c r="Q25" i="2" s="1"/>
  <c r="I25" i="2"/>
  <c r="P25" i="2" s="1"/>
  <c r="J24" i="2"/>
  <c r="Q24" i="2" s="1"/>
  <c r="I24" i="2"/>
  <c r="P24" i="2" s="1"/>
  <c r="J23" i="2"/>
  <c r="Q23" i="2" s="1"/>
  <c r="I23" i="2"/>
  <c r="P23" i="2" s="1"/>
  <c r="J22" i="2"/>
  <c r="Q22" i="2" s="1"/>
  <c r="I22" i="2"/>
  <c r="P22" i="2" s="1"/>
  <c r="J21" i="2"/>
  <c r="Q21" i="2" s="1"/>
  <c r="I21" i="2"/>
  <c r="P21" i="2" s="1"/>
  <c r="J20" i="2"/>
  <c r="Q20" i="2" s="1"/>
  <c r="I20" i="2"/>
  <c r="P20" i="2" s="1"/>
  <c r="J19" i="2"/>
  <c r="Q19" i="2" s="1"/>
  <c r="I19" i="2"/>
  <c r="P19" i="2" s="1"/>
  <c r="J17" i="2"/>
  <c r="Q17" i="2" s="1"/>
  <c r="I17" i="2"/>
  <c r="P17" i="2" s="1"/>
  <c r="J16" i="2"/>
  <c r="Q16" i="2" s="1"/>
  <c r="I16" i="2"/>
  <c r="P16" i="2" s="1"/>
  <c r="J15" i="2"/>
  <c r="Q15" i="2" s="1"/>
  <c r="I15" i="2"/>
  <c r="P15" i="2" s="1"/>
  <c r="J14" i="2"/>
  <c r="Q14" i="2" s="1"/>
  <c r="I14" i="2"/>
  <c r="P14" i="2" s="1"/>
  <c r="J13" i="2"/>
  <c r="Q13" i="2" s="1"/>
  <c r="I13" i="2"/>
  <c r="P13" i="2" s="1"/>
  <c r="J12" i="2"/>
  <c r="Q12" i="2" s="1"/>
  <c r="I12" i="2"/>
  <c r="P12" i="2" s="1"/>
  <c r="J11" i="2"/>
  <c r="Q11" i="2" s="1"/>
  <c r="I11" i="2"/>
  <c r="P11" i="2" s="1"/>
  <c r="J10" i="2"/>
  <c r="Q10" i="2" s="1"/>
  <c r="I10" i="2"/>
  <c r="P10" i="2" s="1"/>
  <c r="J9" i="2"/>
  <c r="Q9" i="2" s="1"/>
  <c r="I9" i="2"/>
  <c r="P9" i="2" s="1"/>
  <c r="J8" i="2"/>
  <c r="Q8" i="2" s="1"/>
  <c r="I8" i="2"/>
  <c r="P8" i="2" s="1"/>
  <c r="J7" i="2"/>
  <c r="Q7" i="2" s="1"/>
  <c r="I7" i="2"/>
  <c r="P7" i="2" s="1"/>
  <c r="J6" i="2"/>
  <c r="Q6" i="2" s="1"/>
  <c r="I6" i="2"/>
  <c r="P6" i="2" s="1"/>
  <c r="J5" i="2"/>
  <c r="Q5" i="2" s="1"/>
  <c r="I5" i="2"/>
  <c r="P5" i="2" s="1"/>
  <c r="J4" i="2"/>
  <c r="Q4" i="2" s="1"/>
  <c r="I4" i="2"/>
  <c r="P4" i="2" s="1"/>
  <c r="J3" i="2"/>
  <c r="Q3" i="2" s="1"/>
  <c r="I3" i="2"/>
  <c r="P3" i="2" s="1"/>
  <c r="J2" i="2"/>
  <c r="Q2" i="2" s="1"/>
  <c r="I2" i="2"/>
  <c r="P2" i="2" s="1"/>
  <c r="F66" i="2"/>
  <c r="F65" i="2" l="1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41" i="1" l="1"/>
  <c r="E40" i="1"/>
  <c r="E39" i="1"/>
  <c r="E38" i="1"/>
  <c r="E37" i="1"/>
  <c r="E36" i="1"/>
  <c r="E3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S36" i="1" l="1"/>
  <c r="R36" i="1"/>
  <c r="R41" i="1"/>
  <c r="R38" i="1"/>
  <c r="S38" i="1"/>
  <c r="S40" i="1"/>
  <c r="S41" i="1"/>
  <c r="S37" i="1"/>
  <c r="S39" i="1"/>
  <c r="J35" i="1"/>
  <c r="S35" i="1" s="1"/>
  <c r="J32" i="1"/>
  <c r="S32" i="1" s="1"/>
  <c r="J31" i="1"/>
  <c r="S31" i="1" s="1"/>
  <c r="J30" i="1"/>
  <c r="S30" i="1" s="1"/>
  <c r="J29" i="1"/>
  <c r="S29" i="1" s="1"/>
  <c r="J28" i="1"/>
  <c r="S28" i="1" s="1"/>
  <c r="J27" i="1"/>
  <c r="S27" i="1" s="1"/>
  <c r="J26" i="1"/>
  <c r="S26" i="1" s="1"/>
  <c r="J25" i="1"/>
  <c r="S25" i="1" s="1"/>
  <c r="J24" i="1"/>
  <c r="S24" i="1" s="1"/>
  <c r="J23" i="1"/>
  <c r="S23" i="1" s="1"/>
  <c r="J22" i="1"/>
  <c r="S22" i="1" s="1"/>
  <c r="J21" i="1"/>
  <c r="S21" i="1" s="1"/>
  <c r="J20" i="1"/>
  <c r="S20" i="1" s="1"/>
  <c r="J19" i="1"/>
  <c r="S19" i="1" s="1"/>
  <c r="J18" i="1"/>
  <c r="S18" i="1" s="1"/>
  <c r="J17" i="1"/>
  <c r="S17" i="1" s="1"/>
  <c r="J16" i="1"/>
  <c r="S16" i="1" s="1"/>
  <c r="J15" i="1"/>
  <c r="S15" i="1" s="1"/>
  <c r="J14" i="1"/>
  <c r="S14" i="1" s="1"/>
  <c r="J13" i="1"/>
  <c r="S13" i="1" s="1"/>
  <c r="J12" i="1"/>
  <c r="S12" i="1" s="1"/>
  <c r="J11" i="1"/>
  <c r="S11" i="1" s="1"/>
  <c r="J10" i="1"/>
  <c r="S10" i="1" s="1"/>
  <c r="J9" i="1"/>
  <c r="S9" i="1" s="1"/>
  <c r="J8" i="1"/>
  <c r="S8" i="1" s="1"/>
  <c r="S7" i="1"/>
  <c r="J6" i="1"/>
  <c r="S6" i="1" s="1"/>
  <c r="J5" i="1"/>
  <c r="S5" i="1" s="1"/>
  <c r="J4" i="1"/>
  <c r="S4" i="1" s="1"/>
  <c r="J3" i="1"/>
  <c r="S3" i="1" s="1"/>
  <c r="J2" i="1"/>
  <c r="S2" i="1" s="1"/>
  <c r="R40" i="1"/>
  <c r="R37" i="1"/>
  <c r="R39" i="1"/>
  <c r="I35" i="1"/>
  <c r="R35" i="1" s="1"/>
  <c r="I32" i="1"/>
  <c r="R32" i="1" s="1"/>
  <c r="I31" i="1"/>
  <c r="R31" i="1" s="1"/>
  <c r="I30" i="1"/>
  <c r="R30" i="1" s="1"/>
  <c r="I29" i="1"/>
  <c r="R29" i="1" s="1"/>
  <c r="I28" i="1"/>
  <c r="R28" i="1" s="1"/>
  <c r="I27" i="1"/>
  <c r="R27" i="1" s="1"/>
  <c r="I26" i="1"/>
  <c r="R26" i="1" s="1"/>
  <c r="I25" i="1"/>
  <c r="R25" i="1" s="1"/>
  <c r="I24" i="1"/>
  <c r="R24" i="1" s="1"/>
  <c r="I23" i="1"/>
  <c r="R23" i="1" s="1"/>
  <c r="I22" i="1"/>
  <c r="R22" i="1" s="1"/>
  <c r="I21" i="1"/>
  <c r="R21" i="1" s="1"/>
  <c r="I20" i="1"/>
  <c r="R20" i="1" s="1"/>
  <c r="I19" i="1"/>
  <c r="R19" i="1" s="1"/>
  <c r="I18" i="1"/>
  <c r="R18" i="1" s="1"/>
  <c r="I17" i="1"/>
  <c r="R17" i="1" s="1"/>
  <c r="I16" i="1"/>
  <c r="R16" i="1" s="1"/>
  <c r="I15" i="1"/>
  <c r="R15" i="1" s="1"/>
  <c r="I14" i="1"/>
  <c r="R14" i="1" s="1"/>
  <c r="I13" i="1"/>
  <c r="R13" i="1" s="1"/>
  <c r="I12" i="1"/>
  <c r="R12" i="1" s="1"/>
  <c r="I11" i="1"/>
  <c r="R11" i="1" s="1"/>
  <c r="I10" i="1"/>
  <c r="R10" i="1" s="1"/>
  <c r="I9" i="1"/>
  <c r="R9" i="1" s="1"/>
  <c r="I8" i="1"/>
  <c r="R8" i="1" s="1"/>
  <c r="R7" i="1"/>
  <c r="I6" i="1"/>
  <c r="R6" i="1" s="1"/>
  <c r="I5" i="1"/>
  <c r="R5" i="1" s="1"/>
  <c r="I4" i="1"/>
  <c r="R4" i="1" s="1"/>
  <c r="I3" i="1"/>
  <c r="R3" i="1" s="1"/>
  <c r="I2" i="1" l="1"/>
  <c r="R2" i="1" s="1"/>
</calcChain>
</file>

<file path=xl/sharedStrings.xml><?xml version="1.0" encoding="utf-8"?>
<sst xmlns="http://schemas.openxmlformats.org/spreadsheetml/2006/main" count="355" uniqueCount="261">
  <si>
    <t>Emp Code</t>
  </si>
  <si>
    <t>Employee Name</t>
  </si>
  <si>
    <t>APHL0003</t>
  </si>
  <si>
    <t>Anurag Kumar</t>
  </si>
  <si>
    <t>APHL0013</t>
  </si>
  <si>
    <t>Arvind Pal Singh</t>
  </si>
  <si>
    <t>APHL0014</t>
  </si>
  <si>
    <t>Ashish Chauhan</t>
  </si>
  <si>
    <t>APHL0016</t>
  </si>
  <si>
    <t>Ashish Kumar</t>
  </si>
  <si>
    <t>APHL0004</t>
  </si>
  <si>
    <t>Gopal Sharma</t>
  </si>
  <si>
    <t>APHL0012</t>
  </si>
  <si>
    <t>Gunjan Kishore</t>
  </si>
  <si>
    <t>APHL0010</t>
  </si>
  <si>
    <t>Mitanshi Jain</t>
  </si>
  <si>
    <t>APHL0006</t>
  </si>
  <si>
    <t>Mukul Shriram</t>
  </si>
  <si>
    <t>APHL0008</t>
  </si>
  <si>
    <t>Prashant Kumar Pandey</t>
  </si>
  <si>
    <t>APHL0009</t>
  </si>
  <si>
    <t>Punit Sharma</t>
  </si>
  <si>
    <t>APHL0011</t>
  </si>
  <si>
    <t>Rinki Bisht</t>
  </si>
  <si>
    <t>VD0024</t>
  </si>
  <si>
    <t>Sameer Kumar</t>
  </si>
  <si>
    <t>APHL0005</t>
  </si>
  <si>
    <t>Uday Kumar Singh</t>
  </si>
  <si>
    <t>VD0059</t>
  </si>
  <si>
    <t>Anukriti</t>
  </si>
  <si>
    <t>VD0040</t>
  </si>
  <si>
    <t>Ashikant Pathak</t>
  </si>
  <si>
    <t>VD0045</t>
  </si>
  <si>
    <t>Jyoti kaushik</t>
  </si>
  <si>
    <t>VD0001</t>
  </si>
  <si>
    <t>Minakshi Arora</t>
  </si>
  <si>
    <t>VDR0005</t>
  </si>
  <si>
    <t>Priyanshi Chhabra</t>
  </si>
  <si>
    <t>VD0012</t>
  </si>
  <si>
    <t>Rohit Chaudhary</t>
  </si>
  <si>
    <t>VD0074</t>
  </si>
  <si>
    <t>Sanjana Saraswat</t>
  </si>
  <si>
    <t>APHL0020</t>
  </si>
  <si>
    <t>Kamal Kant Gautam_x000D_</t>
  </si>
  <si>
    <t>VD0084</t>
  </si>
  <si>
    <t>Nitesh Prajapati</t>
  </si>
  <si>
    <t>APHL0021</t>
  </si>
  <si>
    <t>Diksha Singh</t>
  </si>
  <si>
    <t>Adityani</t>
  </si>
  <si>
    <t>APHL0022</t>
  </si>
  <si>
    <t>Abhishek Kumar</t>
  </si>
  <si>
    <t>APHL0023</t>
  </si>
  <si>
    <t>Vinay Kumar Verma</t>
  </si>
  <si>
    <t>APHL0025</t>
  </si>
  <si>
    <t>Prince Verma</t>
  </si>
  <si>
    <t>APHL0026</t>
  </si>
  <si>
    <t>Chintu Kumar</t>
  </si>
  <si>
    <t>APHL0027</t>
  </si>
  <si>
    <t>Kailash Chandra</t>
  </si>
  <si>
    <t>APHL0028</t>
  </si>
  <si>
    <t>Kunal Ranjan</t>
  </si>
  <si>
    <t>APHL0029</t>
  </si>
  <si>
    <t>Gursewak Singh</t>
  </si>
  <si>
    <t>APHL0030</t>
  </si>
  <si>
    <t>Anmol Kumar</t>
  </si>
  <si>
    <t>VD0002</t>
  </si>
  <si>
    <t>R Anandakumar</t>
  </si>
  <si>
    <t>VD0003</t>
  </si>
  <si>
    <t>Sharon Stephen</t>
  </si>
  <si>
    <t>VD0004</t>
  </si>
  <si>
    <t>Devitha</t>
  </si>
  <si>
    <t>VD0007</t>
  </si>
  <si>
    <t>Karthikan S</t>
  </si>
  <si>
    <t>VD0008</t>
  </si>
  <si>
    <t>M Raju</t>
  </si>
  <si>
    <t>VD0009</t>
  </si>
  <si>
    <t>Vipins P S</t>
  </si>
  <si>
    <t>VD0010</t>
  </si>
  <si>
    <t>Sakthish S</t>
  </si>
  <si>
    <t>VD0011</t>
  </si>
  <si>
    <t>Vishakha V.Sawant</t>
  </si>
  <si>
    <t>VD0013</t>
  </si>
  <si>
    <t>Abhinav S. Bahadure</t>
  </si>
  <si>
    <t>VD0014</t>
  </si>
  <si>
    <t>Anju Sharma</t>
  </si>
  <si>
    <t>VD0016</t>
  </si>
  <si>
    <t>Jayanthi.R</t>
  </si>
  <si>
    <t>VD0017</t>
  </si>
  <si>
    <t>Payal Das</t>
  </si>
  <si>
    <t>VD0019</t>
  </si>
  <si>
    <t>Shariq Khan</t>
  </si>
  <si>
    <t>VD0020</t>
  </si>
  <si>
    <t>Chamta Kesarwani</t>
  </si>
  <si>
    <t>VD0021</t>
  </si>
  <si>
    <t>Sonia S</t>
  </si>
  <si>
    <t>VD0022</t>
  </si>
  <si>
    <t>Kiran Kumar Patel</t>
  </si>
  <si>
    <t>VD0025</t>
  </si>
  <si>
    <t>Keerti Santosh Bagade</t>
  </si>
  <si>
    <t>VD0027</t>
  </si>
  <si>
    <t>Korrayya Siva Kumar</t>
  </si>
  <si>
    <t>VD0028</t>
  </si>
  <si>
    <t>Suneyna Gavshinde</t>
  </si>
  <si>
    <t>VD0029</t>
  </si>
  <si>
    <t>Niva Rajbongshi</t>
  </si>
  <si>
    <t>VD0030</t>
  </si>
  <si>
    <t>Hirak Jyoti Barman</t>
  </si>
  <si>
    <t>VD0032</t>
  </si>
  <si>
    <t>Santoshi Maruti Kadam</t>
  </si>
  <si>
    <t>VD0033</t>
  </si>
  <si>
    <t>Pooja S</t>
  </si>
  <si>
    <t>VD0034</t>
  </si>
  <si>
    <t>Mounika Kaithala</t>
  </si>
  <si>
    <t>VD0035</t>
  </si>
  <si>
    <t>Mandeep Singh</t>
  </si>
  <si>
    <t>VD0036</t>
  </si>
  <si>
    <t>Nisha Bhatia</t>
  </si>
  <si>
    <t>VD0037</t>
  </si>
  <si>
    <t>Manohar.B. Bannigol</t>
  </si>
  <si>
    <t>VD0038</t>
  </si>
  <si>
    <t>Mohammad Naseema</t>
  </si>
  <si>
    <t>VD0041</t>
  </si>
  <si>
    <t>Babu P</t>
  </si>
  <si>
    <t>VD0042</t>
  </si>
  <si>
    <t>Mohammed Ashif PA</t>
  </si>
  <si>
    <t>VD0043</t>
  </si>
  <si>
    <t>Kalashikam Ramesh</t>
  </si>
  <si>
    <t>VD0044</t>
  </si>
  <si>
    <t xml:space="preserve">Murali </t>
  </si>
  <si>
    <t>VD0047</t>
  </si>
  <si>
    <t>Manjit Kaur</t>
  </si>
  <si>
    <t>VD0049</t>
  </si>
  <si>
    <t>Roja R</t>
  </si>
  <si>
    <t>VD0050</t>
  </si>
  <si>
    <t>Deepak Rawat</t>
  </si>
  <si>
    <t>VD0051</t>
  </si>
  <si>
    <t>Koushik Kar</t>
  </si>
  <si>
    <t>VD0052</t>
  </si>
  <si>
    <t>Vijay Jha</t>
  </si>
  <si>
    <t>VD0053</t>
  </si>
  <si>
    <t>Chottu Debnath</t>
  </si>
  <si>
    <t>VD0055</t>
  </si>
  <si>
    <t>Selvi S</t>
  </si>
  <si>
    <t>VD0056</t>
  </si>
  <si>
    <t>Ishan Bhadauria</t>
  </si>
  <si>
    <t>VD0057</t>
  </si>
  <si>
    <t>Chetan﻿ Sharma</t>
  </si>
  <si>
    <t>VD0058</t>
  </si>
  <si>
    <t>Saleen shaikh</t>
  </si>
  <si>
    <t>VD0060</t>
  </si>
  <si>
    <t>Anita Chandel</t>
  </si>
  <si>
    <t>VD0061</t>
  </si>
  <si>
    <t>Vivek Shikha</t>
  </si>
  <si>
    <t>VD0063</t>
  </si>
  <si>
    <t>Rakesh Kumar P. Mishra</t>
  </si>
  <si>
    <t>VD0064</t>
  </si>
  <si>
    <t>Shaik abdul Subhan</t>
  </si>
  <si>
    <t>VD0065</t>
  </si>
  <si>
    <t>Peali Bepari</t>
  </si>
  <si>
    <t>VD0067</t>
  </si>
  <si>
    <t>Rajwinder Kaur</t>
  </si>
  <si>
    <t>VD0068</t>
  </si>
  <si>
    <t>Devkaran Bhudharjibhai Sagathiya</t>
  </si>
  <si>
    <t>VD0069</t>
  </si>
  <si>
    <t>Shahbaaz Khan</t>
  </si>
  <si>
    <t>VD0071</t>
  </si>
  <si>
    <t>Jerin Rajan Mathew</t>
  </si>
  <si>
    <t>VD0073</t>
  </si>
  <si>
    <t>Sanyog Shinde</t>
  </si>
  <si>
    <t>VD0075</t>
  </si>
  <si>
    <t>Gourav Sharma</t>
  </si>
  <si>
    <t>VD0080</t>
  </si>
  <si>
    <t>Abhishek Paul</t>
  </si>
  <si>
    <t>VD0082</t>
  </si>
  <si>
    <t>Kalpana Sonone</t>
  </si>
  <si>
    <t>VD0085</t>
  </si>
  <si>
    <t>Abhishek Gajanan Ghode</t>
  </si>
  <si>
    <t>VD0086</t>
  </si>
  <si>
    <t>Abhinandan Mehra</t>
  </si>
  <si>
    <t>VD0088</t>
  </si>
  <si>
    <t>Sherin K A</t>
  </si>
  <si>
    <t>VD0089</t>
  </si>
  <si>
    <t>Meghna Khosla</t>
  </si>
  <si>
    <t>VD0091</t>
  </si>
  <si>
    <t>Jasveer Singh Gahlot</t>
  </si>
  <si>
    <t>VD0095</t>
  </si>
  <si>
    <t>Alok Mehlotra</t>
  </si>
  <si>
    <t>DOL</t>
  </si>
  <si>
    <t>APHL0033</t>
  </si>
  <si>
    <t>Jeevika Mahajan</t>
  </si>
  <si>
    <t>DOJ</t>
  </si>
  <si>
    <t>VDR0009</t>
  </si>
  <si>
    <t>Vedanti Singh</t>
  </si>
  <si>
    <t>APHLR0002</t>
  </si>
  <si>
    <t>Yashi Gupta</t>
  </si>
  <si>
    <t>VDR0010</t>
  </si>
  <si>
    <t>Amit Kumar Thakur</t>
  </si>
  <si>
    <t>APHLR0003</t>
  </si>
  <si>
    <t>Aastha Goel</t>
  </si>
  <si>
    <t>VDR0012</t>
  </si>
  <si>
    <t>Shubhi</t>
  </si>
  <si>
    <t>Total Leaves taken</t>
  </si>
  <si>
    <t>PL taken</t>
  </si>
  <si>
    <t>EL taken</t>
  </si>
  <si>
    <t>CO taken</t>
  </si>
  <si>
    <t>Unpaid leave</t>
  </si>
  <si>
    <t>EL Applicable date</t>
  </si>
  <si>
    <t>Salma Sulthana</t>
  </si>
  <si>
    <t>VDR0004</t>
  </si>
  <si>
    <t>VDR0007</t>
  </si>
  <si>
    <t>VDR0008</t>
  </si>
  <si>
    <t>Priyanka Narnaware</t>
  </si>
  <si>
    <t>VDR0011</t>
  </si>
  <si>
    <t>Sumitaben Ramkumar Dave</t>
  </si>
  <si>
    <t>VD0099</t>
  </si>
  <si>
    <t>Fahad K S</t>
  </si>
  <si>
    <t>Inapakurthi Bala Tripura Sundari Devi</t>
  </si>
  <si>
    <t>VD0097</t>
  </si>
  <si>
    <t>Department</t>
  </si>
  <si>
    <t>Regional Sales &amp; Technical Team</t>
  </si>
  <si>
    <t>Sales Operations &amp; Planning Office</t>
  </si>
  <si>
    <t>PL Opening June'26</t>
  </si>
  <si>
    <t>EL Opening June'26</t>
  </si>
  <si>
    <t>VD0101</t>
  </si>
  <si>
    <t>Richa Sharma</t>
  </si>
  <si>
    <t>VD0102</t>
  </si>
  <si>
    <t>OD Taken</t>
  </si>
  <si>
    <t>VD0100</t>
  </si>
  <si>
    <t>Ritu</t>
  </si>
  <si>
    <t>APHLR0004</t>
  </si>
  <si>
    <t>Payal Jain</t>
  </si>
  <si>
    <t>June'26 PL Closing Balance</t>
  </si>
  <si>
    <t>June'26 EL Closing Balance</t>
  </si>
  <si>
    <t>PL Opening July'26</t>
  </si>
  <si>
    <t>EL Opening July'26</t>
  </si>
  <si>
    <t>PL closing July'26</t>
  </si>
  <si>
    <t>EL closing July'26</t>
  </si>
  <si>
    <t>VD0105</t>
  </si>
  <si>
    <t>Sunil Sawlani</t>
  </si>
  <si>
    <t>VD0106</t>
  </si>
  <si>
    <t>Gursevak Kaur</t>
  </si>
  <si>
    <t>VDR0014</t>
  </si>
  <si>
    <t>Tulika Chhabra</t>
  </si>
  <si>
    <t>APHLR0005</t>
  </si>
  <si>
    <t>Prem</t>
  </si>
  <si>
    <t>VD0093</t>
  </si>
  <si>
    <t>Vinitha V</t>
  </si>
  <si>
    <t>VD0094</t>
  </si>
  <si>
    <t>Lidya S</t>
  </si>
  <si>
    <t>Total OD</t>
  </si>
  <si>
    <t>July'26 OD</t>
  </si>
  <si>
    <t>June'26 OD Closing balance</t>
  </si>
  <si>
    <t>OD Closing July'26</t>
  </si>
  <si>
    <t>VD0103</t>
  </si>
  <si>
    <t>Minakshi</t>
  </si>
  <si>
    <t>VD0104</t>
  </si>
  <si>
    <t>Chennam Madhavi</t>
  </si>
  <si>
    <t>VDR0013</t>
  </si>
  <si>
    <t>Rishi Patharia</t>
  </si>
  <si>
    <t>VDR0015</t>
  </si>
  <si>
    <t>Saaz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</si>
</sst>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  <font>
      <sz val="12"/>
      <color rgb="FFFF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0"/>
      <color rgb="FFFF0000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14" fontId="2" fillId="0" borderId="1" xfId="0" applyNumberFormat="1" applyFont="1" applyBorder="1" applyAlignment="1">
      <alignment horizontal="left"/>
    </xf>
    <xf numFmtId="0" fontId="4" fillId="0" borderId="0" xfId="0" applyFont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0" applyFont="1" applyBorder="1"/>
    <xf numFmtId="2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2" fontId="4" fillId="0" borderId="1" xfId="0" applyNumberFormat="1" applyFont="1" applyBorder="1"/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8" fillId="0" borderId="1" xfId="0" applyFont="1" applyBorder="1"/>
  </cellXfs>
  <cellStyles count="1">
    <cellStyle name="Normal" xfId="0" builtinId="0"/>
  </cellStyles>
  <dxfs count="1">
    <dxf>
      <font>
        <strike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asoul.woco.co.in/hr/employee/profile/QHfjmNlCllp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83C5-0920-40DC-A818-8374E7B15EAD}">
  <dimension ref="A1:Q77"/>
  <sheetViews>
    <sheetView workbookViewId="0">
      <pane ySplit="1" topLeftCell="A2" activePane="bottomLeft" state="frozen"/>
      <selection pane="bottomLeft" activeCell="E2" sqref="E2"/>
    </sheetView>
  </sheetViews>
  <sheetFormatPr defaultRowHeight="14.25" x14ac:dyDescent="0.45"/>
  <cols>
    <col min="1" max="1" width="14.33203125" bestFit="1" customWidth="1"/>
    <col min="2" max="2" width="31.265625" bestFit="1" customWidth="1"/>
    <col min="3" max="4" width="9.9296875" bestFit="1" customWidth="1"/>
    <col min="5" max="5" width="29.3984375" bestFit="1" customWidth="1"/>
    <col min="6" max="6" width="21.73046875" bestFit="1" customWidth="1"/>
    <col min="7" max="7" width="29.1328125" bestFit="1" customWidth="1"/>
    <col min="8" max="8" width="29.06640625" bestFit="1" customWidth="1"/>
    <col min="9" max="9" width="22.265625" bestFit="1" customWidth="1"/>
    <col min="10" max="10" width="22.19921875" bestFit="1" customWidth="1"/>
    <col min="11" max="11" width="21.53125" bestFit="1" customWidth="1"/>
    <col min="12" max="12" width="12.73046875" bestFit="1" customWidth="1"/>
    <col min="13" max="13" width="10.46484375" bestFit="1" customWidth="1"/>
    <col min="14" max="14" width="13.33203125" bestFit="1" customWidth="1"/>
    <col min="15" max="15" width="16.59765625" bestFit="1" customWidth="1"/>
    <col min="16" max="16" width="20.46484375" bestFit="1" customWidth="1"/>
    <col min="17" max="17" width="20.3984375" bestFit="1" customWidth="1"/>
  </cols>
  <sheetData>
    <row r="1" spans="1:17" ht="15.75" x14ac:dyDescent="0.45">
      <c r="A1" s="3" t="s">
        <v>0</v>
      </c>
      <c r="B1" s="3" t="s">
        <v>1</v>
      </c>
      <c r="C1" s="3" t="s">
        <v>190</v>
      </c>
      <c r="D1" s="3" t="s">
        <v>187</v>
      </c>
      <c r="E1" s="3" t="s">
        <v>218</v>
      </c>
      <c r="F1" s="3" t="s">
        <v>206</v>
      </c>
      <c r="G1" s="3" t="s">
        <v>231</v>
      </c>
      <c r="H1" s="3" t="s">
        <v>232</v>
      </c>
      <c r="I1" s="3" t="s">
        <v>221</v>
      </c>
      <c r="J1" s="3" t="s">
        <v>222</v>
      </c>
      <c r="K1" s="3" t="s">
        <v>201</v>
      </c>
      <c r="L1" s="3" t="s">
        <v>202</v>
      </c>
      <c r="M1" s="19" t="s">
        <v>203</v>
      </c>
      <c r="N1" s="3" t="s">
        <v>204</v>
      </c>
      <c r="O1" s="3" t="s">
        <v>205</v>
      </c>
      <c r="P1" s="3" t="s">
        <v>235</v>
      </c>
      <c r="Q1" s="3" t="s">
        <v>236</v>
      </c>
    </row>
    <row r="2" spans="1:17" x14ac:dyDescent="0.45">
      <c r="A2" s="1" t="s">
        <v>65</v>
      </c>
      <c r="B2" s="2" t="s">
        <v>66</v>
      </c>
      <c r="C2" s="7">
        <v>44562</v>
      </c>
      <c r="D2" s="7"/>
      <c r="E2" s="7" t="s">
        <v>219</v>
      </c>
      <c r="F2" s="7">
        <f t="shared" ref="F2:F30" si="0">C2+365</f>
        <v>44927</v>
      </c>
      <c r="G2" s="22">
        <v>6.6666666666668206E-3</v>
      </c>
      <c r="H2" s="22">
        <v>30</v>
      </c>
      <c r="I2" s="22">
        <f>G2+1.17</f>
        <v>1.1766666666666667</v>
      </c>
      <c r="J2" s="22">
        <f>H2+1.25</f>
        <v>31.25</v>
      </c>
      <c r="K2" s="4">
        <v>2</v>
      </c>
      <c r="L2" s="4">
        <v>1</v>
      </c>
      <c r="M2" s="4">
        <v>1</v>
      </c>
      <c r="N2" s="4">
        <v>0</v>
      </c>
      <c r="O2" s="4">
        <v>0</v>
      </c>
      <c r="P2" s="6">
        <f t="shared" ref="P2:P33" si="1">I2-L2</f>
        <v>0.17666666666666675</v>
      </c>
      <c r="Q2" s="6">
        <f t="shared" ref="Q2:Q33" si="2">J2-M2</f>
        <v>30.25</v>
      </c>
    </row>
    <row r="3" spans="1:17" x14ac:dyDescent="0.45">
      <c r="A3" s="1" t="s">
        <v>67</v>
      </c>
      <c r="B3" s="2" t="s">
        <v>68</v>
      </c>
      <c r="C3" s="7">
        <v>44562</v>
      </c>
      <c r="D3" s="7"/>
      <c r="E3" s="7" t="s">
        <v>219</v>
      </c>
      <c r="F3" s="7">
        <f t="shared" si="0"/>
        <v>44927</v>
      </c>
      <c r="G3" s="22">
        <v>6.6666666666668206E-3</v>
      </c>
      <c r="H3" s="22">
        <v>0</v>
      </c>
      <c r="I3" s="22">
        <f t="shared" ref="I3:I59" si="3">G3+1.17</f>
        <v>1.1766666666666667</v>
      </c>
      <c r="J3" s="22">
        <f t="shared" ref="J3:J59" si="4">H3+1.25</f>
        <v>1.25</v>
      </c>
      <c r="K3" s="4">
        <v>7.5</v>
      </c>
      <c r="L3" s="4">
        <v>1</v>
      </c>
      <c r="M3" s="4">
        <v>1</v>
      </c>
      <c r="N3" s="4">
        <v>0</v>
      </c>
      <c r="O3" s="4">
        <v>5.5</v>
      </c>
      <c r="P3" s="6">
        <f t="shared" si="1"/>
        <v>0.17666666666666675</v>
      </c>
      <c r="Q3" s="6">
        <f t="shared" si="2"/>
        <v>0.25</v>
      </c>
    </row>
    <row r="4" spans="1:17" x14ac:dyDescent="0.45">
      <c r="A4" s="1" t="s">
        <v>69</v>
      </c>
      <c r="B4" s="2" t="s">
        <v>70</v>
      </c>
      <c r="C4" s="7">
        <v>44562</v>
      </c>
      <c r="D4" s="7"/>
      <c r="E4" s="7" t="s">
        <v>219</v>
      </c>
      <c r="F4" s="7">
        <f t="shared" si="0"/>
        <v>44927</v>
      </c>
      <c r="G4" s="22">
        <v>1.0066666666666668</v>
      </c>
      <c r="H4" s="22">
        <v>25.5</v>
      </c>
      <c r="I4" s="22">
        <f t="shared" si="3"/>
        <v>2.1766666666666667</v>
      </c>
      <c r="J4" s="22">
        <f t="shared" si="4"/>
        <v>26.75</v>
      </c>
      <c r="K4" s="4">
        <v>6.5</v>
      </c>
      <c r="L4" s="4">
        <v>2</v>
      </c>
      <c r="M4" s="4">
        <v>4.5</v>
      </c>
      <c r="N4" s="4">
        <v>0</v>
      </c>
      <c r="O4" s="4">
        <v>0</v>
      </c>
      <c r="P4" s="6">
        <f t="shared" si="1"/>
        <v>0.17666666666666675</v>
      </c>
      <c r="Q4" s="6">
        <f t="shared" si="2"/>
        <v>22.25</v>
      </c>
    </row>
    <row r="5" spans="1:17" x14ac:dyDescent="0.45">
      <c r="A5" s="1" t="s">
        <v>71</v>
      </c>
      <c r="B5" s="2" t="s">
        <v>72</v>
      </c>
      <c r="C5" s="7">
        <v>44562</v>
      </c>
      <c r="D5" s="7"/>
      <c r="E5" s="7" t="s">
        <v>219</v>
      </c>
      <c r="F5" s="7">
        <f t="shared" si="0"/>
        <v>44927</v>
      </c>
      <c r="G5" s="22">
        <v>6.6666666666668206E-3</v>
      </c>
      <c r="H5" s="22">
        <v>27</v>
      </c>
      <c r="I5" s="22">
        <f t="shared" si="3"/>
        <v>1.1766666666666667</v>
      </c>
      <c r="J5" s="22">
        <f t="shared" si="4"/>
        <v>28.25</v>
      </c>
      <c r="K5" s="4">
        <v>6</v>
      </c>
      <c r="L5" s="4">
        <v>1</v>
      </c>
      <c r="M5" s="4">
        <v>5</v>
      </c>
      <c r="N5" s="4">
        <v>0</v>
      </c>
      <c r="O5" s="4">
        <v>0</v>
      </c>
      <c r="P5" s="6">
        <f t="shared" si="1"/>
        <v>0.17666666666666675</v>
      </c>
      <c r="Q5" s="6">
        <f t="shared" si="2"/>
        <v>23.25</v>
      </c>
    </row>
    <row r="6" spans="1:17" x14ac:dyDescent="0.45">
      <c r="A6" s="1" t="s">
        <v>73</v>
      </c>
      <c r="B6" s="2" t="s">
        <v>74</v>
      </c>
      <c r="C6" s="7">
        <v>44562</v>
      </c>
      <c r="D6" s="7"/>
      <c r="E6" s="7" t="s">
        <v>219</v>
      </c>
      <c r="F6" s="7">
        <f t="shared" si="0"/>
        <v>44927</v>
      </c>
      <c r="G6" s="22">
        <v>4.5066666666666668</v>
      </c>
      <c r="H6" s="22">
        <v>32.5</v>
      </c>
      <c r="I6" s="22">
        <f t="shared" si="3"/>
        <v>5.6766666666666667</v>
      </c>
      <c r="J6" s="22">
        <f t="shared" si="4"/>
        <v>33.75</v>
      </c>
      <c r="K6" s="4">
        <v>1</v>
      </c>
      <c r="L6" s="4">
        <v>1</v>
      </c>
      <c r="M6" s="4">
        <v>0</v>
      </c>
      <c r="N6" s="4">
        <v>0</v>
      </c>
      <c r="O6" s="4">
        <v>0</v>
      </c>
      <c r="P6" s="6">
        <f t="shared" si="1"/>
        <v>4.6766666666666667</v>
      </c>
      <c r="Q6" s="6">
        <f t="shared" si="2"/>
        <v>33.75</v>
      </c>
    </row>
    <row r="7" spans="1:17" x14ac:dyDescent="0.45">
      <c r="A7" s="1" t="s">
        <v>75</v>
      </c>
      <c r="B7" s="2" t="s">
        <v>76</v>
      </c>
      <c r="C7" s="7">
        <v>44562</v>
      </c>
      <c r="D7" s="7"/>
      <c r="E7" s="7" t="s">
        <v>219</v>
      </c>
      <c r="F7" s="7">
        <f t="shared" si="0"/>
        <v>44927</v>
      </c>
      <c r="G7" s="22">
        <v>1.5066666666666668</v>
      </c>
      <c r="H7" s="22">
        <v>32.5</v>
      </c>
      <c r="I7" s="22">
        <f t="shared" si="3"/>
        <v>2.6766666666666667</v>
      </c>
      <c r="J7" s="22">
        <f t="shared" si="4"/>
        <v>33.75</v>
      </c>
      <c r="K7" s="4">
        <v>2</v>
      </c>
      <c r="L7" s="4">
        <v>2</v>
      </c>
      <c r="M7" s="4">
        <v>0</v>
      </c>
      <c r="N7" s="4">
        <v>0</v>
      </c>
      <c r="O7" s="4">
        <v>0</v>
      </c>
      <c r="P7" s="6">
        <f t="shared" si="1"/>
        <v>0.67666666666666675</v>
      </c>
      <c r="Q7" s="6">
        <f t="shared" si="2"/>
        <v>33.75</v>
      </c>
    </row>
    <row r="8" spans="1:17" x14ac:dyDescent="0.45">
      <c r="A8" s="1" t="s">
        <v>77</v>
      </c>
      <c r="B8" s="2" t="s">
        <v>78</v>
      </c>
      <c r="C8" s="7">
        <v>44562</v>
      </c>
      <c r="D8" s="7"/>
      <c r="E8" s="7" t="s">
        <v>219</v>
      </c>
      <c r="F8" s="7">
        <f t="shared" si="0"/>
        <v>44927</v>
      </c>
      <c r="G8" s="22">
        <v>4.0066666666666668</v>
      </c>
      <c r="H8" s="22">
        <v>31.5</v>
      </c>
      <c r="I8" s="22">
        <f t="shared" si="3"/>
        <v>5.1766666666666667</v>
      </c>
      <c r="J8" s="22">
        <f t="shared" si="4"/>
        <v>32.75</v>
      </c>
      <c r="K8" s="4">
        <v>1</v>
      </c>
      <c r="L8" s="4">
        <v>1</v>
      </c>
      <c r="M8" s="4">
        <v>0</v>
      </c>
      <c r="N8" s="4">
        <v>0</v>
      </c>
      <c r="O8" s="4">
        <v>0</v>
      </c>
      <c r="P8" s="6">
        <f t="shared" si="1"/>
        <v>4.1766666666666667</v>
      </c>
      <c r="Q8" s="6">
        <f t="shared" si="2"/>
        <v>32.75</v>
      </c>
    </row>
    <row r="9" spans="1:17" x14ac:dyDescent="0.45">
      <c r="A9" s="1" t="s">
        <v>79</v>
      </c>
      <c r="B9" s="2" t="s">
        <v>80</v>
      </c>
      <c r="C9" s="7">
        <v>44669</v>
      </c>
      <c r="D9" s="7"/>
      <c r="E9" s="7" t="s">
        <v>219</v>
      </c>
      <c r="F9" s="7">
        <f t="shared" si="0"/>
        <v>45034</v>
      </c>
      <c r="G9" s="22">
        <v>6.6666666666668206E-3</v>
      </c>
      <c r="H9" s="22">
        <v>5.5</v>
      </c>
      <c r="I9" s="22">
        <f t="shared" si="3"/>
        <v>1.1766666666666667</v>
      </c>
      <c r="J9" s="22">
        <f t="shared" si="4"/>
        <v>6.75</v>
      </c>
      <c r="K9" s="4">
        <v>4</v>
      </c>
      <c r="L9" s="4">
        <v>1</v>
      </c>
      <c r="M9" s="4">
        <v>3</v>
      </c>
      <c r="N9" s="4">
        <v>0</v>
      </c>
      <c r="O9" s="4">
        <v>0</v>
      </c>
      <c r="P9" s="6">
        <f t="shared" si="1"/>
        <v>0.17666666666666675</v>
      </c>
      <c r="Q9" s="6">
        <f t="shared" si="2"/>
        <v>3.75</v>
      </c>
    </row>
    <row r="10" spans="1:17" x14ac:dyDescent="0.45">
      <c r="A10" s="1" t="s">
        <v>38</v>
      </c>
      <c r="B10" s="2" t="s">
        <v>39</v>
      </c>
      <c r="C10" s="7">
        <v>44691</v>
      </c>
      <c r="D10" s="7"/>
      <c r="E10" s="7" t="s">
        <v>220</v>
      </c>
      <c r="F10" s="7">
        <f t="shared" si="0"/>
        <v>45056</v>
      </c>
      <c r="G10" s="22">
        <v>5.0066666666666668</v>
      </c>
      <c r="H10" s="22">
        <v>21.25</v>
      </c>
      <c r="I10" s="22">
        <f t="shared" si="3"/>
        <v>6.1766666666666667</v>
      </c>
      <c r="J10" s="22">
        <f t="shared" si="4"/>
        <v>22.5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6">
        <f t="shared" si="1"/>
        <v>6.1766666666666667</v>
      </c>
      <c r="Q10" s="6">
        <f t="shared" si="2"/>
        <v>22.5</v>
      </c>
    </row>
    <row r="11" spans="1:17" x14ac:dyDescent="0.45">
      <c r="A11" s="1" t="s">
        <v>81</v>
      </c>
      <c r="B11" s="2" t="s">
        <v>82</v>
      </c>
      <c r="C11" s="7">
        <v>44562</v>
      </c>
      <c r="D11" s="7"/>
      <c r="E11" s="7" t="s">
        <v>219</v>
      </c>
      <c r="F11" s="7">
        <f t="shared" si="0"/>
        <v>44927</v>
      </c>
      <c r="G11" s="22">
        <v>6.6666666666668206E-3</v>
      </c>
      <c r="H11" s="22">
        <v>20.5</v>
      </c>
      <c r="I11" s="22">
        <f t="shared" si="3"/>
        <v>1.1766666666666667</v>
      </c>
      <c r="J11" s="22">
        <f t="shared" si="4"/>
        <v>21.75</v>
      </c>
      <c r="K11" s="4">
        <v>2</v>
      </c>
      <c r="L11" s="4">
        <v>1</v>
      </c>
      <c r="M11" s="4">
        <v>1</v>
      </c>
      <c r="N11" s="4">
        <v>0</v>
      </c>
      <c r="O11" s="4">
        <v>0</v>
      </c>
      <c r="P11" s="6">
        <f t="shared" si="1"/>
        <v>0.17666666666666675</v>
      </c>
      <c r="Q11" s="6">
        <f t="shared" si="2"/>
        <v>20.75</v>
      </c>
    </row>
    <row r="12" spans="1:17" x14ac:dyDescent="0.45">
      <c r="A12" s="1" t="s">
        <v>83</v>
      </c>
      <c r="B12" s="2" t="s">
        <v>84</v>
      </c>
      <c r="C12" s="7">
        <v>44789</v>
      </c>
      <c r="D12" s="7"/>
      <c r="E12" s="7" t="s">
        <v>219</v>
      </c>
      <c r="F12" s="7">
        <f t="shared" si="0"/>
        <v>45154</v>
      </c>
      <c r="G12" s="22">
        <v>6.6666666666668206E-3</v>
      </c>
      <c r="H12" s="22">
        <v>0.25</v>
      </c>
      <c r="I12" s="22">
        <f t="shared" si="3"/>
        <v>1.1766666666666667</v>
      </c>
      <c r="J12" s="22">
        <f t="shared" si="4"/>
        <v>1.5</v>
      </c>
      <c r="K12" s="4">
        <v>4.5</v>
      </c>
      <c r="L12" s="4">
        <v>1</v>
      </c>
      <c r="M12" s="4">
        <v>1.5</v>
      </c>
      <c r="N12" s="4">
        <v>0</v>
      </c>
      <c r="O12" s="4">
        <v>2</v>
      </c>
      <c r="P12" s="6">
        <f t="shared" si="1"/>
        <v>0.17666666666666675</v>
      </c>
      <c r="Q12" s="6">
        <f t="shared" si="2"/>
        <v>0</v>
      </c>
    </row>
    <row r="13" spans="1:17" x14ac:dyDescent="0.45">
      <c r="A13" s="1" t="s">
        <v>85</v>
      </c>
      <c r="B13" s="2" t="s">
        <v>86</v>
      </c>
      <c r="C13" s="7">
        <v>44852</v>
      </c>
      <c r="D13" s="7"/>
      <c r="E13" s="7" t="s">
        <v>219</v>
      </c>
      <c r="F13" s="7">
        <f t="shared" si="0"/>
        <v>45217</v>
      </c>
      <c r="G13" s="22">
        <v>3.5066666666666668</v>
      </c>
      <c r="H13" s="22">
        <v>18.5</v>
      </c>
      <c r="I13" s="22">
        <f t="shared" si="3"/>
        <v>4.6766666666666667</v>
      </c>
      <c r="J13" s="22">
        <f t="shared" si="4"/>
        <v>19.75</v>
      </c>
      <c r="K13" s="4">
        <v>1</v>
      </c>
      <c r="L13" s="4">
        <v>1</v>
      </c>
      <c r="M13" s="4">
        <v>0</v>
      </c>
      <c r="N13" s="4">
        <v>0</v>
      </c>
      <c r="O13" s="4">
        <v>0</v>
      </c>
      <c r="P13" s="6">
        <f t="shared" si="1"/>
        <v>3.6766666666666667</v>
      </c>
      <c r="Q13" s="6">
        <f t="shared" si="2"/>
        <v>19.75</v>
      </c>
    </row>
    <row r="14" spans="1:17" x14ac:dyDescent="0.45">
      <c r="A14" s="1" t="s">
        <v>87</v>
      </c>
      <c r="B14" s="2" t="s">
        <v>88</v>
      </c>
      <c r="C14" s="7">
        <v>44949</v>
      </c>
      <c r="D14" s="7"/>
      <c r="E14" s="7" t="s">
        <v>219</v>
      </c>
      <c r="F14" s="7">
        <f t="shared" si="0"/>
        <v>45314</v>
      </c>
      <c r="G14" s="22">
        <v>1.0066666666666668</v>
      </c>
      <c r="H14" s="22">
        <v>21</v>
      </c>
      <c r="I14" s="22">
        <f t="shared" si="3"/>
        <v>2.1766666666666667</v>
      </c>
      <c r="J14" s="22">
        <f t="shared" si="4"/>
        <v>22.25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6">
        <f t="shared" si="1"/>
        <v>2.1766666666666667</v>
      </c>
      <c r="Q14" s="6">
        <f t="shared" si="2"/>
        <v>22.25</v>
      </c>
    </row>
    <row r="15" spans="1:17" x14ac:dyDescent="0.45">
      <c r="A15" s="1" t="s">
        <v>89</v>
      </c>
      <c r="B15" s="2" t="s">
        <v>90</v>
      </c>
      <c r="C15" s="7">
        <v>45026</v>
      </c>
      <c r="D15" s="7"/>
      <c r="E15" s="7" t="s">
        <v>219</v>
      </c>
      <c r="F15" s="7">
        <f t="shared" si="0"/>
        <v>45391</v>
      </c>
      <c r="G15" s="22">
        <v>4.0066666666666668</v>
      </c>
      <c r="H15" s="22">
        <v>32.5</v>
      </c>
      <c r="I15" s="22">
        <f t="shared" si="3"/>
        <v>5.1766666666666667</v>
      </c>
      <c r="J15" s="22">
        <f t="shared" si="4"/>
        <v>33.75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6">
        <f t="shared" si="1"/>
        <v>5.1766666666666667</v>
      </c>
      <c r="Q15" s="6">
        <f t="shared" si="2"/>
        <v>33.75</v>
      </c>
    </row>
    <row r="16" spans="1:17" x14ac:dyDescent="0.45">
      <c r="A16" s="1" t="s">
        <v>91</v>
      </c>
      <c r="B16" s="2" t="s">
        <v>92</v>
      </c>
      <c r="C16" s="7">
        <v>45026</v>
      </c>
      <c r="D16" s="7"/>
      <c r="E16" s="7" t="s">
        <v>219</v>
      </c>
      <c r="F16" s="7">
        <f t="shared" si="0"/>
        <v>45391</v>
      </c>
      <c r="G16" s="22">
        <v>6.6666666666668206E-3</v>
      </c>
      <c r="H16" s="22">
        <v>28.5</v>
      </c>
      <c r="I16" s="22">
        <f t="shared" si="3"/>
        <v>1.1766666666666667</v>
      </c>
      <c r="J16" s="22">
        <f t="shared" si="4"/>
        <v>29.75</v>
      </c>
      <c r="K16" s="4">
        <v>1</v>
      </c>
      <c r="L16" s="4">
        <v>1</v>
      </c>
      <c r="M16" s="4">
        <v>0</v>
      </c>
      <c r="N16" s="4">
        <v>0</v>
      </c>
      <c r="O16" s="4">
        <v>0</v>
      </c>
      <c r="P16" s="6">
        <f t="shared" si="1"/>
        <v>0.17666666666666675</v>
      </c>
      <c r="Q16" s="6">
        <f t="shared" si="2"/>
        <v>29.75</v>
      </c>
    </row>
    <row r="17" spans="1:17" x14ac:dyDescent="0.45">
      <c r="A17" s="1" t="s">
        <v>93</v>
      </c>
      <c r="B17" s="2" t="s">
        <v>94</v>
      </c>
      <c r="C17" s="7">
        <v>45047</v>
      </c>
      <c r="D17" s="7"/>
      <c r="E17" s="7" t="s">
        <v>219</v>
      </c>
      <c r="F17" s="7">
        <f t="shared" si="0"/>
        <v>45412</v>
      </c>
      <c r="G17" s="22">
        <v>2.0066666666666668</v>
      </c>
      <c r="H17" s="22">
        <v>32.5</v>
      </c>
      <c r="I17" s="22">
        <f t="shared" si="3"/>
        <v>3.1766666666666667</v>
      </c>
      <c r="J17" s="22">
        <f t="shared" si="4"/>
        <v>33.75</v>
      </c>
      <c r="K17" s="4">
        <v>2</v>
      </c>
      <c r="L17" s="4">
        <v>2</v>
      </c>
      <c r="M17" s="4">
        <v>0</v>
      </c>
      <c r="N17" s="4">
        <v>0</v>
      </c>
      <c r="O17" s="4">
        <v>0</v>
      </c>
      <c r="P17" s="6">
        <f t="shared" si="1"/>
        <v>1.1766666666666667</v>
      </c>
      <c r="Q17" s="6">
        <f t="shared" si="2"/>
        <v>33.75</v>
      </c>
    </row>
    <row r="18" spans="1:17" x14ac:dyDescent="0.45">
      <c r="A18" s="1" t="s">
        <v>95</v>
      </c>
      <c r="B18" s="2" t="s">
        <v>96</v>
      </c>
      <c r="C18" s="7">
        <v>45293</v>
      </c>
      <c r="D18" s="7"/>
      <c r="E18" s="7" t="s">
        <v>219</v>
      </c>
      <c r="F18" s="7">
        <f t="shared" si="0"/>
        <v>45658</v>
      </c>
      <c r="G18" s="22">
        <v>4.0066666666666668</v>
      </c>
      <c r="H18" s="22">
        <v>32.5</v>
      </c>
      <c r="I18" s="22">
        <f t="shared" ref="I18" si="5">G18+1.17</f>
        <v>5.1766666666666667</v>
      </c>
      <c r="J18" s="22">
        <f t="shared" ref="J18" si="6">H18+1.25</f>
        <v>33.75</v>
      </c>
      <c r="K18" s="4">
        <v>0.5</v>
      </c>
      <c r="L18" s="31">
        <v>0.5</v>
      </c>
      <c r="M18" s="4">
        <v>0</v>
      </c>
      <c r="N18" s="4">
        <v>0</v>
      </c>
      <c r="O18" s="4">
        <v>0</v>
      </c>
      <c r="P18" s="6">
        <f t="shared" si="1"/>
        <v>4.6766666666666667</v>
      </c>
      <c r="Q18" s="6">
        <f t="shared" si="2"/>
        <v>33.75</v>
      </c>
    </row>
    <row r="19" spans="1:17" x14ac:dyDescent="0.45">
      <c r="A19" s="1" t="s">
        <v>97</v>
      </c>
      <c r="B19" s="2" t="s">
        <v>98</v>
      </c>
      <c r="C19" s="7">
        <v>45448</v>
      </c>
      <c r="D19" s="7"/>
      <c r="E19" s="7" t="s">
        <v>219</v>
      </c>
      <c r="F19" s="7">
        <f t="shared" si="0"/>
        <v>45813</v>
      </c>
      <c r="G19" s="22">
        <v>6.6666666666668206E-3</v>
      </c>
      <c r="H19" s="22">
        <v>5</v>
      </c>
      <c r="I19" s="22">
        <f t="shared" si="3"/>
        <v>1.1766666666666667</v>
      </c>
      <c r="J19" s="22">
        <f t="shared" si="4"/>
        <v>6.25</v>
      </c>
      <c r="K19" s="4">
        <v>7.5</v>
      </c>
      <c r="L19" s="4">
        <v>1</v>
      </c>
      <c r="M19" s="4">
        <v>6</v>
      </c>
      <c r="N19" s="4">
        <v>0</v>
      </c>
      <c r="O19" s="4">
        <v>0.5</v>
      </c>
      <c r="P19" s="6">
        <f t="shared" si="1"/>
        <v>0.17666666666666675</v>
      </c>
      <c r="Q19" s="6">
        <f t="shared" si="2"/>
        <v>0.25</v>
      </c>
    </row>
    <row r="20" spans="1:17" x14ac:dyDescent="0.45">
      <c r="A20" s="1" t="s">
        <v>99</v>
      </c>
      <c r="B20" s="2" t="s">
        <v>100</v>
      </c>
      <c r="C20" s="7">
        <v>45483</v>
      </c>
      <c r="D20" s="7"/>
      <c r="E20" s="7" t="s">
        <v>219</v>
      </c>
      <c r="F20" s="7">
        <f t="shared" si="0"/>
        <v>45848</v>
      </c>
      <c r="G20" s="22">
        <v>5.0066666666666668</v>
      </c>
      <c r="H20" s="22">
        <v>25.5</v>
      </c>
      <c r="I20" s="22">
        <f t="shared" si="3"/>
        <v>6.1766666666666667</v>
      </c>
      <c r="J20" s="22">
        <f t="shared" si="4"/>
        <v>26.75</v>
      </c>
      <c r="K20" s="4">
        <v>0.5</v>
      </c>
      <c r="L20" s="31">
        <v>0.5</v>
      </c>
      <c r="M20" s="4">
        <v>0</v>
      </c>
      <c r="N20" s="4">
        <v>0</v>
      </c>
      <c r="O20" s="4">
        <v>0</v>
      </c>
      <c r="P20" s="6">
        <f t="shared" si="1"/>
        <v>5.6766666666666667</v>
      </c>
      <c r="Q20" s="6">
        <f t="shared" si="2"/>
        <v>26.75</v>
      </c>
    </row>
    <row r="21" spans="1:17" x14ac:dyDescent="0.45">
      <c r="A21" s="1" t="s">
        <v>101</v>
      </c>
      <c r="B21" s="2" t="s">
        <v>102</v>
      </c>
      <c r="C21" s="7">
        <v>45511</v>
      </c>
      <c r="D21" s="7"/>
      <c r="E21" s="7" t="s">
        <v>219</v>
      </c>
      <c r="F21" s="7">
        <f t="shared" si="0"/>
        <v>45876</v>
      </c>
      <c r="G21" s="22">
        <v>6.6666666666668206E-3</v>
      </c>
      <c r="H21" s="22">
        <v>7.75</v>
      </c>
      <c r="I21" s="22">
        <f t="shared" si="3"/>
        <v>1.1766666666666667</v>
      </c>
      <c r="J21" s="22">
        <f t="shared" si="4"/>
        <v>9</v>
      </c>
      <c r="K21" s="4">
        <v>6.5</v>
      </c>
      <c r="L21" s="4">
        <v>1</v>
      </c>
      <c r="M21" s="4">
        <v>5.5</v>
      </c>
      <c r="N21" s="4">
        <v>0</v>
      </c>
      <c r="O21" s="4">
        <v>0</v>
      </c>
      <c r="P21" s="6">
        <f t="shared" si="1"/>
        <v>0.17666666666666675</v>
      </c>
      <c r="Q21" s="6">
        <f t="shared" si="2"/>
        <v>3.5</v>
      </c>
    </row>
    <row r="22" spans="1:17" x14ac:dyDescent="0.45">
      <c r="A22" s="1" t="s">
        <v>103</v>
      </c>
      <c r="B22" s="2" t="s">
        <v>104</v>
      </c>
      <c r="C22" s="7">
        <v>45511</v>
      </c>
      <c r="D22" s="7"/>
      <c r="E22" s="7" t="s">
        <v>219</v>
      </c>
      <c r="F22" s="7">
        <f t="shared" si="0"/>
        <v>45876</v>
      </c>
      <c r="G22" s="22">
        <v>4.5066666666666668</v>
      </c>
      <c r="H22" s="22">
        <v>24.75</v>
      </c>
      <c r="I22" s="22">
        <f t="shared" si="3"/>
        <v>5.6766666666666667</v>
      </c>
      <c r="J22" s="22">
        <f t="shared" si="4"/>
        <v>26</v>
      </c>
      <c r="K22" s="4">
        <v>2</v>
      </c>
      <c r="L22" s="4">
        <v>2</v>
      </c>
      <c r="M22" s="4">
        <v>0</v>
      </c>
      <c r="N22" s="4">
        <v>0</v>
      </c>
      <c r="O22" s="4">
        <v>0</v>
      </c>
      <c r="P22" s="6">
        <f t="shared" si="1"/>
        <v>3.6766666666666667</v>
      </c>
      <c r="Q22" s="6">
        <f t="shared" si="2"/>
        <v>26</v>
      </c>
    </row>
    <row r="23" spans="1:17" x14ac:dyDescent="0.45">
      <c r="A23" s="1" t="s">
        <v>105</v>
      </c>
      <c r="B23" s="2" t="s">
        <v>106</v>
      </c>
      <c r="C23" s="7">
        <v>45528</v>
      </c>
      <c r="D23" s="7"/>
      <c r="E23" s="7" t="s">
        <v>219</v>
      </c>
      <c r="F23" s="7">
        <f t="shared" si="0"/>
        <v>45893</v>
      </c>
      <c r="G23" s="22">
        <v>2.0066666666666668</v>
      </c>
      <c r="H23" s="22">
        <v>25.25</v>
      </c>
      <c r="I23" s="22">
        <f t="shared" si="3"/>
        <v>3.1766666666666667</v>
      </c>
      <c r="J23" s="22">
        <f t="shared" si="4"/>
        <v>26.5</v>
      </c>
      <c r="K23" s="4">
        <v>1</v>
      </c>
      <c r="L23" s="4">
        <v>1</v>
      </c>
      <c r="M23" s="4">
        <v>0</v>
      </c>
      <c r="N23" s="4">
        <v>0</v>
      </c>
      <c r="O23" s="4">
        <v>0</v>
      </c>
      <c r="P23" s="6">
        <f t="shared" si="1"/>
        <v>2.1766666666666667</v>
      </c>
      <c r="Q23" s="6">
        <f t="shared" si="2"/>
        <v>26.5</v>
      </c>
    </row>
    <row r="24" spans="1:17" x14ac:dyDescent="0.45">
      <c r="A24" s="1" t="s">
        <v>107</v>
      </c>
      <c r="B24" s="2" t="s">
        <v>108</v>
      </c>
      <c r="C24" s="7">
        <v>45561</v>
      </c>
      <c r="D24" s="7"/>
      <c r="E24" s="7" t="s">
        <v>219</v>
      </c>
      <c r="F24" s="7">
        <f t="shared" si="0"/>
        <v>45926</v>
      </c>
      <c r="G24" s="22">
        <v>3.0066666666666668</v>
      </c>
      <c r="H24" s="22">
        <v>17.25</v>
      </c>
      <c r="I24" s="22">
        <f t="shared" si="3"/>
        <v>4.1766666666666667</v>
      </c>
      <c r="J24" s="22">
        <f t="shared" si="4"/>
        <v>18.5</v>
      </c>
      <c r="K24" s="4">
        <v>3.5</v>
      </c>
      <c r="L24" s="31">
        <v>3.5</v>
      </c>
      <c r="M24" s="4">
        <v>0</v>
      </c>
      <c r="N24" s="4">
        <v>0</v>
      </c>
      <c r="O24" s="4">
        <v>0</v>
      </c>
      <c r="P24" s="6">
        <f t="shared" si="1"/>
        <v>0.67666666666666675</v>
      </c>
      <c r="Q24" s="6">
        <f t="shared" si="2"/>
        <v>18.5</v>
      </c>
    </row>
    <row r="25" spans="1:17" x14ac:dyDescent="0.45">
      <c r="A25" s="1" t="s">
        <v>109</v>
      </c>
      <c r="B25" s="2" t="s">
        <v>110</v>
      </c>
      <c r="C25" s="7">
        <v>45586</v>
      </c>
      <c r="D25" s="7"/>
      <c r="E25" s="7" t="s">
        <v>219</v>
      </c>
      <c r="F25" s="7">
        <f t="shared" si="0"/>
        <v>45951</v>
      </c>
      <c r="G25" s="22">
        <v>4.0066666666666668</v>
      </c>
      <c r="H25" s="22">
        <v>20.5</v>
      </c>
      <c r="I25" s="22">
        <f t="shared" si="3"/>
        <v>5.1766666666666667</v>
      </c>
      <c r="J25" s="22">
        <f t="shared" si="4"/>
        <v>21.75</v>
      </c>
      <c r="K25" s="4">
        <v>5.5</v>
      </c>
      <c r="L25" s="4">
        <v>5</v>
      </c>
      <c r="M25" s="4">
        <v>0.5</v>
      </c>
      <c r="N25" s="4">
        <v>0</v>
      </c>
      <c r="O25" s="4">
        <v>0</v>
      </c>
      <c r="P25" s="6">
        <f t="shared" si="1"/>
        <v>0.17666666666666675</v>
      </c>
      <c r="Q25" s="6">
        <f t="shared" si="2"/>
        <v>21.25</v>
      </c>
    </row>
    <row r="26" spans="1:17" x14ac:dyDescent="0.45">
      <c r="A26" s="1" t="s">
        <v>111</v>
      </c>
      <c r="B26" s="2" t="s">
        <v>112</v>
      </c>
      <c r="C26" s="7">
        <v>45607</v>
      </c>
      <c r="D26" s="7"/>
      <c r="E26" s="7" t="s">
        <v>219</v>
      </c>
      <c r="F26" s="7">
        <f t="shared" si="0"/>
        <v>45972</v>
      </c>
      <c r="G26" s="22">
        <v>0.50666666666666682</v>
      </c>
      <c r="H26" s="22">
        <v>17.75</v>
      </c>
      <c r="I26" s="22">
        <f t="shared" si="3"/>
        <v>1.6766666666666667</v>
      </c>
      <c r="J26" s="22">
        <f t="shared" si="4"/>
        <v>19</v>
      </c>
      <c r="K26" s="4">
        <v>1.5</v>
      </c>
      <c r="L26" s="4">
        <v>1.5</v>
      </c>
      <c r="M26" s="4">
        <v>0</v>
      </c>
      <c r="N26" s="4">
        <v>0</v>
      </c>
      <c r="O26" s="4">
        <v>0</v>
      </c>
      <c r="P26" s="6">
        <f t="shared" si="1"/>
        <v>0.17666666666666675</v>
      </c>
      <c r="Q26" s="6">
        <f t="shared" si="2"/>
        <v>19</v>
      </c>
    </row>
    <row r="27" spans="1:17" x14ac:dyDescent="0.45">
      <c r="A27" s="1" t="s">
        <v>113</v>
      </c>
      <c r="B27" s="2" t="s">
        <v>114</v>
      </c>
      <c r="C27" s="7">
        <v>45609</v>
      </c>
      <c r="D27" s="7"/>
      <c r="E27" s="7" t="s">
        <v>219</v>
      </c>
      <c r="F27" s="7">
        <f t="shared" si="0"/>
        <v>45974</v>
      </c>
      <c r="G27" s="22">
        <v>4.0066666666666668</v>
      </c>
      <c r="H27" s="22">
        <v>22.25</v>
      </c>
      <c r="I27" s="22">
        <f t="shared" si="3"/>
        <v>5.1766666666666667</v>
      </c>
      <c r="J27" s="22">
        <f t="shared" si="4"/>
        <v>23.5</v>
      </c>
      <c r="K27" s="4">
        <v>2</v>
      </c>
      <c r="L27" s="21">
        <v>2</v>
      </c>
      <c r="M27" s="4">
        <v>0</v>
      </c>
      <c r="N27" s="4">
        <v>0</v>
      </c>
      <c r="O27" s="4">
        <v>0</v>
      </c>
      <c r="P27" s="6">
        <f t="shared" si="1"/>
        <v>3.1766666666666667</v>
      </c>
      <c r="Q27" s="6">
        <f t="shared" si="2"/>
        <v>23.5</v>
      </c>
    </row>
    <row r="28" spans="1:17" x14ac:dyDescent="0.45">
      <c r="A28" s="1" t="s">
        <v>115</v>
      </c>
      <c r="B28" s="2" t="s">
        <v>116</v>
      </c>
      <c r="C28" s="7">
        <v>45689</v>
      </c>
      <c r="D28" s="7"/>
      <c r="E28" s="7" t="s">
        <v>219</v>
      </c>
      <c r="F28" s="7">
        <f t="shared" si="0"/>
        <v>46054</v>
      </c>
      <c r="G28" s="22">
        <v>3.0066666666666668</v>
      </c>
      <c r="H28" s="22">
        <v>17</v>
      </c>
      <c r="I28" s="22">
        <f t="shared" si="3"/>
        <v>4.1766666666666667</v>
      </c>
      <c r="J28" s="22">
        <f t="shared" si="4"/>
        <v>18.25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6">
        <f t="shared" si="1"/>
        <v>4.1766666666666667</v>
      </c>
      <c r="Q28" s="6">
        <f t="shared" si="2"/>
        <v>18.25</v>
      </c>
    </row>
    <row r="29" spans="1:17" x14ac:dyDescent="0.45">
      <c r="A29" s="1" t="s">
        <v>117</v>
      </c>
      <c r="B29" s="2" t="s">
        <v>118</v>
      </c>
      <c r="C29" s="7">
        <v>45691</v>
      </c>
      <c r="D29" s="7"/>
      <c r="E29" s="7" t="s">
        <v>219</v>
      </c>
      <c r="F29" s="7">
        <f t="shared" si="0"/>
        <v>46056</v>
      </c>
      <c r="G29" s="22">
        <v>2.0066666666666668</v>
      </c>
      <c r="H29" s="22">
        <v>18.75</v>
      </c>
      <c r="I29" s="22">
        <f t="shared" si="3"/>
        <v>3.1766666666666667</v>
      </c>
      <c r="J29" s="22">
        <f t="shared" si="4"/>
        <v>20</v>
      </c>
      <c r="K29" s="4">
        <v>2.5</v>
      </c>
      <c r="L29" s="31">
        <v>2.5</v>
      </c>
      <c r="M29" s="4">
        <v>0</v>
      </c>
      <c r="N29" s="4">
        <v>0</v>
      </c>
      <c r="O29" s="4">
        <v>0</v>
      </c>
      <c r="P29" s="6">
        <f t="shared" si="1"/>
        <v>0.67666666666666675</v>
      </c>
      <c r="Q29" s="6">
        <f t="shared" si="2"/>
        <v>20</v>
      </c>
    </row>
    <row r="30" spans="1:17" x14ac:dyDescent="0.45">
      <c r="A30" s="1" t="s">
        <v>119</v>
      </c>
      <c r="B30" s="2" t="s">
        <v>120</v>
      </c>
      <c r="C30" s="7">
        <v>45695</v>
      </c>
      <c r="D30" s="7"/>
      <c r="E30" s="7" t="s">
        <v>219</v>
      </c>
      <c r="F30" s="7">
        <f t="shared" si="0"/>
        <v>46060</v>
      </c>
      <c r="G30" s="22">
        <v>2.0066666666666668</v>
      </c>
      <c r="H30" s="22">
        <v>18.75</v>
      </c>
      <c r="I30" s="22">
        <f t="shared" si="3"/>
        <v>3.1766666666666667</v>
      </c>
      <c r="J30" s="22">
        <f t="shared" si="4"/>
        <v>20</v>
      </c>
      <c r="K30" s="4">
        <v>5</v>
      </c>
      <c r="L30" s="21">
        <v>3</v>
      </c>
      <c r="M30" s="4">
        <v>2</v>
      </c>
      <c r="N30" s="4">
        <v>0</v>
      </c>
      <c r="O30" s="4">
        <v>0</v>
      </c>
      <c r="P30" s="6">
        <f t="shared" si="1"/>
        <v>0.17666666666666675</v>
      </c>
      <c r="Q30" s="6">
        <f t="shared" si="2"/>
        <v>18</v>
      </c>
    </row>
    <row r="31" spans="1:17" x14ac:dyDescent="0.45">
      <c r="A31" s="1" t="s">
        <v>30</v>
      </c>
      <c r="B31" s="2" t="s">
        <v>31</v>
      </c>
      <c r="C31" s="7">
        <v>45721</v>
      </c>
      <c r="D31" s="7"/>
      <c r="E31" s="7" t="s">
        <v>220</v>
      </c>
      <c r="F31" s="7">
        <f t="shared" ref="F31:F59" si="7">C31+365</f>
        <v>46086</v>
      </c>
      <c r="G31" s="22">
        <v>9.9999999999997868E-3</v>
      </c>
      <c r="H31" s="22">
        <v>10.5</v>
      </c>
      <c r="I31" s="22">
        <f t="shared" si="3"/>
        <v>1.1799999999999997</v>
      </c>
      <c r="J31" s="22">
        <f t="shared" si="4"/>
        <v>11.75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6">
        <f t="shared" si="1"/>
        <v>1.1799999999999997</v>
      </c>
      <c r="Q31" s="6">
        <f t="shared" si="2"/>
        <v>11.75</v>
      </c>
    </row>
    <row r="32" spans="1:17" x14ac:dyDescent="0.45">
      <c r="A32" s="1" t="s">
        <v>121</v>
      </c>
      <c r="B32" s="2" t="s">
        <v>122</v>
      </c>
      <c r="C32" s="7">
        <v>45756</v>
      </c>
      <c r="D32" s="7"/>
      <c r="E32" s="7" t="s">
        <v>219</v>
      </c>
      <c r="F32" s="7">
        <f t="shared" si="7"/>
        <v>46121</v>
      </c>
      <c r="G32" s="22">
        <v>4.0066666666666668</v>
      </c>
      <c r="H32" s="22">
        <v>16.25</v>
      </c>
      <c r="I32" s="22">
        <f t="shared" si="3"/>
        <v>5.1766666666666667</v>
      </c>
      <c r="J32" s="22">
        <f t="shared" si="4"/>
        <v>17.5</v>
      </c>
      <c r="K32" s="4">
        <v>1</v>
      </c>
      <c r="L32" s="4">
        <v>1</v>
      </c>
      <c r="M32" s="4">
        <v>0</v>
      </c>
      <c r="N32" s="4">
        <v>0</v>
      </c>
      <c r="O32" s="4">
        <v>0</v>
      </c>
      <c r="P32" s="6">
        <f t="shared" si="1"/>
        <v>4.1766666666666667</v>
      </c>
      <c r="Q32" s="6">
        <f t="shared" si="2"/>
        <v>17.5</v>
      </c>
    </row>
    <row r="33" spans="1:17" x14ac:dyDescent="0.45">
      <c r="A33" s="1" t="s">
        <v>123</v>
      </c>
      <c r="B33" s="2" t="s">
        <v>124</v>
      </c>
      <c r="C33" s="7">
        <v>45771</v>
      </c>
      <c r="D33" s="7"/>
      <c r="E33" s="7" t="s">
        <v>219</v>
      </c>
      <c r="F33" s="7">
        <f t="shared" si="7"/>
        <v>46136</v>
      </c>
      <c r="G33" s="22">
        <v>5.0066666666666668</v>
      </c>
      <c r="H33" s="22">
        <v>16.25</v>
      </c>
      <c r="I33" s="22">
        <f t="shared" si="3"/>
        <v>6.1766666666666667</v>
      </c>
      <c r="J33" s="22">
        <f t="shared" si="4"/>
        <v>17.5</v>
      </c>
      <c r="K33" s="4">
        <v>2</v>
      </c>
      <c r="L33" s="21">
        <v>2</v>
      </c>
      <c r="M33" s="4">
        <v>0</v>
      </c>
      <c r="N33" s="4">
        <v>0</v>
      </c>
      <c r="O33" s="4">
        <v>0</v>
      </c>
      <c r="P33" s="6">
        <f t="shared" si="1"/>
        <v>4.1766666666666667</v>
      </c>
      <c r="Q33" s="6">
        <f t="shared" si="2"/>
        <v>17.5</v>
      </c>
    </row>
    <row r="34" spans="1:17" x14ac:dyDescent="0.45">
      <c r="A34" s="1" t="s">
        <v>125</v>
      </c>
      <c r="B34" s="2" t="s">
        <v>126</v>
      </c>
      <c r="C34" s="7">
        <v>45787</v>
      </c>
      <c r="D34" s="7"/>
      <c r="E34" s="7" t="s">
        <v>219</v>
      </c>
      <c r="F34" s="7">
        <f t="shared" si="7"/>
        <v>46152</v>
      </c>
      <c r="G34" s="22">
        <v>5.0066666666666668</v>
      </c>
      <c r="H34" s="22">
        <v>2.5</v>
      </c>
      <c r="I34" s="22">
        <f t="shared" si="3"/>
        <v>6.1766666666666667</v>
      </c>
      <c r="J34" s="22">
        <f t="shared" si="4"/>
        <v>3.75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6">
        <f t="shared" ref="P34:P65" si="8">I34-L34</f>
        <v>6.1766666666666667</v>
      </c>
      <c r="Q34" s="6">
        <f t="shared" ref="Q34:Q65" si="9">J34-M34</f>
        <v>3.75</v>
      </c>
    </row>
    <row r="35" spans="1:17" x14ac:dyDescent="0.45">
      <c r="A35" s="1" t="s">
        <v>127</v>
      </c>
      <c r="B35" s="2" t="s">
        <v>128</v>
      </c>
      <c r="C35" s="7">
        <v>45813</v>
      </c>
      <c r="D35" s="7"/>
      <c r="E35" s="7" t="s">
        <v>219</v>
      </c>
      <c r="F35" s="7">
        <f t="shared" si="7"/>
        <v>46178</v>
      </c>
      <c r="G35" s="22">
        <v>3.0066666666666668</v>
      </c>
      <c r="H35" s="22">
        <v>2.5</v>
      </c>
      <c r="I35" s="22">
        <f t="shared" si="3"/>
        <v>4.1766666666666667</v>
      </c>
      <c r="J35" s="22">
        <f t="shared" si="4"/>
        <v>3.75</v>
      </c>
      <c r="K35" s="4">
        <v>3</v>
      </c>
      <c r="L35" s="31">
        <v>3</v>
      </c>
      <c r="M35" s="4">
        <v>0</v>
      </c>
      <c r="N35" s="4">
        <v>0</v>
      </c>
      <c r="O35" s="4">
        <v>0</v>
      </c>
      <c r="P35" s="6">
        <f t="shared" si="8"/>
        <v>1.1766666666666667</v>
      </c>
      <c r="Q35" s="6">
        <f t="shared" si="9"/>
        <v>3.75</v>
      </c>
    </row>
    <row r="36" spans="1:17" x14ac:dyDescent="0.45">
      <c r="A36" s="1" t="s">
        <v>129</v>
      </c>
      <c r="B36" s="2" t="s">
        <v>130</v>
      </c>
      <c r="C36" s="7">
        <v>45826</v>
      </c>
      <c r="D36" s="7"/>
      <c r="E36" s="7" t="s">
        <v>219</v>
      </c>
      <c r="F36" s="7">
        <f t="shared" si="7"/>
        <v>46191</v>
      </c>
      <c r="G36" s="22">
        <v>3.5066666666666668</v>
      </c>
      <c r="H36" s="22">
        <v>2.5</v>
      </c>
      <c r="I36" s="22">
        <f t="shared" si="3"/>
        <v>4.6766666666666667</v>
      </c>
      <c r="J36" s="22">
        <f t="shared" si="4"/>
        <v>3.75</v>
      </c>
      <c r="K36" s="4">
        <v>5</v>
      </c>
      <c r="L36" s="21">
        <v>3</v>
      </c>
      <c r="M36" s="4">
        <v>2</v>
      </c>
      <c r="N36" s="4">
        <v>0</v>
      </c>
      <c r="O36" s="4">
        <v>0</v>
      </c>
      <c r="P36" s="6">
        <f t="shared" si="8"/>
        <v>1.6766666666666667</v>
      </c>
      <c r="Q36" s="6">
        <f t="shared" si="9"/>
        <v>1.75</v>
      </c>
    </row>
    <row r="37" spans="1:17" x14ac:dyDescent="0.45">
      <c r="A37" s="1" t="s">
        <v>131</v>
      </c>
      <c r="B37" s="2" t="s">
        <v>132</v>
      </c>
      <c r="C37" s="7">
        <v>45845</v>
      </c>
      <c r="D37" s="7"/>
      <c r="E37" s="7" t="s">
        <v>219</v>
      </c>
      <c r="F37" s="7">
        <f t="shared" si="7"/>
        <v>46210</v>
      </c>
      <c r="G37" s="22">
        <v>6.6666666666668206E-3</v>
      </c>
      <c r="H37" s="22">
        <v>2.5</v>
      </c>
      <c r="I37" s="22">
        <f t="shared" si="3"/>
        <v>1.1766666666666667</v>
      </c>
      <c r="J37" s="22">
        <f t="shared" si="4"/>
        <v>3.75</v>
      </c>
      <c r="K37" s="4">
        <v>1.5</v>
      </c>
      <c r="L37" s="4">
        <v>1</v>
      </c>
      <c r="M37" s="4">
        <v>0.5</v>
      </c>
      <c r="N37" s="4">
        <v>0</v>
      </c>
      <c r="O37" s="4">
        <v>0</v>
      </c>
      <c r="P37" s="6">
        <f t="shared" si="8"/>
        <v>0.17666666666666675</v>
      </c>
      <c r="Q37" s="6">
        <f t="shared" si="9"/>
        <v>3.25</v>
      </c>
    </row>
    <row r="38" spans="1:17" x14ac:dyDescent="0.45">
      <c r="A38" s="1" t="s">
        <v>133</v>
      </c>
      <c r="B38" s="2" t="s">
        <v>134</v>
      </c>
      <c r="C38" s="7">
        <v>45859</v>
      </c>
      <c r="D38" s="7"/>
      <c r="E38" s="7" t="s">
        <v>219</v>
      </c>
      <c r="F38" s="7">
        <f t="shared" si="7"/>
        <v>46224</v>
      </c>
      <c r="G38" s="22">
        <v>1.0066666666666668</v>
      </c>
      <c r="H38" s="22">
        <v>2.5</v>
      </c>
      <c r="I38" s="22">
        <f t="shared" si="3"/>
        <v>2.1766666666666667</v>
      </c>
      <c r="J38" s="22">
        <f t="shared" si="4"/>
        <v>3.75</v>
      </c>
      <c r="K38" s="4">
        <v>3</v>
      </c>
      <c r="L38" s="4">
        <v>2</v>
      </c>
      <c r="M38" s="4">
        <v>1</v>
      </c>
      <c r="N38" s="4">
        <v>0</v>
      </c>
      <c r="O38" s="4">
        <v>0</v>
      </c>
      <c r="P38" s="6">
        <f t="shared" si="8"/>
        <v>0.17666666666666675</v>
      </c>
      <c r="Q38" s="6">
        <f t="shared" si="9"/>
        <v>2.75</v>
      </c>
    </row>
    <row r="39" spans="1:17" x14ac:dyDescent="0.45">
      <c r="A39" s="1" t="s">
        <v>135</v>
      </c>
      <c r="B39" s="2" t="s">
        <v>136</v>
      </c>
      <c r="C39" s="7">
        <v>45873</v>
      </c>
      <c r="D39" s="7"/>
      <c r="E39" s="7" t="s">
        <v>219</v>
      </c>
      <c r="F39" s="7">
        <f t="shared" si="7"/>
        <v>46238</v>
      </c>
      <c r="G39" s="22">
        <v>2.5066666666666668</v>
      </c>
      <c r="H39" s="22">
        <v>2.5</v>
      </c>
      <c r="I39" s="22">
        <f t="shared" si="3"/>
        <v>3.6766666666666667</v>
      </c>
      <c r="J39" s="22">
        <f t="shared" si="4"/>
        <v>3.75</v>
      </c>
      <c r="K39" s="4">
        <v>1</v>
      </c>
      <c r="L39" s="4">
        <v>1</v>
      </c>
      <c r="M39" s="4">
        <v>0</v>
      </c>
      <c r="N39" s="4">
        <v>0</v>
      </c>
      <c r="O39" s="4">
        <v>0</v>
      </c>
      <c r="P39" s="6">
        <f t="shared" si="8"/>
        <v>2.6766666666666667</v>
      </c>
      <c r="Q39" s="6">
        <f t="shared" si="9"/>
        <v>3.75</v>
      </c>
    </row>
    <row r="40" spans="1:17" x14ac:dyDescent="0.45">
      <c r="A40" s="1" t="s">
        <v>137</v>
      </c>
      <c r="B40" s="2" t="s">
        <v>138</v>
      </c>
      <c r="C40" s="7">
        <v>45873</v>
      </c>
      <c r="D40" s="7"/>
      <c r="E40" s="7" t="s">
        <v>219</v>
      </c>
      <c r="F40" s="7">
        <f t="shared" si="7"/>
        <v>46238</v>
      </c>
      <c r="G40" s="22">
        <v>6.6666666666668206E-3</v>
      </c>
      <c r="H40" s="22">
        <v>2.5</v>
      </c>
      <c r="I40" s="22">
        <f t="shared" si="3"/>
        <v>1.1766666666666667</v>
      </c>
      <c r="J40" s="22">
        <f t="shared" si="4"/>
        <v>3.75</v>
      </c>
      <c r="K40" s="4">
        <v>1</v>
      </c>
      <c r="L40" s="4">
        <v>1</v>
      </c>
      <c r="M40" s="4">
        <v>0</v>
      </c>
      <c r="N40" s="4">
        <v>0</v>
      </c>
      <c r="O40" s="4">
        <v>0</v>
      </c>
      <c r="P40" s="6">
        <f t="shared" si="8"/>
        <v>0.17666666666666675</v>
      </c>
      <c r="Q40" s="6">
        <f t="shared" si="9"/>
        <v>3.75</v>
      </c>
    </row>
    <row r="41" spans="1:17" x14ac:dyDescent="0.45">
      <c r="A41" s="1" t="s">
        <v>139</v>
      </c>
      <c r="B41" s="2" t="s">
        <v>140</v>
      </c>
      <c r="C41" s="7">
        <v>45887</v>
      </c>
      <c r="D41" s="7"/>
      <c r="E41" s="7" t="s">
        <v>219</v>
      </c>
      <c r="F41" s="7">
        <f t="shared" si="7"/>
        <v>46252</v>
      </c>
      <c r="G41" s="22">
        <v>1.0066666666666668</v>
      </c>
      <c r="H41" s="22">
        <v>2.5</v>
      </c>
      <c r="I41" s="22">
        <f t="shared" si="3"/>
        <v>2.1766666666666667</v>
      </c>
      <c r="J41" s="22">
        <f t="shared" si="4"/>
        <v>3.75</v>
      </c>
      <c r="K41" s="4">
        <v>2</v>
      </c>
      <c r="L41" s="4">
        <v>2</v>
      </c>
      <c r="M41" s="4">
        <v>0</v>
      </c>
      <c r="N41" s="4">
        <v>0</v>
      </c>
      <c r="O41" s="4">
        <v>0</v>
      </c>
      <c r="P41" s="6">
        <f t="shared" si="8"/>
        <v>0.17666666666666675</v>
      </c>
      <c r="Q41" s="6">
        <f t="shared" si="9"/>
        <v>3.75</v>
      </c>
    </row>
    <row r="42" spans="1:17" x14ac:dyDescent="0.45">
      <c r="A42" s="1" t="s">
        <v>141</v>
      </c>
      <c r="B42" s="2" t="s">
        <v>142</v>
      </c>
      <c r="C42" s="7">
        <v>45887</v>
      </c>
      <c r="D42" s="7"/>
      <c r="E42" s="7" t="s">
        <v>219</v>
      </c>
      <c r="F42" s="7">
        <f t="shared" si="7"/>
        <v>46252</v>
      </c>
      <c r="G42" s="22">
        <v>1.0066666666666668</v>
      </c>
      <c r="H42" s="22">
        <v>2.5</v>
      </c>
      <c r="I42" s="22">
        <f t="shared" si="3"/>
        <v>2.1766666666666667</v>
      </c>
      <c r="J42" s="22">
        <f t="shared" si="4"/>
        <v>3.75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6">
        <f t="shared" si="8"/>
        <v>2.1766666666666667</v>
      </c>
      <c r="Q42" s="6">
        <f t="shared" si="9"/>
        <v>3.75</v>
      </c>
    </row>
    <row r="43" spans="1:17" x14ac:dyDescent="0.45">
      <c r="A43" s="1" t="s">
        <v>143</v>
      </c>
      <c r="B43" s="2" t="s">
        <v>144</v>
      </c>
      <c r="C43" s="7">
        <v>45887</v>
      </c>
      <c r="D43" s="7"/>
      <c r="E43" s="7" t="s">
        <v>219</v>
      </c>
      <c r="F43" s="7">
        <f t="shared" si="7"/>
        <v>46252</v>
      </c>
      <c r="G43" s="22">
        <v>2.0066666666666668</v>
      </c>
      <c r="H43" s="22">
        <v>2.5</v>
      </c>
      <c r="I43" s="22">
        <f t="shared" si="3"/>
        <v>3.1766666666666667</v>
      </c>
      <c r="J43" s="22">
        <f t="shared" si="4"/>
        <v>3.75</v>
      </c>
      <c r="K43" s="4">
        <v>2.5</v>
      </c>
      <c r="L43" s="31">
        <v>2.5</v>
      </c>
      <c r="M43" s="4">
        <v>0</v>
      </c>
      <c r="N43" s="4">
        <v>0</v>
      </c>
      <c r="O43" s="4">
        <v>0</v>
      </c>
      <c r="P43" s="6">
        <f t="shared" si="8"/>
        <v>0.67666666666666675</v>
      </c>
      <c r="Q43" s="6">
        <f t="shared" si="9"/>
        <v>3.75</v>
      </c>
    </row>
    <row r="44" spans="1:17" x14ac:dyDescent="0.45">
      <c r="A44" s="1" t="s">
        <v>145</v>
      </c>
      <c r="B44" s="2" t="s">
        <v>146</v>
      </c>
      <c r="C44" s="7">
        <v>45901</v>
      </c>
      <c r="D44" s="7"/>
      <c r="E44" s="7" t="s">
        <v>219</v>
      </c>
      <c r="F44" s="7">
        <f t="shared" si="7"/>
        <v>46266</v>
      </c>
      <c r="G44" s="22">
        <v>0.50666666666666682</v>
      </c>
      <c r="H44" s="22">
        <v>2.5</v>
      </c>
      <c r="I44" s="22">
        <f t="shared" si="3"/>
        <v>1.6766666666666667</v>
      </c>
      <c r="J44" s="22">
        <f t="shared" si="4"/>
        <v>3.75</v>
      </c>
      <c r="K44" s="4">
        <v>1</v>
      </c>
      <c r="L44" s="4">
        <v>1</v>
      </c>
      <c r="M44" s="4">
        <v>0</v>
      </c>
      <c r="N44" s="4">
        <v>0</v>
      </c>
      <c r="O44" s="4">
        <v>0</v>
      </c>
      <c r="P44" s="6">
        <f t="shared" si="8"/>
        <v>0.67666666666666675</v>
      </c>
      <c r="Q44" s="6">
        <f t="shared" si="9"/>
        <v>3.75</v>
      </c>
    </row>
    <row r="45" spans="1:17" x14ac:dyDescent="0.45">
      <c r="A45" s="1" t="s">
        <v>147</v>
      </c>
      <c r="B45" s="2" t="s">
        <v>148</v>
      </c>
      <c r="C45" s="7">
        <v>45901</v>
      </c>
      <c r="D45" s="7"/>
      <c r="E45" s="7" t="s">
        <v>219</v>
      </c>
      <c r="F45" s="7">
        <f t="shared" si="7"/>
        <v>46266</v>
      </c>
      <c r="G45" s="22">
        <v>4.0066666666666668</v>
      </c>
      <c r="H45" s="22">
        <v>2.5</v>
      </c>
      <c r="I45" s="22">
        <f t="shared" si="3"/>
        <v>5.1766666666666667</v>
      </c>
      <c r="J45" s="22">
        <f t="shared" si="4"/>
        <v>3.75</v>
      </c>
      <c r="K45" s="4">
        <v>3.5</v>
      </c>
      <c r="L45" s="31">
        <v>3.5</v>
      </c>
      <c r="M45" s="4">
        <v>0</v>
      </c>
      <c r="N45" s="4">
        <v>0</v>
      </c>
      <c r="O45" s="4">
        <v>0</v>
      </c>
      <c r="P45" s="6">
        <f t="shared" si="8"/>
        <v>1.6766666666666667</v>
      </c>
      <c r="Q45" s="6">
        <f t="shared" si="9"/>
        <v>3.75</v>
      </c>
    </row>
    <row r="46" spans="1:17" x14ac:dyDescent="0.45">
      <c r="A46" s="1" t="s">
        <v>28</v>
      </c>
      <c r="B46" s="2" t="s">
        <v>29</v>
      </c>
      <c r="C46" s="7">
        <v>45901</v>
      </c>
      <c r="D46" s="7"/>
      <c r="E46" s="7" t="s">
        <v>220</v>
      </c>
      <c r="F46" s="7">
        <f t="shared" si="7"/>
        <v>46266</v>
      </c>
      <c r="G46" s="22">
        <v>3.0066666666666668</v>
      </c>
      <c r="H46" s="22">
        <v>2.5</v>
      </c>
      <c r="I46" s="22">
        <f t="shared" si="3"/>
        <v>4.1766666666666667</v>
      </c>
      <c r="J46" s="22">
        <f t="shared" si="4"/>
        <v>3.75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6">
        <f t="shared" si="8"/>
        <v>4.1766666666666667</v>
      </c>
      <c r="Q46" s="6">
        <f t="shared" si="9"/>
        <v>3.75</v>
      </c>
    </row>
    <row r="47" spans="1:17" x14ac:dyDescent="0.45">
      <c r="A47" s="1" t="s">
        <v>149</v>
      </c>
      <c r="B47" s="2" t="s">
        <v>150</v>
      </c>
      <c r="C47" s="7">
        <v>45917</v>
      </c>
      <c r="D47" s="7"/>
      <c r="E47" s="7" t="s">
        <v>219</v>
      </c>
      <c r="F47" s="7">
        <f t="shared" si="7"/>
        <v>46282</v>
      </c>
      <c r="G47" s="22">
        <v>6.5066666666666668</v>
      </c>
      <c r="H47" s="22">
        <v>2.5</v>
      </c>
      <c r="I47" s="22">
        <f t="shared" si="3"/>
        <v>7.6766666666666667</v>
      </c>
      <c r="J47" s="22">
        <f t="shared" si="4"/>
        <v>3.75</v>
      </c>
      <c r="K47" s="4">
        <v>4</v>
      </c>
      <c r="L47" s="4">
        <v>4</v>
      </c>
      <c r="M47" s="4">
        <v>0</v>
      </c>
      <c r="N47" s="4">
        <v>0</v>
      </c>
      <c r="O47" s="4">
        <v>0</v>
      </c>
      <c r="P47" s="6">
        <f t="shared" si="8"/>
        <v>3.6766666666666667</v>
      </c>
      <c r="Q47" s="6">
        <f t="shared" si="9"/>
        <v>3.75</v>
      </c>
    </row>
    <row r="48" spans="1:17" x14ac:dyDescent="0.45">
      <c r="A48" s="1" t="s">
        <v>151</v>
      </c>
      <c r="B48" s="2" t="s">
        <v>152</v>
      </c>
      <c r="C48" s="7">
        <v>45933</v>
      </c>
      <c r="D48" s="7"/>
      <c r="E48" s="7" t="s">
        <v>219</v>
      </c>
      <c r="F48" s="7">
        <f t="shared" si="7"/>
        <v>46298</v>
      </c>
      <c r="G48" s="22">
        <v>6.6666666666668206E-3</v>
      </c>
      <c r="H48" s="22">
        <v>2.5</v>
      </c>
      <c r="I48" s="22">
        <f t="shared" si="3"/>
        <v>1.1766666666666667</v>
      </c>
      <c r="J48" s="22">
        <f t="shared" si="4"/>
        <v>3.75</v>
      </c>
      <c r="K48" s="4">
        <v>4</v>
      </c>
      <c r="L48" s="4">
        <v>1</v>
      </c>
      <c r="M48" s="4">
        <v>0</v>
      </c>
      <c r="N48" s="4">
        <v>0</v>
      </c>
      <c r="O48" s="4">
        <v>3</v>
      </c>
      <c r="P48" s="6">
        <f t="shared" si="8"/>
        <v>0.17666666666666675</v>
      </c>
      <c r="Q48" s="6">
        <f t="shared" si="9"/>
        <v>3.75</v>
      </c>
    </row>
    <row r="49" spans="1:17" x14ac:dyDescent="0.45">
      <c r="A49" s="23" t="s">
        <v>153</v>
      </c>
      <c r="B49" s="23" t="s">
        <v>154</v>
      </c>
      <c r="C49" s="24">
        <v>45943</v>
      </c>
      <c r="D49" s="24">
        <v>46234</v>
      </c>
      <c r="E49" s="24" t="s">
        <v>219</v>
      </c>
      <c r="F49" s="24">
        <f t="shared" si="7"/>
        <v>46308</v>
      </c>
      <c r="G49" s="25">
        <v>4.5066666666666668</v>
      </c>
      <c r="H49" s="25">
        <v>2.5</v>
      </c>
      <c r="I49" s="25">
        <f>G49</f>
        <v>4.5066666666666668</v>
      </c>
      <c r="J49" s="25">
        <f>H49</f>
        <v>2.5</v>
      </c>
      <c r="K49" s="4">
        <v>6.5</v>
      </c>
      <c r="L49" s="4">
        <v>4.5</v>
      </c>
      <c r="M49" s="4">
        <v>0</v>
      </c>
      <c r="N49" s="4">
        <v>0</v>
      </c>
      <c r="O49" s="4">
        <v>2</v>
      </c>
      <c r="P49" s="6">
        <f t="shared" si="8"/>
        <v>6.6666666666668206E-3</v>
      </c>
      <c r="Q49" s="6">
        <f t="shared" si="9"/>
        <v>2.5</v>
      </c>
    </row>
    <row r="50" spans="1:17" x14ac:dyDescent="0.45">
      <c r="A50" s="1" t="s">
        <v>155</v>
      </c>
      <c r="B50" s="2" t="s">
        <v>156</v>
      </c>
      <c r="C50" s="7">
        <v>45953</v>
      </c>
      <c r="D50" s="7"/>
      <c r="E50" s="7" t="s">
        <v>219</v>
      </c>
      <c r="F50" s="7">
        <f t="shared" si="7"/>
        <v>46318</v>
      </c>
      <c r="G50" s="22">
        <v>7.0066666666666668</v>
      </c>
      <c r="H50" s="22">
        <v>2.5</v>
      </c>
      <c r="I50" s="22">
        <f t="shared" si="3"/>
        <v>8.1766666666666659</v>
      </c>
      <c r="J50" s="22">
        <f t="shared" si="4"/>
        <v>3.75</v>
      </c>
      <c r="K50" s="4">
        <v>0.5</v>
      </c>
      <c r="L50" s="31">
        <v>0.5</v>
      </c>
      <c r="M50" s="4">
        <v>0</v>
      </c>
      <c r="N50" s="4">
        <v>0</v>
      </c>
      <c r="O50" s="4">
        <v>0</v>
      </c>
      <c r="P50" s="6">
        <f t="shared" si="8"/>
        <v>7.6766666666666659</v>
      </c>
      <c r="Q50" s="6">
        <f t="shared" si="9"/>
        <v>3.75</v>
      </c>
    </row>
    <row r="51" spans="1:17" x14ac:dyDescent="0.45">
      <c r="A51" s="1" t="s">
        <v>157</v>
      </c>
      <c r="B51" s="2" t="s">
        <v>158</v>
      </c>
      <c r="C51" s="7">
        <v>45953</v>
      </c>
      <c r="D51" s="7"/>
      <c r="E51" s="7" t="s">
        <v>219</v>
      </c>
      <c r="F51" s="7">
        <f t="shared" si="7"/>
        <v>46318</v>
      </c>
      <c r="G51" s="22">
        <v>6.6666666666668206E-3</v>
      </c>
      <c r="H51" s="22">
        <v>2.5</v>
      </c>
      <c r="I51" s="22">
        <f t="shared" si="3"/>
        <v>1.1766666666666667</v>
      </c>
      <c r="J51" s="22">
        <f t="shared" si="4"/>
        <v>3.75</v>
      </c>
      <c r="K51" s="4">
        <v>6</v>
      </c>
      <c r="L51" s="4">
        <v>1</v>
      </c>
      <c r="M51" s="4">
        <v>0</v>
      </c>
      <c r="N51" s="4">
        <v>0</v>
      </c>
      <c r="O51" s="4">
        <v>5</v>
      </c>
      <c r="P51" s="6">
        <f t="shared" si="8"/>
        <v>0.17666666666666675</v>
      </c>
      <c r="Q51" s="6">
        <f t="shared" si="9"/>
        <v>3.75</v>
      </c>
    </row>
    <row r="52" spans="1:17" x14ac:dyDescent="0.45">
      <c r="A52" s="1" t="s">
        <v>159</v>
      </c>
      <c r="B52" s="2" t="s">
        <v>160</v>
      </c>
      <c r="C52" s="7">
        <v>45967</v>
      </c>
      <c r="D52" s="7"/>
      <c r="E52" s="7" t="s">
        <v>219</v>
      </c>
      <c r="F52" s="7">
        <f t="shared" si="7"/>
        <v>46332</v>
      </c>
      <c r="G52" s="22">
        <v>6.6666666666668206E-3</v>
      </c>
      <c r="H52" s="22">
        <v>2.5</v>
      </c>
      <c r="I52" s="22">
        <f t="shared" si="3"/>
        <v>1.1766666666666667</v>
      </c>
      <c r="J52" s="22">
        <f t="shared" si="4"/>
        <v>3.75</v>
      </c>
      <c r="K52" s="4">
        <v>5</v>
      </c>
      <c r="L52" s="4">
        <v>1</v>
      </c>
      <c r="M52" s="4">
        <v>0</v>
      </c>
      <c r="N52" s="4">
        <v>0</v>
      </c>
      <c r="O52" s="4">
        <v>4</v>
      </c>
      <c r="P52" s="6">
        <f t="shared" si="8"/>
        <v>0.17666666666666675</v>
      </c>
      <c r="Q52" s="6">
        <f t="shared" si="9"/>
        <v>3.75</v>
      </c>
    </row>
    <row r="53" spans="1:17" x14ac:dyDescent="0.45">
      <c r="A53" s="1" t="s">
        <v>161</v>
      </c>
      <c r="B53" s="2" t="s">
        <v>162</v>
      </c>
      <c r="C53" s="7">
        <v>45967</v>
      </c>
      <c r="D53" s="7"/>
      <c r="E53" s="7" t="s">
        <v>219</v>
      </c>
      <c r="F53" s="7">
        <f t="shared" si="7"/>
        <v>46332</v>
      </c>
      <c r="G53" s="22">
        <v>5.5066666666666668</v>
      </c>
      <c r="H53" s="22">
        <v>2.5</v>
      </c>
      <c r="I53" s="22">
        <f t="shared" si="3"/>
        <v>6.6766666666666667</v>
      </c>
      <c r="J53" s="22">
        <f t="shared" si="4"/>
        <v>3.75</v>
      </c>
      <c r="K53" s="4">
        <v>1</v>
      </c>
      <c r="L53" s="4">
        <v>1</v>
      </c>
      <c r="M53" s="4">
        <v>0</v>
      </c>
      <c r="N53" s="4">
        <v>0</v>
      </c>
      <c r="O53" s="4">
        <v>0</v>
      </c>
      <c r="P53" s="6">
        <f t="shared" si="8"/>
        <v>5.6766666666666667</v>
      </c>
      <c r="Q53" s="6">
        <f t="shared" si="9"/>
        <v>3.75</v>
      </c>
    </row>
    <row r="54" spans="1:17" x14ac:dyDescent="0.45">
      <c r="A54" s="1" t="s">
        <v>163</v>
      </c>
      <c r="B54" s="2" t="s">
        <v>164</v>
      </c>
      <c r="C54" s="7">
        <v>45968</v>
      </c>
      <c r="D54" s="7"/>
      <c r="E54" s="7" t="s">
        <v>219</v>
      </c>
      <c r="F54" s="7">
        <f t="shared" si="7"/>
        <v>46333</v>
      </c>
      <c r="G54" s="22">
        <v>0.50666666666666682</v>
      </c>
      <c r="H54" s="22">
        <v>2.5</v>
      </c>
      <c r="I54" s="22">
        <f t="shared" si="3"/>
        <v>1.6766666666666667</v>
      </c>
      <c r="J54" s="22">
        <f t="shared" si="4"/>
        <v>3.75</v>
      </c>
      <c r="K54" s="4">
        <v>1</v>
      </c>
      <c r="L54" s="4">
        <v>1</v>
      </c>
      <c r="M54" s="4">
        <v>0</v>
      </c>
      <c r="N54" s="4">
        <v>0</v>
      </c>
      <c r="O54" s="4">
        <v>0</v>
      </c>
      <c r="P54" s="6">
        <f t="shared" si="8"/>
        <v>0.67666666666666675</v>
      </c>
      <c r="Q54" s="6">
        <f t="shared" si="9"/>
        <v>3.75</v>
      </c>
    </row>
    <row r="55" spans="1:17" x14ac:dyDescent="0.45">
      <c r="A55" s="1" t="s">
        <v>165</v>
      </c>
      <c r="B55" s="2" t="s">
        <v>166</v>
      </c>
      <c r="C55" s="7">
        <v>45941</v>
      </c>
      <c r="D55" s="7"/>
      <c r="E55" s="7" t="s">
        <v>219</v>
      </c>
      <c r="F55" s="7">
        <f t="shared" si="7"/>
        <v>46306</v>
      </c>
      <c r="G55" s="22">
        <v>6.6666666666668206E-3</v>
      </c>
      <c r="H55" s="22">
        <v>2.5</v>
      </c>
      <c r="I55" s="22">
        <f t="shared" si="3"/>
        <v>1.1766666666666667</v>
      </c>
      <c r="J55" s="22">
        <f t="shared" si="4"/>
        <v>3.75</v>
      </c>
      <c r="K55" s="4">
        <v>3</v>
      </c>
      <c r="L55" s="4">
        <v>1</v>
      </c>
      <c r="M55" s="4">
        <v>0</v>
      </c>
      <c r="N55" s="4">
        <v>0</v>
      </c>
      <c r="O55" s="4">
        <v>2</v>
      </c>
      <c r="P55" s="6">
        <f t="shared" si="8"/>
        <v>0.17666666666666675</v>
      </c>
      <c r="Q55" s="6">
        <f t="shared" si="9"/>
        <v>3.75</v>
      </c>
    </row>
    <row r="56" spans="1:17" x14ac:dyDescent="0.45">
      <c r="A56" s="1" t="s">
        <v>167</v>
      </c>
      <c r="B56" s="2" t="s">
        <v>168</v>
      </c>
      <c r="C56" s="7">
        <v>45981</v>
      </c>
      <c r="D56" s="7"/>
      <c r="E56" s="7" t="s">
        <v>219</v>
      </c>
      <c r="F56" s="7">
        <f t="shared" si="7"/>
        <v>46346</v>
      </c>
      <c r="G56" s="22">
        <v>2.0066666666666668</v>
      </c>
      <c r="H56" s="22">
        <v>2.5</v>
      </c>
      <c r="I56" s="22">
        <f t="shared" si="3"/>
        <v>3.1766666666666667</v>
      </c>
      <c r="J56" s="22">
        <f t="shared" si="4"/>
        <v>3.75</v>
      </c>
      <c r="K56" s="4">
        <v>3.5</v>
      </c>
      <c r="L56" s="4">
        <v>3</v>
      </c>
      <c r="M56" s="4">
        <v>0</v>
      </c>
      <c r="N56" s="4">
        <v>0</v>
      </c>
      <c r="O56" s="4">
        <v>0.5</v>
      </c>
      <c r="P56" s="6">
        <f t="shared" si="8"/>
        <v>0.17666666666666675</v>
      </c>
      <c r="Q56" s="6">
        <f t="shared" si="9"/>
        <v>3.75</v>
      </c>
    </row>
    <row r="57" spans="1:17" x14ac:dyDescent="0.45">
      <c r="A57" s="1" t="s">
        <v>169</v>
      </c>
      <c r="B57" s="2" t="s">
        <v>170</v>
      </c>
      <c r="C57" s="7">
        <v>45994</v>
      </c>
      <c r="D57" s="7"/>
      <c r="E57" s="7" t="s">
        <v>219</v>
      </c>
      <c r="F57" s="7">
        <f t="shared" si="7"/>
        <v>46359</v>
      </c>
      <c r="G57" s="22">
        <v>3.0066666666666668</v>
      </c>
      <c r="H57" s="22">
        <v>2.5</v>
      </c>
      <c r="I57" s="22">
        <f t="shared" si="3"/>
        <v>4.1766666666666667</v>
      </c>
      <c r="J57" s="22">
        <f t="shared" si="4"/>
        <v>3.75</v>
      </c>
      <c r="K57" s="4">
        <v>1</v>
      </c>
      <c r="L57" s="4">
        <v>1</v>
      </c>
      <c r="M57" s="4">
        <v>0</v>
      </c>
      <c r="N57" s="4">
        <v>0</v>
      </c>
      <c r="O57" s="4">
        <v>0</v>
      </c>
      <c r="P57" s="6">
        <f t="shared" si="8"/>
        <v>3.1766666666666667</v>
      </c>
      <c r="Q57" s="6">
        <f t="shared" si="9"/>
        <v>3.75</v>
      </c>
    </row>
    <row r="58" spans="1:17" x14ac:dyDescent="0.45">
      <c r="A58" s="1" t="s">
        <v>171</v>
      </c>
      <c r="B58" s="2" t="s">
        <v>172</v>
      </c>
      <c r="C58" s="7">
        <v>46027</v>
      </c>
      <c r="D58" s="7"/>
      <c r="E58" s="7" t="s">
        <v>219</v>
      </c>
      <c r="F58" s="7">
        <f t="shared" si="7"/>
        <v>46392</v>
      </c>
      <c r="G58" s="22">
        <v>1.3399999999999999</v>
      </c>
      <c r="H58" s="22">
        <v>2.5</v>
      </c>
      <c r="I58" s="22">
        <f t="shared" si="3"/>
        <v>2.5099999999999998</v>
      </c>
      <c r="J58" s="22">
        <f t="shared" si="4"/>
        <v>3.75</v>
      </c>
      <c r="K58" s="4">
        <v>3.5</v>
      </c>
      <c r="L58" s="4">
        <v>2.5</v>
      </c>
      <c r="M58" s="4">
        <v>0</v>
      </c>
      <c r="N58" s="4">
        <v>0</v>
      </c>
      <c r="O58" s="4">
        <v>1</v>
      </c>
      <c r="P58" s="6">
        <f t="shared" si="8"/>
        <v>9.9999999999997868E-3</v>
      </c>
      <c r="Q58" s="6">
        <f t="shared" si="9"/>
        <v>3.75</v>
      </c>
    </row>
    <row r="59" spans="1:17" x14ac:dyDescent="0.45">
      <c r="A59" s="1" t="s">
        <v>173</v>
      </c>
      <c r="B59" s="2" t="s">
        <v>174</v>
      </c>
      <c r="C59" s="7">
        <v>46037</v>
      </c>
      <c r="D59" s="7"/>
      <c r="E59" s="7" t="s">
        <v>219</v>
      </c>
      <c r="F59" s="7">
        <f t="shared" si="7"/>
        <v>46402</v>
      </c>
      <c r="G59" s="22">
        <v>0.33999999999999986</v>
      </c>
      <c r="H59" s="22">
        <v>2.5</v>
      </c>
      <c r="I59" s="22">
        <f t="shared" si="3"/>
        <v>1.5099999999999998</v>
      </c>
      <c r="J59" s="22">
        <f t="shared" si="4"/>
        <v>3.75</v>
      </c>
      <c r="K59" s="4">
        <v>4.5</v>
      </c>
      <c r="L59" s="4">
        <v>1.5</v>
      </c>
      <c r="M59" s="4">
        <v>0</v>
      </c>
      <c r="N59" s="4">
        <v>0</v>
      </c>
      <c r="O59" s="4">
        <v>3</v>
      </c>
      <c r="P59" s="6">
        <f t="shared" si="8"/>
        <v>9.9999999999997868E-3</v>
      </c>
      <c r="Q59" s="6">
        <f t="shared" si="9"/>
        <v>3.75</v>
      </c>
    </row>
    <row r="60" spans="1:17" x14ac:dyDescent="0.45">
      <c r="A60" s="1" t="s">
        <v>175</v>
      </c>
      <c r="B60" s="2" t="s">
        <v>176</v>
      </c>
      <c r="C60" s="7">
        <v>46062</v>
      </c>
      <c r="D60" s="7"/>
      <c r="E60" s="7" t="s">
        <v>219</v>
      </c>
      <c r="F60" s="7">
        <f t="shared" ref="F60:F66" si="10">C60+365</f>
        <v>46427</v>
      </c>
      <c r="G60" s="22">
        <v>0.33999999999999986</v>
      </c>
      <c r="H60" s="22">
        <v>2.5</v>
      </c>
      <c r="I60" s="22">
        <f t="shared" ref="I60:I73" si="11">G60+1.17</f>
        <v>1.5099999999999998</v>
      </c>
      <c r="J60" s="22">
        <f t="shared" ref="J60:J73" si="12">H60+1.25</f>
        <v>3.75</v>
      </c>
      <c r="K60" s="4">
        <v>8</v>
      </c>
      <c r="L60" s="4">
        <v>1.5</v>
      </c>
      <c r="M60" s="4">
        <v>0</v>
      </c>
      <c r="N60" s="4">
        <v>0</v>
      </c>
      <c r="O60" s="4">
        <v>6.5</v>
      </c>
      <c r="P60" s="6">
        <f t="shared" si="8"/>
        <v>9.9999999999997868E-3</v>
      </c>
      <c r="Q60" s="6">
        <f t="shared" si="9"/>
        <v>3.75</v>
      </c>
    </row>
    <row r="61" spans="1:17" x14ac:dyDescent="0.45">
      <c r="A61" s="1" t="s">
        <v>177</v>
      </c>
      <c r="B61" s="2" t="s">
        <v>178</v>
      </c>
      <c r="C61" s="7">
        <v>46062</v>
      </c>
      <c r="D61" s="7"/>
      <c r="E61" s="7" t="s">
        <v>219</v>
      </c>
      <c r="F61" s="7">
        <f t="shared" si="10"/>
        <v>46427</v>
      </c>
      <c r="G61" s="22">
        <v>1.3399999999999999</v>
      </c>
      <c r="H61" s="22">
        <v>2.5</v>
      </c>
      <c r="I61" s="22">
        <f t="shared" si="11"/>
        <v>2.5099999999999998</v>
      </c>
      <c r="J61" s="22">
        <f t="shared" si="12"/>
        <v>3.75</v>
      </c>
      <c r="K61" s="4">
        <v>10</v>
      </c>
      <c r="L61" s="21">
        <v>2.5</v>
      </c>
      <c r="M61" s="4">
        <v>0</v>
      </c>
      <c r="N61" s="4">
        <v>0</v>
      </c>
      <c r="O61" s="4">
        <v>7.5</v>
      </c>
      <c r="P61" s="6">
        <f t="shared" si="8"/>
        <v>9.9999999999997868E-3</v>
      </c>
      <c r="Q61" s="6">
        <f t="shared" si="9"/>
        <v>3.75</v>
      </c>
    </row>
    <row r="62" spans="1:17" x14ac:dyDescent="0.45">
      <c r="A62" s="1" t="s">
        <v>179</v>
      </c>
      <c r="B62" s="2" t="s">
        <v>180</v>
      </c>
      <c r="C62" s="7">
        <v>46062</v>
      </c>
      <c r="D62" s="7"/>
      <c r="E62" s="7" t="s">
        <v>219</v>
      </c>
      <c r="F62" s="7">
        <f t="shared" si="10"/>
        <v>46427</v>
      </c>
      <c r="G62" s="22">
        <v>0.33999999999999986</v>
      </c>
      <c r="H62" s="22">
        <v>2.5</v>
      </c>
      <c r="I62" s="22">
        <f t="shared" si="11"/>
        <v>1.5099999999999998</v>
      </c>
      <c r="J62" s="22">
        <f t="shared" si="12"/>
        <v>3.75</v>
      </c>
      <c r="K62" s="4">
        <v>4</v>
      </c>
      <c r="L62" s="4">
        <v>1.5</v>
      </c>
      <c r="M62" s="4">
        <v>0</v>
      </c>
      <c r="N62" s="4">
        <v>0</v>
      </c>
      <c r="O62" s="4">
        <v>2.5</v>
      </c>
      <c r="P62" s="6">
        <f t="shared" si="8"/>
        <v>9.9999999999997868E-3</v>
      </c>
      <c r="Q62" s="6">
        <f t="shared" si="9"/>
        <v>3.75</v>
      </c>
    </row>
    <row r="63" spans="1:17" x14ac:dyDescent="0.45">
      <c r="A63" s="1" t="s">
        <v>181</v>
      </c>
      <c r="B63" s="2" t="s">
        <v>182</v>
      </c>
      <c r="C63" s="7">
        <v>46069</v>
      </c>
      <c r="D63" s="7"/>
      <c r="E63" s="7" t="s">
        <v>219</v>
      </c>
      <c r="F63" s="7">
        <f t="shared" si="10"/>
        <v>46434</v>
      </c>
      <c r="G63" s="22">
        <v>0.17333333333333334</v>
      </c>
      <c r="H63" s="22">
        <v>2.5</v>
      </c>
      <c r="I63" s="22">
        <f t="shared" si="11"/>
        <v>1.3433333333333333</v>
      </c>
      <c r="J63" s="22">
        <f t="shared" si="12"/>
        <v>3.75</v>
      </c>
      <c r="K63" s="4">
        <v>6</v>
      </c>
      <c r="L63" s="4">
        <v>1</v>
      </c>
      <c r="M63" s="4">
        <v>0</v>
      </c>
      <c r="N63" s="4">
        <v>0</v>
      </c>
      <c r="O63" s="4">
        <v>5</v>
      </c>
      <c r="P63" s="6">
        <f t="shared" si="8"/>
        <v>0.34333333333333327</v>
      </c>
      <c r="Q63" s="6">
        <f t="shared" si="9"/>
        <v>3.75</v>
      </c>
    </row>
    <row r="64" spans="1:17" x14ac:dyDescent="0.45">
      <c r="A64" s="1" t="s">
        <v>183</v>
      </c>
      <c r="B64" s="2" t="s">
        <v>184</v>
      </c>
      <c r="C64" s="7">
        <v>46083</v>
      </c>
      <c r="D64" s="7"/>
      <c r="E64" s="7" t="s">
        <v>219</v>
      </c>
      <c r="F64" s="7">
        <f t="shared" si="10"/>
        <v>46448</v>
      </c>
      <c r="G64" s="22">
        <v>1.5066666666666668</v>
      </c>
      <c r="H64" s="22">
        <v>2.5</v>
      </c>
      <c r="I64" s="22">
        <f t="shared" si="11"/>
        <v>2.6766666666666667</v>
      </c>
      <c r="J64" s="22">
        <f t="shared" si="12"/>
        <v>3.75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6">
        <f t="shared" si="8"/>
        <v>2.6766666666666667</v>
      </c>
      <c r="Q64" s="6">
        <f t="shared" si="9"/>
        <v>3.75</v>
      </c>
    </row>
    <row r="65" spans="1:17" s="8" customFormat="1" x14ac:dyDescent="0.45">
      <c r="A65" s="7" t="s">
        <v>217</v>
      </c>
      <c r="B65" s="7" t="s">
        <v>186</v>
      </c>
      <c r="C65" s="7">
        <v>46120</v>
      </c>
      <c r="D65" s="24"/>
      <c r="E65" s="7" t="s">
        <v>219</v>
      </c>
      <c r="F65" s="24">
        <f t="shared" si="10"/>
        <v>46485</v>
      </c>
      <c r="G65" s="25">
        <v>0.33999999999999986</v>
      </c>
      <c r="H65" s="25">
        <v>2.5</v>
      </c>
      <c r="I65" s="22">
        <f t="shared" si="11"/>
        <v>1.5099999999999998</v>
      </c>
      <c r="J65" s="22">
        <f t="shared" si="12"/>
        <v>3.75</v>
      </c>
      <c r="K65" s="4">
        <v>0.5</v>
      </c>
      <c r="L65" s="31">
        <v>0.5</v>
      </c>
      <c r="M65" s="4">
        <v>0</v>
      </c>
      <c r="N65" s="4">
        <v>0</v>
      </c>
      <c r="O65" s="4">
        <v>0</v>
      </c>
      <c r="P65" s="6">
        <f t="shared" si="8"/>
        <v>1.0099999999999998</v>
      </c>
      <c r="Q65" s="6">
        <f t="shared" si="9"/>
        <v>3.75</v>
      </c>
    </row>
    <row r="66" spans="1:17" x14ac:dyDescent="0.45">
      <c r="A66" s="1" t="s">
        <v>214</v>
      </c>
      <c r="B66" s="2" t="s">
        <v>215</v>
      </c>
      <c r="C66" s="7">
        <v>46167</v>
      </c>
      <c r="D66" s="7"/>
      <c r="E66" s="7" t="s">
        <v>219</v>
      </c>
      <c r="F66" s="7">
        <f t="shared" si="10"/>
        <v>46532</v>
      </c>
      <c r="G66" s="22">
        <v>0.16999999999999993</v>
      </c>
      <c r="H66" s="22">
        <v>1.25</v>
      </c>
      <c r="I66" s="22">
        <f t="shared" si="11"/>
        <v>1.3399999999999999</v>
      </c>
      <c r="J66" s="22">
        <f t="shared" si="12"/>
        <v>2.5</v>
      </c>
      <c r="K66" s="4">
        <v>5.5</v>
      </c>
      <c r="L66" s="4">
        <v>1</v>
      </c>
      <c r="M66" s="4">
        <v>0</v>
      </c>
      <c r="N66" s="4">
        <v>0</v>
      </c>
      <c r="O66" s="4">
        <v>4.5</v>
      </c>
      <c r="P66" s="6">
        <f t="shared" ref="P66:P77" si="13">I66-L66</f>
        <v>0.33999999999999986</v>
      </c>
      <c r="Q66" s="6">
        <f t="shared" ref="Q66:Q77" si="14">J66-M66</f>
        <v>2.5</v>
      </c>
    </row>
    <row r="67" spans="1:17" x14ac:dyDescent="0.45">
      <c r="A67" s="1" t="s">
        <v>208</v>
      </c>
      <c r="B67" s="2" t="s">
        <v>207</v>
      </c>
      <c r="C67" s="7">
        <v>45887</v>
      </c>
      <c r="D67" s="7"/>
      <c r="E67" s="7" t="s">
        <v>219</v>
      </c>
      <c r="F67" s="7">
        <f t="shared" ref="F67:F77" si="15">C67+365</f>
        <v>46252</v>
      </c>
      <c r="G67" s="22">
        <v>1.0099999999999998</v>
      </c>
      <c r="H67" s="22">
        <v>12.5</v>
      </c>
      <c r="I67" s="22">
        <f t="shared" si="11"/>
        <v>2.1799999999999997</v>
      </c>
      <c r="J67" s="22">
        <f t="shared" si="12"/>
        <v>13.75</v>
      </c>
      <c r="K67" s="4">
        <v>1</v>
      </c>
      <c r="L67" s="4">
        <v>1</v>
      </c>
      <c r="M67" s="4">
        <v>0</v>
      </c>
      <c r="N67" s="4">
        <v>0</v>
      </c>
      <c r="O67" s="4">
        <v>0</v>
      </c>
      <c r="P67" s="6">
        <f t="shared" si="13"/>
        <v>1.1799999999999997</v>
      </c>
      <c r="Q67" s="6">
        <f t="shared" si="14"/>
        <v>13.75</v>
      </c>
    </row>
    <row r="68" spans="1:17" x14ac:dyDescent="0.45">
      <c r="A68" s="1" t="s">
        <v>209</v>
      </c>
      <c r="B68" s="2" t="s">
        <v>216</v>
      </c>
      <c r="C68" s="7">
        <v>46083</v>
      </c>
      <c r="D68" s="7"/>
      <c r="E68" s="7" t="s">
        <v>219</v>
      </c>
      <c r="F68" s="7">
        <f t="shared" si="15"/>
        <v>46448</v>
      </c>
      <c r="G68" s="22">
        <v>1.1799999999999997</v>
      </c>
      <c r="H68" s="22">
        <v>7.18</v>
      </c>
      <c r="I68" s="22">
        <f t="shared" si="11"/>
        <v>2.3499999999999996</v>
      </c>
      <c r="J68" s="22">
        <f t="shared" si="12"/>
        <v>8.43</v>
      </c>
      <c r="K68" s="4">
        <v>2.5</v>
      </c>
      <c r="L68" s="31">
        <v>2</v>
      </c>
      <c r="M68" s="4">
        <v>0</v>
      </c>
      <c r="N68" s="4">
        <v>0</v>
      </c>
      <c r="O68" s="4">
        <v>0.5</v>
      </c>
      <c r="P68" s="6">
        <f t="shared" si="13"/>
        <v>0.34999999999999964</v>
      </c>
      <c r="Q68" s="6">
        <f t="shared" si="14"/>
        <v>8.43</v>
      </c>
    </row>
    <row r="69" spans="1:17" x14ac:dyDescent="0.45">
      <c r="A69" s="1" t="s">
        <v>210</v>
      </c>
      <c r="B69" s="2" t="s">
        <v>211</v>
      </c>
      <c r="C69" s="7">
        <v>46132</v>
      </c>
      <c r="D69" s="7"/>
      <c r="E69" s="7" t="s">
        <v>219</v>
      </c>
      <c r="F69" s="7">
        <f t="shared" si="15"/>
        <v>46497</v>
      </c>
      <c r="G69" s="22">
        <v>0.33999999999999986</v>
      </c>
      <c r="H69" s="22">
        <v>4.84</v>
      </c>
      <c r="I69" s="22">
        <f t="shared" si="11"/>
        <v>1.5099999999999998</v>
      </c>
      <c r="J69" s="22">
        <f t="shared" si="12"/>
        <v>6.09</v>
      </c>
      <c r="K69" s="4">
        <v>4.5</v>
      </c>
      <c r="L69" s="4">
        <v>1.5</v>
      </c>
      <c r="M69" s="4">
        <v>0</v>
      </c>
      <c r="N69" s="4">
        <v>0</v>
      </c>
      <c r="O69" s="4">
        <v>3</v>
      </c>
      <c r="P69" s="6">
        <f t="shared" si="13"/>
        <v>9.9999999999997868E-3</v>
      </c>
      <c r="Q69" s="6">
        <f t="shared" si="14"/>
        <v>6.09</v>
      </c>
    </row>
    <row r="70" spans="1:17" x14ac:dyDescent="0.45">
      <c r="A70" s="1" t="s">
        <v>212</v>
      </c>
      <c r="B70" s="2" t="s">
        <v>213</v>
      </c>
      <c r="C70" s="7">
        <v>46160</v>
      </c>
      <c r="D70" s="7"/>
      <c r="E70" s="7" t="s">
        <v>219</v>
      </c>
      <c r="F70" s="7">
        <f t="shared" si="15"/>
        <v>46525</v>
      </c>
      <c r="G70" s="22">
        <v>0.16999999999999993</v>
      </c>
      <c r="H70" s="22">
        <v>1.25</v>
      </c>
      <c r="I70" s="22">
        <f t="shared" si="11"/>
        <v>1.3399999999999999</v>
      </c>
      <c r="J70" s="22">
        <f t="shared" si="12"/>
        <v>2.5</v>
      </c>
      <c r="K70" s="4">
        <v>2</v>
      </c>
      <c r="L70" s="4">
        <v>1</v>
      </c>
      <c r="M70" s="4">
        <v>0</v>
      </c>
      <c r="N70" s="4">
        <v>0</v>
      </c>
      <c r="O70" s="4">
        <v>1</v>
      </c>
      <c r="P70" s="6">
        <f t="shared" si="13"/>
        <v>0.33999999999999986</v>
      </c>
      <c r="Q70" s="6">
        <f t="shared" si="14"/>
        <v>2.5</v>
      </c>
    </row>
    <row r="71" spans="1:17" x14ac:dyDescent="0.45">
      <c r="A71" s="1" t="s">
        <v>227</v>
      </c>
      <c r="B71" s="2" t="s">
        <v>228</v>
      </c>
      <c r="C71" s="7">
        <v>46174</v>
      </c>
      <c r="D71" s="7"/>
      <c r="E71" s="7" t="s">
        <v>219</v>
      </c>
      <c r="F71" s="7">
        <f t="shared" si="15"/>
        <v>46539</v>
      </c>
      <c r="G71" s="22">
        <v>0.66999999999999993</v>
      </c>
      <c r="H71" s="22">
        <v>1.25</v>
      </c>
      <c r="I71" s="22">
        <f t="shared" si="11"/>
        <v>1.8399999999999999</v>
      </c>
      <c r="J71" s="22">
        <f t="shared" si="12"/>
        <v>2.5</v>
      </c>
      <c r="K71" s="4">
        <v>1.5</v>
      </c>
      <c r="L71" s="4">
        <v>1.5</v>
      </c>
      <c r="M71" s="4">
        <v>0</v>
      </c>
      <c r="N71" s="4">
        <v>0</v>
      </c>
      <c r="O71" s="4">
        <v>0</v>
      </c>
      <c r="P71" s="6">
        <f t="shared" si="13"/>
        <v>0.33999999999999986</v>
      </c>
      <c r="Q71" s="6">
        <f t="shared" si="14"/>
        <v>2.5</v>
      </c>
    </row>
    <row r="72" spans="1:17" x14ac:dyDescent="0.45">
      <c r="A72" s="1" t="s">
        <v>253</v>
      </c>
      <c r="B72" s="2" t="s">
        <v>254</v>
      </c>
      <c r="C72" s="7">
        <v>46195</v>
      </c>
      <c r="D72" s="7"/>
      <c r="E72" s="7" t="s">
        <v>219</v>
      </c>
      <c r="F72" s="7">
        <f t="shared" si="15"/>
        <v>46560</v>
      </c>
      <c r="G72" s="22">
        <v>0</v>
      </c>
      <c r="H72" s="22">
        <v>0</v>
      </c>
      <c r="I72" s="22">
        <f t="shared" si="11"/>
        <v>1.17</v>
      </c>
      <c r="J72" s="22">
        <f t="shared" si="12"/>
        <v>1.25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6">
        <f t="shared" si="13"/>
        <v>1.17</v>
      </c>
      <c r="Q72" s="6">
        <f t="shared" si="14"/>
        <v>1.25</v>
      </c>
    </row>
    <row r="73" spans="1:17" x14ac:dyDescent="0.45">
      <c r="A73" s="1" t="s">
        <v>255</v>
      </c>
      <c r="B73" s="2" t="s">
        <v>256</v>
      </c>
      <c r="C73" s="7">
        <v>46195</v>
      </c>
      <c r="D73" s="7"/>
      <c r="E73" s="7" t="s">
        <v>219</v>
      </c>
      <c r="F73" s="7">
        <f t="shared" si="15"/>
        <v>46560</v>
      </c>
      <c r="G73" s="22">
        <v>0</v>
      </c>
      <c r="H73" s="22">
        <v>0</v>
      </c>
      <c r="I73" s="22">
        <f t="shared" si="11"/>
        <v>1.17</v>
      </c>
      <c r="J73" s="22">
        <f t="shared" si="12"/>
        <v>1.25</v>
      </c>
      <c r="K73" s="4">
        <v>1.5</v>
      </c>
      <c r="L73" s="4">
        <v>1</v>
      </c>
      <c r="M73" s="4">
        <v>0</v>
      </c>
      <c r="N73" s="4">
        <v>0</v>
      </c>
      <c r="O73" s="4">
        <v>0.5</v>
      </c>
      <c r="P73" s="6">
        <f t="shared" si="13"/>
        <v>0.16999999999999993</v>
      </c>
      <c r="Q73" s="6">
        <f t="shared" si="14"/>
        <v>1.25</v>
      </c>
    </row>
    <row r="74" spans="1:17" x14ac:dyDescent="0.45">
      <c r="A74" s="1" t="s">
        <v>237</v>
      </c>
      <c r="B74" s="2" t="s">
        <v>238</v>
      </c>
      <c r="C74" s="7">
        <v>46223</v>
      </c>
      <c r="D74" s="7"/>
      <c r="E74" s="7" t="s">
        <v>219</v>
      </c>
      <c r="F74" s="7">
        <f t="shared" si="15"/>
        <v>46588</v>
      </c>
      <c r="G74" s="22">
        <v>0</v>
      </c>
      <c r="H74" s="22">
        <v>0</v>
      </c>
      <c r="I74" s="22">
        <f t="shared" ref="I74:I77" si="16">G74+1.17</f>
        <v>1.17</v>
      </c>
      <c r="J74" s="22">
        <f t="shared" ref="J74:J77" si="17">H74+1.25</f>
        <v>1.25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6">
        <f t="shared" si="13"/>
        <v>1.17</v>
      </c>
      <c r="Q74" s="6">
        <f t="shared" si="14"/>
        <v>1.25</v>
      </c>
    </row>
    <row r="75" spans="1:17" x14ac:dyDescent="0.45">
      <c r="A75" s="1" t="s">
        <v>239</v>
      </c>
      <c r="B75" s="2" t="s">
        <v>240</v>
      </c>
      <c r="C75" s="7">
        <v>46223</v>
      </c>
      <c r="D75" s="7"/>
      <c r="E75" s="7" t="s">
        <v>219</v>
      </c>
      <c r="F75" s="7">
        <f t="shared" si="15"/>
        <v>46588</v>
      </c>
      <c r="G75" s="22">
        <v>0</v>
      </c>
      <c r="H75" s="22">
        <v>0</v>
      </c>
      <c r="I75" s="22">
        <f>G75</f>
        <v>0</v>
      </c>
      <c r="J75" s="22">
        <f>H75</f>
        <v>0</v>
      </c>
      <c r="K75" s="4">
        <v>1</v>
      </c>
      <c r="L75" s="4">
        <v>0</v>
      </c>
      <c r="M75" s="4">
        <v>0</v>
      </c>
      <c r="N75" s="4">
        <v>0</v>
      </c>
      <c r="O75" s="4">
        <v>1</v>
      </c>
      <c r="P75" s="6">
        <f t="shared" si="13"/>
        <v>0</v>
      </c>
      <c r="Q75" s="6">
        <f t="shared" si="14"/>
        <v>0</v>
      </c>
    </row>
    <row r="76" spans="1:17" x14ac:dyDescent="0.45">
      <c r="A76" s="1" t="s">
        <v>257</v>
      </c>
      <c r="B76" s="2" t="s">
        <v>258</v>
      </c>
      <c r="C76" s="7">
        <v>46209</v>
      </c>
      <c r="D76" s="7"/>
      <c r="E76" s="7" t="s">
        <v>219</v>
      </c>
      <c r="F76" s="7">
        <f t="shared" si="15"/>
        <v>46574</v>
      </c>
      <c r="G76" s="22">
        <v>0</v>
      </c>
      <c r="H76" s="22">
        <v>0</v>
      </c>
      <c r="I76" s="22">
        <f t="shared" si="16"/>
        <v>1.17</v>
      </c>
      <c r="J76" s="22">
        <f t="shared" si="17"/>
        <v>1.25</v>
      </c>
      <c r="K76" s="4">
        <v>4</v>
      </c>
      <c r="L76" s="4">
        <v>1</v>
      </c>
      <c r="M76" s="4">
        <v>0</v>
      </c>
      <c r="N76" s="4">
        <v>0</v>
      </c>
      <c r="O76" s="4">
        <v>3</v>
      </c>
      <c r="P76" s="6">
        <f t="shared" si="13"/>
        <v>0.16999999999999993</v>
      </c>
      <c r="Q76" s="6">
        <f t="shared" si="14"/>
        <v>1.25</v>
      </c>
    </row>
    <row r="77" spans="1:17" x14ac:dyDescent="0.45">
      <c r="A77" s="1" t="s">
        <v>259</v>
      </c>
      <c r="B77" s="2" t="s">
        <v>260</v>
      </c>
      <c r="C77" s="7">
        <v>46218</v>
      </c>
      <c r="D77" s="7"/>
      <c r="E77" s="7" t="s">
        <v>219</v>
      </c>
      <c r="F77" s="7">
        <f t="shared" si="15"/>
        <v>46583</v>
      </c>
      <c r="G77" s="22">
        <v>0</v>
      </c>
      <c r="H77" s="22">
        <v>0</v>
      </c>
      <c r="I77" s="22">
        <f t="shared" si="16"/>
        <v>1.17</v>
      </c>
      <c r="J77" s="22">
        <f t="shared" si="17"/>
        <v>1.25</v>
      </c>
      <c r="K77" s="4">
        <v>1</v>
      </c>
      <c r="L77" s="4">
        <v>1</v>
      </c>
      <c r="M77" s="4">
        <v>0</v>
      </c>
      <c r="N77" s="4">
        <v>0</v>
      </c>
      <c r="O77" s="4">
        <v>0</v>
      </c>
      <c r="P77" s="6">
        <f t="shared" si="13"/>
        <v>0.16999999999999993</v>
      </c>
      <c r="Q77" s="6">
        <f t="shared" si="14"/>
        <v>1.25</v>
      </c>
    </row>
  </sheetData>
  <autoFilter ref="A1:Q77" xr:uid="{B43083C5-0920-40DC-A818-8374E7B15EAD}"/>
  <hyperlinks>
    <hyperlink ref="B41" r:id="rId1" xr:uid="{A0C93DFC-2F17-4CE8-93D4-7A24D374A7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5B89-E349-4259-998C-8EB89879EA34}">
  <dimension ref="A1:T46"/>
  <sheetViews>
    <sheetView tabSelected="1" workbookViewId="0">
      <pane ySplit="1" topLeftCell="A36" activePane="bottomLeft" state="frozen"/>
      <selection pane="bottomLeft" activeCell="A45" sqref="A45"/>
    </sheetView>
  </sheetViews>
  <sheetFormatPr defaultRowHeight="14.25" x14ac:dyDescent="0.45"/>
  <cols>
    <col min="1" max="1" width="14.33203125" bestFit="1" customWidth="1"/>
    <col min="2" max="2" width="29.06640625" bestFit="1" customWidth="1"/>
    <col min="3" max="3" width="9.9296875" bestFit="1" customWidth="1"/>
    <col min="4" max="4" width="11.3984375" bestFit="1" customWidth="1"/>
    <col min="5" max="5" width="21.73046875" bestFit="1" customWidth="1"/>
    <col min="6" max="6" width="28.33203125" bestFit="1" customWidth="1"/>
    <col min="7" max="7" width="28.265625" bestFit="1" customWidth="1"/>
    <col min="8" max="8" width="28.265625" customWidth="1"/>
    <col min="9" max="9" width="22" bestFit="1" customWidth="1"/>
    <col min="10" max="10" width="21.9296875" bestFit="1" customWidth="1"/>
    <col min="11" max="11" width="21.53125" bestFit="1" customWidth="1"/>
    <col min="12" max="12" width="18.796875" bestFit="1" customWidth="1"/>
    <col min="13" max="13" width="18.796875" customWidth="1"/>
    <col min="14" max="14" width="12.73046875" bestFit="1" customWidth="1"/>
    <col min="15" max="15" width="10.46484375" style="20" bestFit="1" customWidth="1"/>
    <col min="16" max="16" width="13.33203125" bestFit="1" customWidth="1"/>
    <col min="17" max="17" width="16.59765625" bestFit="1" customWidth="1"/>
    <col min="18" max="18" width="20.86328125" bestFit="1" customWidth="1"/>
    <col min="19" max="19" width="20.3984375" bestFit="1" customWidth="1"/>
    <col min="20" max="20" width="17.06640625" bestFit="1" customWidth="1"/>
  </cols>
  <sheetData>
    <row r="1" spans="1:20" ht="15.75" x14ac:dyDescent="0.45">
      <c r="A1" s="3" t="s">
        <v>0</v>
      </c>
      <c r="B1" s="3" t="s">
        <v>1</v>
      </c>
      <c r="C1" s="3" t="s">
        <v>190</v>
      </c>
      <c r="D1" s="3" t="s">
        <v>187</v>
      </c>
      <c r="E1" s="3" t="s">
        <v>206</v>
      </c>
      <c r="F1" s="3" t="s">
        <v>231</v>
      </c>
      <c r="G1" s="3" t="s">
        <v>232</v>
      </c>
      <c r="H1" s="3" t="s">
        <v>251</v>
      </c>
      <c r="I1" s="3" t="s">
        <v>233</v>
      </c>
      <c r="J1" s="3" t="s">
        <v>234</v>
      </c>
      <c r="K1" s="3" t="s">
        <v>201</v>
      </c>
      <c r="L1" s="3" t="s">
        <v>250</v>
      </c>
      <c r="M1" s="3" t="s">
        <v>249</v>
      </c>
      <c r="N1" s="3" t="s">
        <v>202</v>
      </c>
      <c r="O1" s="19" t="s">
        <v>203</v>
      </c>
      <c r="P1" s="3" t="s">
        <v>226</v>
      </c>
      <c r="Q1" s="3" t="s">
        <v>205</v>
      </c>
      <c r="R1" s="3" t="s">
        <v>235</v>
      </c>
      <c r="S1" s="3" t="s">
        <v>236</v>
      </c>
      <c r="T1" s="3" t="s">
        <v>252</v>
      </c>
    </row>
    <row r="2" spans="1:20" ht="15.75" x14ac:dyDescent="0.5">
      <c r="A2" s="12" t="s">
        <v>2</v>
      </c>
      <c r="B2" s="12" t="s">
        <v>3</v>
      </c>
      <c r="C2" s="10">
        <v>43589</v>
      </c>
      <c r="D2" s="13"/>
      <c r="E2" s="13">
        <f>C2+365</f>
        <v>43954</v>
      </c>
      <c r="F2" s="14">
        <v>3.0066666666666668</v>
      </c>
      <c r="G2" s="14">
        <v>18</v>
      </c>
      <c r="H2" s="14">
        <v>0</v>
      </c>
      <c r="I2" s="14">
        <f>F2+1.17</f>
        <v>4.1766666666666667</v>
      </c>
      <c r="J2" s="14">
        <f>G2+1.25</f>
        <v>19.25</v>
      </c>
      <c r="K2" s="5">
        <v>0</v>
      </c>
      <c r="L2" s="5">
        <v>0</v>
      </c>
      <c r="M2" s="14">
        <f>H2+L2</f>
        <v>0</v>
      </c>
      <c r="N2" s="14">
        <v>0</v>
      </c>
      <c r="O2" s="28">
        <v>0</v>
      </c>
      <c r="P2" s="28">
        <v>0</v>
      </c>
      <c r="Q2" s="6">
        <v>0</v>
      </c>
      <c r="R2" s="6">
        <f t="shared" ref="R2:R46" si="0">I2-N2</f>
        <v>4.1766666666666667</v>
      </c>
      <c r="S2" s="6">
        <f t="shared" ref="S2:S46" si="1">J2-O2</f>
        <v>19.25</v>
      </c>
      <c r="T2" s="6">
        <f>M2-P2</f>
        <v>0</v>
      </c>
    </row>
    <row r="3" spans="1:20" ht="15.75" x14ac:dyDescent="0.5">
      <c r="A3" s="12" t="s">
        <v>4</v>
      </c>
      <c r="B3" s="12" t="s">
        <v>5</v>
      </c>
      <c r="C3" s="10">
        <v>45757</v>
      </c>
      <c r="D3" s="13"/>
      <c r="E3" s="13">
        <f t="shared" ref="E3:E46" si="2">C3+365</f>
        <v>46122</v>
      </c>
      <c r="F3" s="14">
        <v>6.6666666666668206E-3</v>
      </c>
      <c r="G3" s="14">
        <v>15.75</v>
      </c>
      <c r="H3" s="14">
        <v>0</v>
      </c>
      <c r="I3" s="14">
        <f t="shared" ref="I3:I46" si="3">F3+1.17</f>
        <v>1.1766666666666667</v>
      </c>
      <c r="J3" s="14">
        <f t="shared" ref="J3:J46" si="4">G3+1.25</f>
        <v>17</v>
      </c>
      <c r="K3" s="5">
        <v>0</v>
      </c>
      <c r="L3" s="5">
        <v>0</v>
      </c>
      <c r="M3" s="14">
        <f t="shared" ref="M3:M46" si="5">H3+L3</f>
        <v>0</v>
      </c>
      <c r="N3" s="14">
        <v>0</v>
      </c>
      <c r="O3" s="28">
        <v>0</v>
      </c>
      <c r="P3" s="28">
        <v>0</v>
      </c>
      <c r="Q3" s="6">
        <v>0</v>
      </c>
      <c r="R3" s="6">
        <f t="shared" si="0"/>
        <v>1.1766666666666667</v>
      </c>
      <c r="S3" s="6">
        <f t="shared" si="1"/>
        <v>17</v>
      </c>
      <c r="T3" s="6">
        <f t="shared" ref="T3:T46" si="6">M3-P3</f>
        <v>0</v>
      </c>
    </row>
    <row r="4" spans="1:20" ht="15.75" x14ac:dyDescent="0.5">
      <c r="A4" s="12" t="s">
        <v>6</v>
      </c>
      <c r="B4" s="12" t="s">
        <v>7</v>
      </c>
      <c r="C4" s="10">
        <v>45784</v>
      </c>
      <c r="D4" s="13"/>
      <c r="E4" s="13">
        <f t="shared" si="2"/>
        <v>46149</v>
      </c>
      <c r="F4" s="14">
        <v>4.0066666666666668</v>
      </c>
      <c r="G4" s="14">
        <v>2.5</v>
      </c>
      <c r="H4" s="14">
        <v>3</v>
      </c>
      <c r="I4" s="14">
        <f t="shared" si="3"/>
        <v>5.1766666666666667</v>
      </c>
      <c r="J4" s="14">
        <f t="shared" si="4"/>
        <v>3.75</v>
      </c>
      <c r="K4" s="5">
        <v>2</v>
      </c>
      <c r="L4" s="5">
        <v>4</v>
      </c>
      <c r="M4" s="14">
        <f t="shared" si="5"/>
        <v>7</v>
      </c>
      <c r="N4" s="14">
        <v>2</v>
      </c>
      <c r="O4" s="29">
        <v>0</v>
      </c>
      <c r="P4" s="29">
        <v>0</v>
      </c>
      <c r="Q4" s="6">
        <v>0</v>
      </c>
      <c r="R4" s="6">
        <f t="shared" si="0"/>
        <v>3.1766666666666667</v>
      </c>
      <c r="S4" s="6">
        <f t="shared" si="1"/>
        <v>3.75</v>
      </c>
      <c r="T4" s="6">
        <f t="shared" si="6"/>
        <v>7</v>
      </c>
    </row>
    <row r="5" spans="1:20" ht="15.75" x14ac:dyDescent="0.5">
      <c r="A5" s="12" t="s">
        <v>8</v>
      </c>
      <c r="B5" s="12" t="s">
        <v>9</v>
      </c>
      <c r="C5" s="10">
        <v>45908</v>
      </c>
      <c r="D5" s="13"/>
      <c r="E5" s="13">
        <f t="shared" si="2"/>
        <v>46273</v>
      </c>
      <c r="F5" s="14">
        <v>6.6666666666668206E-3</v>
      </c>
      <c r="G5" s="14">
        <v>2.5</v>
      </c>
      <c r="H5" s="14">
        <v>1</v>
      </c>
      <c r="I5" s="14">
        <f t="shared" si="3"/>
        <v>1.1766666666666667</v>
      </c>
      <c r="J5" s="14">
        <f t="shared" si="4"/>
        <v>3.75</v>
      </c>
      <c r="K5" s="5">
        <v>2.5</v>
      </c>
      <c r="L5" s="5">
        <v>4</v>
      </c>
      <c r="M5" s="14">
        <f t="shared" si="5"/>
        <v>5</v>
      </c>
      <c r="N5" s="14">
        <v>1</v>
      </c>
      <c r="O5" s="29">
        <v>0</v>
      </c>
      <c r="P5" s="29">
        <v>1.5</v>
      </c>
      <c r="Q5" s="6">
        <v>0</v>
      </c>
      <c r="R5" s="6">
        <f t="shared" si="0"/>
        <v>0.17666666666666675</v>
      </c>
      <c r="S5" s="6">
        <f t="shared" si="1"/>
        <v>3.75</v>
      </c>
      <c r="T5" s="6">
        <f t="shared" si="6"/>
        <v>3.5</v>
      </c>
    </row>
    <row r="6" spans="1:20" ht="15.75" x14ac:dyDescent="0.5">
      <c r="A6" s="12" t="s">
        <v>10</v>
      </c>
      <c r="B6" s="12" t="s">
        <v>11</v>
      </c>
      <c r="C6" s="10">
        <v>44156</v>
      </c>
      <c r="D6" s="13"/>
      <c r="E6" s="13">
        <f t="shared" si="2"/>
        <v>44521</v>
      </c>
      <c r="F6" s="14">
        <v>0.50666666666666682</v>
      </c>
      <c r="G6" s="14">
        <v>9.25</v>
      </c>
      <c r="H6" s="14">
        <v>0</v>
      </c>
      <c r="I6" s="14">
        <f t="shared" si="3"/>
        <v>1.6766666666666667</v>
      </c>
      <c r="J6" s="14">
        <f t="shared" si="4"/>
        <v>10.5</v>
      </c>
      <c r="K6" s="5">
        <v>3.5</v>
      </c>
      <c r="L6" s="5">
        <v>0</v>
      </c>
      <c r="M6" s="14">
        <f t="shared" si="5"/>
        <v>0</v>
      </c>
      <c r="N6" s="14">
        <v>1.5</v>
      </c>
      <c r="O6" s="29">
        <v>2</v>
      </c>
      <c r="P6" s="29">
        <v>0</v>
      </c>
      <c r="Q6" s="6">
        <v>0</v>
      </c>
      <c r="R6" s="6">
        <f t="shared" si="0"/>
        <v>0.17666666666666675</v>
      </c>
      <c r="S6" s="6">
        <f t="shared" si="1"/>
        <v>8.5</v>
      </c>
      <c r="T6" s="6">
        <f t="shared" si="6"/>
        <v>0</v>
      </c>
    </row>
    <row r="7" spans="1:20" s="8" customFormat="1" ht="15.75" x14ac:dyDescent="0.5">
      <c r="A7" s="15" t="s">
        <v>12</v>
      </c>
      <c r="B7" s="15" t="s">
        <v>13</v>
      </c>
      <c r="C7" s="17">
        <v>45748</v>
      </c>
      <c r="D7" s="16">
        <v>46234</v>
      </c>
      <c r="E7" s="16">
        <f t="shared" si="2"/>
        <v>46113</v>
      </c>
      <c r="F7" s="18">
        <v>1.5066666666666668</v>
      </c>
      <c r="G7" s="18">
        <v>17.5</v>
      </c>
      <c r="H7" s="14">
        <v>1</v>
      </c>
      <c r="I7" s="18">
        <f>F7</f>
        <v>1.5066666666666668</v>
      </c>
      <c r="J7" s="18">
        <f>G7</f>
        <v>17.5</v>
      </c>
      <c r="K7" s="5">
        <v>3</v>
      </c>
      <c r="L7" s="5">
        <v>0</v>
      </c>
      <c r="M7" s="14">
        <f t="shared" si="5"/>
        <v>1</v>
      </c>
      <c r="N7" s="18">
        <v>0</v>
      </c>
      <c r="O7" s="30">
        <v>0</v>
      </c>
      <c r="P7" s="30">
        <v>0</v>
      </c>
      <c r="Q7" s="26">
        <v>3</v>
      </c>
      <c r="R7" s="26">
        <f t="shared" si="0"/>
        <v>1.5066666666666668</v>
      </c>
      <c r="S7" s="26">
        <f t="shared" si="1"/>
        <v>17.5</v>
      </c>
      <c r="T7" s="6">
        <f t="shared" si="6"/>
        <v>1</v>
      </c>
    </row>
    <row r="8" spans="1:20" ht="15.75" x14ac:dyDescent="0.5">
      <c r="A8" s="12" t="s">
        <v>14</v>
      </c>
      <c r="B8" s="12" t="s">
        <v>15</v>
      </c>
      <c r="C8" s="10">
        <v>45649</v>
      </c>
      <c r="D8" s="13"/>
      <c r="E8" s="13">
        <f t="shared" si="2"/>
        <v>46014</v>
      </c>
      <c r="F8" s="14">
        <v>2.0066666666666668</v>
      </c>
      <c r="G8" s="14">
        <v>21.25</v>
      </c>
      <c r="H8" s="14">
        <v>1</v>
      </c>
      <c r="I8" s="14">
        <f t="shared" si="3"/>
        <v>3.1766666666666667</v>
      </c>
      <c r="J8" s="14">
        <f t="shared" si="4"/>
        <v>22.5</v>
      </c>
      <c r="K8" s="5">
        <v>1</v>
      </c>
      <c r="L8" s="5">
        <v>0</v>
      </c>
      <c r="M8" s="14">
        <f t="shared" si="5"/>
        <v>1</v>
      </c>
      <c r="N8" s="14">
        <v>1</v>
      </c>
      <c r="O8" s="29">
        <v>0</v>
      </c>
      <c r="P8" s="28">
        <v>0</v>
      </c>
      <c r="Q8" s="6">
        <v>0</v>
      </c>
      <c r="R8" s="6">
        <f t="shared" si="0"/>
        <v>2.1766666666666667</v>
      </c>
      <c r="S8" s="6">
        <f t="shared" si="1"/>
        <v>22.5</v>
      </c>
      <c r="T8" s="6">
        <f t="shared" si="6"/>
        <v>1</v>
      </c>
    </row>
    <row r="9" spans="1:20" ht="15.75" x14ac:dyDescent="0.5">
      <c r="A9" s="12" t="s">
        <v>16</v>
      </c>
      <c r="B9" s="12" t="s">
        <v>17</v>
      </c>
      <c r="C9" s="10">
        <v>44531</v>
      </c>
      <c r="D9" s="13"/>
      <c r="E9" s="13">
        <f t="shared" si="2"/>
        <v>44896</v>
      </c>
      <c r="F9" s="14">
        <v>5.0066666666666668</v>
      </c>
      <c r="G9" s="14">
        <v>18.5</v>
      </c>
      <c r="H9" s="14">
        <v>4</v>
      </c>
      <c r="I9" s="14">
        <f t="shared" si="3"/>
        <v>6.1766666666666667</v>
      </c>
      <c r="J9" s="14">
        <f t="shared" si="4"/>
        <v>19.75</v>
      </c>
      <c r="K9" s="5">
        <v>1</v>
      </c>
      <c r="L9" s="5">
        <v>0</v>
      </c>
      <c r="M9" s="14">
        <f t="shared" si="5"/>
        <v>4</v>
      </c>
      <c r="N9" s="14">
        <v>0</v>
      </c>
      <c r="O9" s="28">
        <v>0</v>
      </c>
      <c r="P9" s="28">
        <v>0</v>
      </c>
      <c r="Q9" s="6">
        <v>1</v>
      </c>
      <c r="R9" s="6">
        <f t="shared" si="0"/>
        <v>6.1766666666666667</v>
      </c>
      <c r="S9" s="6">
        <f t="shared" si="1"/>
        <v>19.75</v>
      </c>
      <c r="T9" s="6">
        <f t="shared" si="6"/>
        <v>4</v>
      </c>
    </row>
    <row r="10" spans="1:20" ht="15.75" x14ac:dyDescent="0.5">
      <c r="A10" s="12" t="s">
        <v>18</v>
      </c>
      <c r="B10" s="12" t="s">
        <v>19</v>
      </c>
      <c r="C10" s="10">
        <v>45474</v>
      </c>
      <c r="D10" s="13"/>
      <c r="E10" s="13">
        <f t="shared" si="2"/>
        <v>45839</v>
      </c>
      <c r="F10" s="14">
        <v>3.0066666666666668</v>
      </c>
      <c r="G10" s="14">
        <v>26.75</v>
      </c>
      <c r="H10" s="14">
        <v>1</v>
      </c>
      <c r="I10" s="14">
        <f t="shared" si="3"/>
        <v>4.1766666666666667</v>
      </c>
      <c r="J10" s="14">
        <f t="shared" si="4"/>
        <v>28</v>
      </c>
      <c r="K10" s="5">
        <v>1</v>
      </c>
      <c r="L10" s="5">
        <v>0</v>
      </c>
      <c r="M10" s="14">
        <f t="shared" si="5"/>
        <v>1</v>
      </c>
      <c r="N10" s="14">
        <v>1</v>
      </c>
      <c r="O10" s="29">
        <v>0</v>
      </c>
      <c r="P10" s="28">
        <v>0</v>
      </c>
      <c r="Q10" s="6">
        <v>0</v>
      </c>
      <c r="R10" s="6">
        <f t="shared" si="0"/>
        <v>3.1766666666666667</v>
      </c>
      <c r="S10" s="6">
        <f t="shared" si="1"/>
        <v>28</v>
      </c>
      <c r="T10" s="6">
        <f t="shared" si="6"/>
        <v>1</v>
      </c>
    </row>
    <row r="11" spans="1:20" ht="15.75" x14ac:dyDescent="0.5">
      <c r="A11" s="12" t="s">
        <v>20</v>
      </c>
      <c r="B11" s="12" t="s">
        <v>21</v>
      </c>
      <c r="C11" s="10">
        <v>45500</v>
      </c>
      <c r="D11" s="13"/>
      <c r="E11" s="13">
        <f t="shared" si="2"/>
        <v>45865</v>
      </c>
      <c r="F11" s="14">
        <v>6.6666666666668206E-3</v>
      </c>
      <c r="G11" s="14">
        <v>10.5</v>
      </c>
      <c r="H11" s="14">
        <v>11.5</v>
      </c>
      <c r="I11" s="14">
        <f t="shared" si="3"/>
        <v>1.1766666666666667</v>
      </c>
      <c r="J11" s="14">
        <f t="shared" si="4"/>
        <v>11.75</v>
      </c>
      <c r="K11" s="5">
        <v>1.5</v>
      </c>
      <c r="L11" s="5">
        <v>2</v>
      </c>
      <c r="M11" s="14">
        <f t="shared" si="5"/>
        <v>13.5</v>
      </c>
      <c r="N11" s="14">
        <v>1</v>
      </c>
      <c r="O11" s="29">
        <v>0</v>
      </c>
      <c r="P11" s="29">
        <v>0.5</v>
      </c>
      <c r="Q11" s="6">
        <v>0</v>
      </c>
      <c r="R11" s="6">
        <f t="shared" si="0"/>
        <v>0.17666666666666675</v>
      </c>
      <c r="S11" s="6">
        <f t="shared" si="1"/>
        <v>11.75</v>
      </c>
      <c r="T11" s="6">
        <f t="shared" si="6"/>
        <v>13</v>
      </c>
    </row>
    <row r="12" spans="1:20" s="8" customFormat="1" ht="15.75" x14ac:dyDescent="0.5">
      <c r="A12" s="15" t="s">
        <v>22</v>
      </c>
      <c r="B12" s="15" t="s">
        <v>23</v>
      </c>
      <c r="C12" s="17">
        <v>45698</v>
      </c>
      <c r="D12" s="16">
        <v>46234</v>
      </c>
      <c r="E12" s="16">
        <f t="shared" si="2"/>
        <v>46063</v>
      </c>
      <c r="F12" s="18">
        <v>3.0066666666666668</v>
      </c>
      <c r="G12" s="18">
        <v>18.75</v>
      </c>
      <c r="H12" s="14">
        <v>0</v>
      </c>
      <c r="I12" s="18">
        <f t="shared" si="3"/>
        <v>4.1766666666666667</v>
      </c>
      <c r="J12" s="18">
        <f t="shared" si="4"/>
        <v>20</v>
      </c>
      <c r="K12" s="5">
        <v>0</v>
      </c>
      <c r="L12" s="5">
        <v>0</v>
      </c>
      <c r="M12" s="14">
        <f t="shared" si="5"/>
        <v>0</v>
      </c>
      <c r="N12" s="14">
        <v>0</v>
      </c>
      <c r="O12" s="28">
        <v>0</v>
      </c>
      <c r="P12" s="28">
        <v>0</v>
      </c>
      <c r="Q12" s="6">
        <v>0</v>
      </c>
      <c r="R12" s="26">
        <f t="shared" si="0"/>
        <v>4.1766666666666667</v>
      </c>
      <c r="S12" s="26">
        <f t="shared" si="1"/>
        <v>20</v>
      </c>
      <c r="T12" s="6">
        <f t="shared" si="6"/>
        <v>0</v>
      </c>
    </row>
    <row r="13" spans="1:20" ht="15.75" x14ac:dyDescent="0.5">
      <c r="A13" s="12" t="s">
        <v>24</v>
      </c>
      <c r="B13" s="12" t="s">
        <v>25</v>
      </c>
      <c r="C13" s="10">
        <v>45416</v>
      </c>
      <c r="D13" s="13"/>
      <c r="E13" s="13">
        <f t="shared" si="2"/>
        <v>45781</v>
      </c>
      <c r="F13" s="14">
        <v>6.0066666666666668</v>
      </c>
      <c r="G13" s="14">
        <v>26.5</v>
      </c>
      <c r="H13" s="14">
        <v>1</v>
      </c>
      <c r="I13" s="14">
        <f t="shared" si="3"/>
        <v>7.1766666666666667</v>
      </c>
      <c r="J13" s="14">
        <f t="shared" si="4"/>
        <v>27.75</v>
      </c>
      <c r="K13" s="5">
        <v>1</v>
      </c>
      <c r="L13" s="5">
        <v>0</v>
      </c>
      <c r="M13" s="14">
        <f t="shared" si="5"/>
        <v>1</v>
      </c>
      <c r="N13" s="14">
        <v>1</v>
      </c>
      <c r="O13" s="29">
        <v>0</v>
      </c>
      <c r="P13" s="28">
        <v>0</v>
      </c>
      <c r="Q13" s="6">
        <v>0</v>
      </c>
      <c r="R13" s="6">
        <f t="shared" si="0"/>
        <v>6.1766666666666667</v>
      </c>
      <c r="S13" s="6">
        <f t="shared" si="1"/>
        <v>27.75</v>
      </c>
      <c r="T13" s="6">
        <f t="shared" si="6"/>
        <v>1</v>
      </c>
    </row>
    <row r="14" spans="1:20" ht="15.75" x14ac:dyDescent="0.5">
      <c r="A14" s="12" t="s">
        <v>26</v>
      </c>
      <c r="B14" s="12" t="s">
        <v>27</v>
      </c>
      <c r="C14" s="10">
        <v>44409</v>
      </c>
      <c r="D14" s="13"/>
      <c r="E14" s="13">
        <f t="shared" si="2"/>
        <v>44774</v>
      </c>
      <c r="F14" s="14">
        <v>6.6666666666668206E-3</v>
      </c>
      <c r="G14" s="14">
        <v>22.25</v>
      </c>
      <c r="H14" s="14">
        <v>0</v>
      </c>
      <c r="I14" s="14">
        <f t="shared" si="3"/>
        <v>1.1766666666666667</v>
      </c>
      <c r="J14" s="14">
        <f t="shared" si="4"/>
        <v>23.5</v>
      </c>
      <c r="K14" s="5">
        <v>0</v>
      </c>
      <c r="L14" s="5">
        <v>1</v>
      </c>
      <c r="M14" s="14">
        <f t="shared" si="5"/>
        <v>1</v>
      </c>
      <c r="N14" s="14">
        <v>0</v>
      </c>
      <c r="O14" s="28">
        <v>0</v>
      </c>
      <c r="P14" s="28">
        <v>0</v>
      </c>
      <c r="Q14" s="6">
        <v>0</v>
      </c>
      <c r="R14" s="6">
        <f t="shared" si="0"/>
        <v>1.1766666666666667</v>
      </c>
      <c r="S14" s="6">
        <f t="shared" si="1"/>
        <v>23.5</v>
      </c>
      <c r="T14" s="6">
        <f t="shared" si="6"/>
        <v>1</v>
      </c>
    </row>
    <row r="15" spans="1:20" ht="15.75" x14ac:dyDescent="0.5">
      <c r="A15" s="12" t="s">
        <v>28</v>
      </c>
      <c r="B15" s="12" t="s">
        <v>29</v>
      </c>
      <c r="C15" s="10">
        <v>45901</v>
      </c>
      <c r="D15" s="13"/>
      <c r="E15" s="13">
        <f t="shared" si="2"/>
        <v>46266</v>
      </c>
      <c r="F15" s="14">
        <v>3.0066666666666668</v>
      </c>
      <c r="G15" s="14">
        <v>2.5</v>
      </c>
      <c r="H15" s="14">
        <v>1</v>
      </c>
      <c r="I15" s="14">
        <f t="shared" si="3"/>
        <v>4.1766666666666667</v>
      </c>
      <c r="J15" s="14">
        <f t="shared" si="4"/>
        <v>3.75</v>
      </c>
      <c r="K15" s="5">
        <v>3</v>
      </c>
      <c r="L15" s="5">
        <v>0</v>
      </c>
      <c r="M15" s="14">
        <f t="shared" si="5"/>
        <v>1</v>
      </c>
      <c r="N15" s="14">
        <v>3</v>
      </c>
      <c r="O15" s="30">
        <v>0</v>
      </c>
      <c r="P15" s="30">
        <v>0</v>
      </c>
      <c r="Q15" s="6">
        <v>0</v>
      </c>
      <c r="R15" s="6">
        <f t="shared" si="0"/>
        <v>1.1766666666666667</v>
      </c>
      <c r="S15" s="6">
        <f t="shared" si="1"/>
        <v>3.75</v>
      </c>
      <c r="T15" s="6">
        <f t="shared" si="6"/>
        <v>1</v>
      </c>
    </row>
    <row r="16" spans="1:20" ht="15.75" x14ac:dyDescent="0.5">
      <c r="A16" s="12" t="s">
        <v>30</v>
      </c>
      <c r="B16" s="12" t="s">
        <v>31</v>
      </c>
      <c r="C16" s="10">
        <v>45721</v>
      </c>
      <c r="D16" s="13"/>
      <c r="E16" s="13">
        <f t="shared" si="2"/>
        <v>46086</v>
      </c>
      <c r="F16" s="14">
        <v>6.6666666666668206E-3</v>
      </c>
      <c r="G16" s="14">
        <v>14.5</v>
      </c>
      <c r="H16" s="14">
        <v>5</v>
      </c>
      <c r="I16" s="14">
        <f t="shared" si="3"/>
        <v>1.1766666666666667</v>
      </c>
      <c r="J16" s="14">
        <f t="shared" si="4"/>
        <v>15.75</v>
      </c>
      <c r="K16" s="5">
        <v>1</v>
      </c>
      <c r="L16" s="5">
        <v>2</v>
      </c>
      <c r="M16" s="14">
        <f t="shared" si="5"/>
        <v>7</v>
      </c>
      <c r="N16" s="14">
        <v>1</v>
      </c>
      <c r="O16" s="29">
        <v>0</v>
      </c>
      <c r="P16" s="28">
        <v>0</v>
      </c>
      <c r="Q16" s="6">
        <v>0</v>
      </c>
      <c r="R16" s="6">
        <f t="shared" si="0"/>
        <v>0.17666666666666675</v>
      </c>
      <c r="S16" s="6">
        <f t="shared" si="1"/>
        <v>15.75</v>
      </c>
      <c r="T16" s="6">
        <f t="shared" si="6"/>
        <v>7</v>
      </c>
    </row>
    <row r="17" spans="1:20" ht="15.75" x14ac:dyDescent="0.5">
      <c r="A17" s="12" t="s">
        <v>32</v>
      </c>
      <c r="B17" s="12" t="s">
        <v>33</v>
      </c>
      <c r="C17" s="10">
        <v>45817</v>
      </c>
      <c r="D17" s="13"/>
      <c r="E17" s="13">
        <f t="shared" si="2"/>
        <v>46182</v>
      </c>
      <c r="F17" s="14">
        <v>5.0066666666666668</v>
      </c>
      <c r="G17" s="14">
        <v>2.5</v>
      </c>
      <c r="H17" s="14">
        <v>0</v>
      </c>
      <c r="I17" s="14">
        <f t="shared" si="3"/>
        <v>6.1766666666666667</v>
      </c>
      <c r="J17" s="14">
        <f t="shared" si="4"/>
        <v>3.75</v>
      </c>
      <c r="K17" s="5">
        <v>1</v>
      </c>
      <c r="L17" s="5">
        <v>0</v>
      </c>
      <c r="M17" s="14">
        <f t="shared" si="5"/>
        <v>0</v>
      </c>
      <c r="N17" s="14">
        <v>1</v>
      </c>
      <c r="O17" s="29">
        <v>0</v>
      </c>
      <c r="P17" s="28">
        <v>0</v>
      </c>
      <c r="Q17" s="6">
        <v>0</v>
      </c>
      <c r="R17" s="6">
        <f t="shared" si="0"/>
        <v>5.1766666666666667</v>
      </c>
      <c r="S17" s="6">
        <f t="shared" si="1"/>
        <v>3.75</v>
      </c>
      <c r="T17" s="6">
        <f t="shared" si="6"/>
        <v>0</v>
      </c>
    </row>
    <row r="18" spans="1:20" ht="15.75" x14ac:dyDescent="0.5">
      <c r="A18" s="12" t="s">
        <v>34</v>
      </c>
      <c r="B18" s="12" t="s">
        <v>35</v>
      </c>
      <c r="C18" s="10">
        <v>44333</v>
      </c>
      <c r="D18" s="13"/>
      <c r="E18" s="13">
        <f t="shared" si="2"/>
        <v>44698</v>
      </c>
      <c r="F18" s="14">
        <v>1.5066666666666668</v>
      </c>
      <c r="G18" s="14">
        <v>21.25</v>
      </c>
      <c r="H18" s="14">
        <v>1</v>
      </c>
      <c r="I18" s="14">
        <f t="shared" si="3"/>
        <v>2.6766666666666667</v>
      </c>
      <c r="J18" s="14">
        <f t="shared" si="4"/>
        <v>22.5</v>
      </c>
      <c r="K18" s="5">
        <v>4</v>
      </c>
      <c r="L18" s="5">
        <v>0</v>
      </c>
      <c r="M18" s="14">
        <f t="shared" si="5"/>
        <v>1</v>
      </c>
      <c r="N18" s="14">
        <v>2.5</v>
      </c>
      <c r="O18" s="29">
        <v>1.5</v>
      </c>
      <c r="P18" s="28">
        <v>0</v>
      </c>
      <c r="Q18" s="6">
        <v>0</v>
      </c>
      <c r="R18" s="6">
        <f t="shared" si="0"/>
        <v>0.17666666666666675</v>
      </c>
      <c r="S18" s="6">
        <f t="shared" si="1"/>
        <v>21</v>
      </c>
      <c r="T18" s="6">
        <f t="shared" si="6"/>
        <v>1</v>
      </c>
    </row>
    <row r="19" spans="1:20" ht="15.75" x14ac:dyDescent="0.5">
      <c r="A19" s="12" t="s">
        <v>36</v>
      </c>
      <c r="B19" s="12" t="s">
        <v>37</v>
      </c>
      <c r="C19" s="10">
        <v>45936</v>
      </c>
      <c r="D19" s="13"/>
      <c r="E19" s="13">
        <f t="shared" si="2"/>
        <v>46301</v>
      </c>
      <c r="F19" s="14">
        <v>5.0066666666666668</v>
      </c>
      <c r="G19" s="14">
        <v>2.5</v>
      </c>
      <c r="H19" s="14">
        <v>0</v>
      </c>
      <c r="I19" s="14">
        <f t="shared" si="3"/>
        <v>6.1766666666666667</v>
      </c>
      <c r="J19" s="14">
        <f t="shared" si="4"/>
        <v>3.75</v>
      </c>
      <c r="K19" s="5">
        <v>0</v>
      </c>
      <c r="L19" s="5">
        <v>0</v>
      </c>
      <c r="M19" s="14">
        <f t="shared" si="5"/>
        <v>0</v>
      </c>
      <c r="N19" s="14">
        <v>0</v>
      </c>
      <c r="O19" s="28">
        <v>0</v>
      </c>
      <c r="P19" s="28">
        <v>0</v>
      </c>
      <c r="Q19" s="6">
        <v>0</v>
      </c>
      <c r="R19" s="6">
        <f t="shared" si="0"/>
        <v>6.1766666666666667</v>
      </c>
      <c r="S19" s="6">
        <f t="shared" si="1"/>
        <v>3.75</v>
      </c>
      <c r="T19" s="6">
        <f t="shared" si="6"/>
        <v>0</v>
      </c>
    </row>
    <row r="20" spans="1:20" ht="15.75" x14ac:dyDescent="0.5">
      <c r="A20" s="12" t="s">
        <v>38</v>
      </c>
      <c r="B20" s="12" t="s">
        <v>39</v>
      </c>
      <c r="C20" s="10">
        <v>44691</v>
      </c>
      <c r="D20" s="13"/>
      <c r="E20" s="13">
        <f t="shared" si="2"/>
        <v>45056</v>
      </c>
      <c r="F20" s="14">
        <v>5.0066666666666668</v>
      </c>
      <c r="G20" s="14">
        <v>21.25</v>
      </c>
      <c r="H20" s="14">
        <v>2</v>
      </c>
      <c r="I20" s="14">
        <f t="shared" si="3"/>
        <v>6.1766666666666667</v>
      </c>
      <c r="J20" s="14">
        <f t="shared" si="4"/>
        <v>22.5</v>
      </c>
      <c r="K20" s="5">
        <v>2</v>
      </c>
      <c r="L20" s="5">
        <v>1</v>
      </c>
      <c r="M20" s="14">
        <f t="shared" si="5"/>
        <v>3</v>
      </c>
      <c r="N20" s="14">
        <v>2</v>
      </c>
      <c r="O20" s="29">
        <v>0</v>
      </c>
      <c r="P20" s="29">
        <v>0</v>
      </c>
      <c r="Q20" s="6">
        <v>0</v>
      </c>
      <c r="R20" s="6">
        <f t="shared" si="0"/>
        <v>4.1766666666666667</v>
      </c>
      <c r="S20" s="6">
        <f t="shared" si="1"/>
        <v>22.5</v>
      </c>
      <c r="T20" s="6">
        <f t="shared" si="6"/>
        <v>3</v>
      </c>
    </row>
    <row r="21" spans="1:20" ht="15.75" x14ac:dyDescent="0.5">
      <c r="A21" s="12" t="s">
        <v>40</v>
      </c>
      <c r="B21" s="12" t="s">
        <v>41</v>
      </c>
      <c r="C21" s="10">
        <v>45993</v>
      </c>
      <c r="D21" s="13"/>
      <c r="E21" s="13">
        <f t="shared" si="2"/>
        <v>46358</v>
      </c>
      <c r="F21" s="14">
        <v>3.0066666666666668</v>
      </c>
      <c r="G21" s="14">
        <v>2.5</v>
      </c>
      <c r="H21" s="14">
        <v>1</v>
      </c>
      <c r="I21" s="14">
        <f t="shared" si="3"/>
        <v>4.1766666666666667</v>
      </c>
      <c r="J21" s="14">
        <f t="shared" si="4"/>
        <v>3.75</v>
      </c>
      <c r="K21" s="5">
        <v>0</v>
      </c>
      <c r="L21" s="5">
        <v>0</v>
      </c>
      <c r="M21" s="14">
        <f t="shared" si="5"/>
        <v>1</v>
      </c>
      <c r="N21" s="14">
        <v>0</v>
      </c>
      <c r="O21" s="28">
        <v>0</v>
      </c>
      <c r="P21" s="28">
        <v>0</v>
      </c>
      <c r="Q21" s="6">
        <v>0</v>
      </c>
      <c r="R21" s="6">
        <f t="shared" si="0"/>
        <v>4.1766666666666667</v>
      </c>
      <c r="S21" s="6">
        <f t="shared" si="1"/>
        <v>3.75</v>
      </c>
      <c r="T21" s="6">
        <f t="shared" si="6"/>
        <v>1</v>
      </c>
    </row>
    <row r="22" spans="1:20" ht="15.75" x14ac:dyDescent="0.5">
      <c r="A22" s="12" t="s">
        <v>42</v>
      </c>
      <c r="B22" s="12" t="s">
        <v>43</v>
      </c>
      <c r="C22" s="10">
        <v>46024</v>
      </c>
      <c r="D22" s="13"/>
      <c r="E22" s="13">
        <f t="shared" si="2"/>
        <v>46389</v>
      </c>
      <c r="F22" s="14">
        <v>2.84</v>
      </c>
      <c r="G22" s="14">
        <v>2.5</v>
      </c>
      <c r="H22" s="14">
        <v>0</v>
      </c>
      <c r="I22" s="14">
        <f t="shared" si="3"/>
        <v>4.01</v>
      </c>
      <c r="J22" s="14">
        <f t="shared" si="4"/>
        <v>3.75</v>
      </c>
      <c r="K22" s="5">
        <v>2</v>
      </c>
      <c r="L22" s="5">
        <v>0</v>
      </c>
      <c r="M22" s="14">
        <f t="shared" si="5"/>
        <v>0</v>
      </c>
      <c r="N22" s="14">
        <v>2</v>
      </c>
      <c r="O22" s="29">
        <v>0</v>
      </c>
      <c r="P22" s="29">
        <v>0</v>
      </c>
      <c r="Q22" s="6">
        <v>0</v>
      </c>
      <c r="R22" s="6">
        <f t="shared" si="0"/>
        <v>2.0099999999999998</v>
      </c>
      <c r="S22" s="6">
        <f t="shared" si="1"/>
        <v>3.75</v>
      </c>
      <c r="T22" s="6">
        <f t="shared" si="6"/>
        <v>0</v>
      </c>
    </row>
    <row r="23" spans="1:20" ht="15.75" x14ac:dyDescent="0.5">
      <c r="A23" s="12" t="s">
        <v>44</v>
      </c>
      <c r="B23" s="12" t="s">
        <v>45</v>
      </c>
      <c r="C23" s="10">
        <v>46038</v>
      </c>
      <c r="D23" s="13"/>
      <c r="E23" s="13">
        <f t="shared" si="2"/>
        <v>46403</v>
      </c>
      <c r="F23" s="14">
        <v>2.34</v>
      </c>
      <c r="G23" s="14">
        <v>2.5</v>
      </c>
      <c r="H23" s="14">
        <v>0</v>
      </c>
      <c r="I23" s="14">
        <f t="shared" si="3"/>
        <v>3.51</v>
      </c>
      <c r="J23" s="14">
        <f t="shared" si="4"/>
        <v>3.75</v>
      </c>
      <c r="K23" s="5">
        <v>1</v>
      </c>
      <c r="L23" s="5">
        <v>0</v>
      </c>
      <c r="M23" s="14">
        <f t="shared" si="5"/>
        <v>0</v>
      </c>
      <c r="N23" s="14">
        <v>1</v>
      </c>
      <c r="O23" s="29">
        <v>0</v>
      </c>
      <c r="P23" s="28">
        <v>0</v>
      </c>
      <c r="Q23" s="6">
        <v>0</v>
      </c>
      <c r="R23" s="6">
        <f t="shared" si="0"/>
        <v>2.5099999999999998</v>
      </c>
      <c r="S23" s="6">
        <f t="shared" si="1"/>
        <v>3.75</v>
      </c>
      <c r="T23" s="6">
        <f t="shared" si="6"/>
        <v>0</v>
      </c>
    </row>
    <row r="24" spans="1:20" ht="15.75" x14ac:dyDescent="0.5">
      <c r="A24" s="12" t="s">
        <v>46</v>
      </c>
      <c r="B24" s="12" t="s">
        <v>47</v>
      </c>
      <c r="C24" s="10">
        <v>46094</v>
      </c>
      <c r="D24" s="13"/>
      <c r="E24" s="13">
        <f t="shared" si="2"/>
        <v>46459</v>
      </c>
      <c r="F24" s="14">
        <v>0.33999999999999986</v>
      </c>
      <c r="G24" s="14">
        <v>2.5</v>
      </c>
      <c r="H24" s="14">
        <v>0</v>
      </c>
      <c r="I24" s="14">
        <f t="shared" si="3"/>
        <v>1.5099999999999998</v>
      </c>
      <c r="J24" s="14">
        <f t="shared" si="4"/>
        <v>3.75</v>
      </c>
      <c r="K24" s="5">
        <v>2</v>
      </c>
      <c r="L24" s="5">
        <v>0</v>
      </c>
      <c r="M24" s="14">
        <f t="shared" si="5"/>
        <v>0</v>
      </c>
      <c r="N24" s="14">
        <v>1.5</v>
      </c>
      <c r="O24" s="30">
        <v>0</v>
      </c>
      <c r="P24" s="30">
        <v>0</v>
      </c>
      <c r="Q24" s="6">
        <v>0.5</v>
      </c>
      <c r="R24" s="6">
        <f t="shared" si="0"/>
        <v>9.9999999999997868E-3</v>
      </c>
      <c r="S24" s="6">
        <f t="shared" si="1"/>
        <v>3.75</v>
      </c>
      <c r="T24" s="6">
        <f t="shared" si="6"/>
        <v>0</v>
      </c>
    </row>
    <row r="25" spans="1:20" ht="15.75" x14ac:dyDescent="0.5">
      <c r="A25" s="12" t="s">
        <v>49</v>
      </c>
      <c r="B25" s="12" t="s">
        <v>50</v>
      </c>
      <c r="C25" s="10">
        <v>46113</v>
      </c>
      <c r="D25" s="13"/>
      <c r="E25" s="13">
        <f t="shared" si="2"/>
        <v>46478</v>
      </c>
      <c r="F25" s="14">
        <v>2.34</v>
      </c>
      <c r="G25" s="14">
        <v>2.5</v>
      </c>
      <c r="H25" s="14">
        <v>0</v>
      </c>
      <c r="I25" s="14">
        <f t="shared" si="3"/>
        <v>3.51</v>
      </c>
      <c r="J25" s="14">
        <f t="shared" si="4"/>
        <v>3.75</v>
      </c>
      <c r="K25" s="5">
        <v>0</v>
      </c>
      <c r="L25" s="5">
        <v>0</v>
      </c>
      <c r="M25" s="14">
        <f t="shared" si="5"/>
        <v>0</v>
      </c>
      <c r="N25" s="14">
        <v>0</v>
      </c>
      <c r="O25" s="28">
        <v>0</v>
      </c>
      <c r="P25" s="28">
        <v>0</v>
      </c>
      <c r="Q25" s="6">
        <v>0</v>
      </c>
      <c r="R25" s="6">
        <f t="shared" si="0"/>
        <v>3.51</v>
      </c>
      <c r="S25" s="6">
        <f t="shared" si="1"/>
        <v>3.75</v>
      </c>
      <c r="T25" s="6">
        <f t="shared" si="6"/>
        <v>0</v>
      </c>
    </row>
    <row r="26" spans="1:20" ht="15.75" x14ac:dyDescent="0.5">
      <c r="A26" s="12" t="s">
        <v>51</v>
      </c>
      <c r="B26" s="12" t="s">
        <v>52</v>
      </c>
      <c r="C26" s="10">
        <v>46113</v>
      </c>
      <c r="D26" s="13"/>
      <c r="E26" s="13">
        <f t="shared" si="2"/>
        <v>46478</v>
      </c>
      <c r="F26" s="14">
        <v>2.34</v>
      </c>
      <c r="G26" s="14">
        <v>2.5</v>
      </c>
      <c r="H26" s="14">
        <v>0</v>
      </c>
      <c r="I26" s="14">
        <f t="shared" si="3"/>
        <v>3.51</v>
      </c>
      <c r="J26" s="14">
        <f t="shared" si="4"/>
        <v>3.75</v>
      </c>
      <c r="K26" s="5">
        <v>0</v>
      </c>
      <c r="L26" s="5">
        <v>0</v>
      </c>
      <c r="M26" s="14">
        <f t="shared" si="5"/>
        <v>0</v>
      </c>
      <c r="N26" s="14">
        <v>0</v>
      </c>
      <c r="O26" s="28">
        <v>0</v>
      </c>
      <c r="P26" s="28">
        <v>0</v>
      </c>
      <c r="Q26" s="6">
        <v>0</v>
      </c>
      <c r="R26" s="6">
        <f t="shared" si="0"/>
        <v>3.51</v>
      </c>
      <c r="S26" s="6">
        <f t="shared" si="1"/>
        <v>3.75</v>
      </c>
      <c r="T26" s="6">
        <f t="shared" si="6"/>
        <v>0</v>
      </c>
    </row>
    <row r="27" spans="1:20" ht="15.75" x14ac:dyDescent="0.5">
      <c r="A27" s="12" t="s">
        <v>53</v>
      </c>
      <c r="B27" s="12" t="s">
        <v>54</v>
      </c>
      <c r="C27" s="10">
        <v>46113</v>
      </c>
      <c r="D27" s="13"/>
      <c r="E27" s="13">
        <f t="shared" si="2"/>
        <v>46478</v>
      </c>
      <c r="F27" s="14">
        <v>2.34</v>
      </c>
      <c r="G27" s="14">
        <v>2.5</v>
      </c>
      <c r="H27" s="14">
        <v>0</v>
      </c>
      <c r="I27" s="14">
        <f t="shared" si="3"/>
        <v>3.51</v>
      </c>
      <c r="J27" s="14">
        <f t="shared" si="4"/>
        <v>3.75</v>
      </c>
      <c r="K27" s="5">
        <v>0</v>
      </c>
      <c r="L27" s="5">
        <v>0</v>
      </c>
      <c r="M27" s="14">
        <f t="shared" si="5"/>
        <v>0</v>
      </c>
      <c r="N27" s="14">
        <v>0</v>
      </c>
      <c r="O27" s="28">
        <v>0</v>
      </c>
      <c r="P27" s="28">
        <v>0</v>
      </c>
      <c r="Q27" s="6">
        <v>0</v>
      </c>
      <c r="R27" s="6">
        <f t="shared" si="0"/>
        <v>3.51</v>
      </c>
      <c r="S27" s="6">
        <f t="shared" si="1"/>
        <v>3.75</v>
      </c>
      <c r="T27" s="6">
        <f t="shared" si="6"/>
        <v>0</v>
      </c>
    </row>
    <row r="28" spans="1:20" ht="15.75" x14ac:dyDescent="0.5">
      <c r="A28" s="12" t="s">
        <v>55</v>
      </c>
      <c r="B28" s="12" t="s">
        <v>56</v>
      </c>
      <c r="C28" s="10">
        <v>46113</v>
      </c>
      <c r="D28" s="13"/>
      <c r="E28" s="13">
        <f t="shared" si="2"/>
        <v>46478</v>
      </c>
      <c r="F28" s="14">
        <v>2.34</v>
      </c>
      <c r="G28" s="14">
        <v>2.5</v>
      </c>
      <c r="H28" s="14">
        <v>0</v>
      </c>
      <c r="I28" s="14">
        <f t="shared" si="3"/>
        <v>3.51</v>
      </c>
      <c r="J28" s="14">
        <f t="shared" si="4"/>
        <v>3.75</v>
      </c>
      <c r="K28" s="5">
        <v>0</v>
      </c>
      <c r="L28" s="5">
        <v>0</v>
      </c>
      <c r="M28" s="14">
        <f t="shared" si="5"/>
        <v>0</v>
      </c>
      <c r="N28" s="14">
        <v>0</v>
      </c>
      <c r="O28" s="28">
        <v>0</v>
      </c>
      <c r="P28" s="28">
        <v>0</v>
      </c>
      <c r="Q28" s="6">
        <v>0</v>
      </c>
      <c r="R28" s="6">
        <f t="shared" si="0"/>
        <v>3.51</v>
      </c>
      <c r="S28" s="6">
        <f t="shared" si="1"/>
        <v>3.75</v>
      </c>
      <c r="T28" s="6">
        <f t="shared" si="6"/>
        <v>0</v>
      </c>
    </row>
    <row r="29" spans="1:20" ht="15.75" x14ac:dyDescent="0.5">
      <c r="A29" s="12" t="s">
        <v>57</v>
      </c>
      <c r="B29" s="12" t="s">
        <v>58</v>
      </c>
      <c r="C29" s="10">
        <v>46113</v>
      </c>
      <c r="D29" s="13"/>
      <c r="E29" s="13">
        <f t="shared" si="2"/>
        <v>46478</v>
      </c>
      <c r="F29" s="14">
        <v>2.34</v>
      </c>
      <c r="G29" s="14">
        <v>2.5</v>
      </c>
      <c r="H29" s="14">
        <v>0</v>
      </c>
      <c r="I29" s="14">
        <f t="shared" si="3"/>
        <v>3.51</v>
      </c>
      <c r="J29" s="14">
        <f t="shared" si="4"/>
        <v>3.75</v>
      </c>
      <c r="K29" s="5">
        <v>0</v>
      </c>
      <c r="L29" s="5">
        <v>0</v>
      </c>
      <c r="M29" s="14">
        <f t="shared" si="5"/>
        <v>0</v>
      </c>
      <c r="N29" s="14">
        <v>0</v>
      </c>
      <c r="O29" s="28">
        <v>0</v>
      </c>
      <c r="P29" s="28">
        <v>0</v>
      </c>
      <c r="Q29" s="6">
        <v>0</v>
      </c>
      <c r="R29" s="6">
        <f t="shared" si="0"/>
        <v>3.51</v>
      </c>
      <c r="S29" s="6">
        <f t="shared" si="1"/>
        <v>3.75</v>
      </c>
      <c r="T29" s="6">
        <f t="shared" si="6"/>
        <v>0</v>
      </c>
    </row>
    <row r="30" spans="1:20" ht="15.75" x14ac:dyDescent="0.5">
      <c r="A30" s="12" t="s">
        <v>59</v>
      </c>
      <c r="B30" s="12" t="s">
        <v>60</v>
      </c>
      <c r="C30" s="10">
        <v>46113</v>
      </c>
      <c r="D30" s="13"/>
      <c r="E30" s="13">
        <f t="shared" si="2"/>
        <v>46478</v>
      </c>
      <c r="F30" s="14">
        <v>2.34</v>
      </c>
      <c r="G30" s="14">
        <v>2.5</v>
      </c>
      <c r="H30" s="14">
        <v>0</v>
      </c>
      <c r="I30" s="14">
        <f t="shared" si="3"/>
        <v>3.51</v>
      </c>
      <c r="J30" s="14">
        <f t="shared" si="4"/>
        <v>3.75</v>
      </c>
      <c r="K30" s="5">
        <v>0</v>
      </c>
      <c r="L30" s="5">
        <v>0</v>
      </c>
      <c r="M30" s="14">
        <f t="shared" si="5"/>
        <v>0</v>
      </c>
      <c r="N30" s="14">
        <v>0</v>
      </c>
      <c r="O30" s="28">
        <v>0</v>
      </c>
      <c r="P30" s="28">
        <v>0</v>
      </c>
      <c r="Q30" s="6">
        <v>0</v>
      </c>
      <c r="R30" s="6">
        <f t="shared" si="0"/>
        <v>3.51</v>
      </c>
      <c r="S30" s="6">
        <f t="shared" si="1"/>
        <v>3.75</v>
      </c>
      <c r="T30" s="6">
        <f t="shared" si="6"/>
        <v>0</v>
      </c>
    </row>
    <row r="31" spans="1:20" ht="15.75" x14ac:dyDescent="0.5">
      <c r="A31" s="12" t="s">
        <v>61</v>
      </c>
      <c r="B31" s="12" t="s">
        <v>62</v>
      </c>
      <c r="C31" s="10">
        <v>46113</v>
      </c>
      <c r="D31" s="13"/>
      <c r="E31" s="13">
        <f t="shared" si="2"/>
        <v>46478</v>
      </c>
      <c r="F31" s="14">
        <v>2.34</v>
      </c>
      <c r="G31" s="14">
        <v>2.5</v>
      </c>
      <c r="H31" s="14">
        <v>0</v>
      </c>
      <c r="I31" s="14">
        <f t="shared" si="3"/>
        <v>3.51</v>
      </c>
      <c r="J31" s="14">
        <f t="shared" si="4"/>
        <v>3.75</v>
      </c>
      <c r="K31" s="5">
        <v>0</v>
      </c>
      <c r="L31" s="5">
        <v>0</v>
      </c>
      <c r="M31" s="14">
        <f t="shared" si="5"/>
        <v>0</v>
      </c>
      <c r="N31" s="14">
        <v>0</v>
      </c>
      <c r="O31" s="28">
        <v>0</v>
      </c>
      <c r="P31" s="28">
        <v>0</v>
      </c>
      <c r="Q31" s="6">
        <v>0</v>
      </c>
      <c r="R31" s="6">
        <f t="shared" si="0"/>
        <v>3.51</v>
      </c>
      <c r="S31" s="6">
        <f t="shared" si="1"/>
        <v>3.75</v>
      </c>
      <c r="T31" s="6">
        <f t="shared" si="6"/>
        <v>0</v>
      </c>
    </row>
    <row r="32" spans="1:20" ht="15.75" x14ac:dyDescent="0.5">
      <c r="A32" s="12" t="s">
        <v>63</v>
      </c>
      <c r="B32" s="12" t="s">
        <v>64</v>
      </c>
      <c r="C32" s="10">
        <v>46113</v>
      </c>
      <c r="D32" s="13"/>
      <c r="E32" s="13">
        <f t="shared" si="2"/>
        <v>46478</v>
      </c>
      <c r="F32" s="14">
        <v>2.34</v>
      </c>
      <c r="G32" s="14">
        <v>2.5</v>
      </c>
      <c r="H32" s="14">
        <v>0</v>
      </c>
      <c r="I32" s="14">
        <f t="shared" si="3"/>
        <v>3.51</v>
      </c>
      <c r="J32" s="14">
        <f t="shared" si="4"/>
        <v>3.75</v>
      </c>
      <c r="K32" s="5">
        <v>0</v>
      </c>
      <c r="L32" s="5">
        <v>0</v>
      </c>
      <c r="M32" s="14">
        <f t="shared" si="5"/>
        <v>0</v>
      </c>
      <c r="N32" s="14">
        <v>0</v>
      </c>
      <c r="O32" s="28">
        <v>0</v>
      </c>
      <c r="P32" s="28">
        <v>0</v>
      </c>
      <c r="Q32" s="6">
        <v>0</v>
      </c>
      <c r="R32" s="6">
        <f t="shared" si="0"/>
        <v>3.51</v>
      </c>
      <c r="S32" s="6">
        <f t="shared" si="1"/>
        <v>3.75</v>
      </c>
      <c r="T32" s="6">
        <f t="shared" si="6"/>
        <v>0</v>
      </c>
    </row>
    <row r="33" spans="1:20" ht="15.75" x14ac:dyDescent="0.5">
      <c r="A33" s="1" t="s">
        <v>245</v>
      </c>
      <c r="B33" s="2" t="s">
        <v>246</v>
      </c>
      <c r="C33" s="10">
        <v>46113</v>
      </c>
      <c r="D33" s="4"/>
      <c r="E33" s="13">
        <f t="shared" si="2"/>
        <v>46478</v>
      </c>
      <c r="F33" s="27">
        <v>3.51</v>
      </c>
      <c r="G33" s="27">
        <v>3.75</v>
      </c>
      <c r="H33" s="14">
        <v>0</v>
      </c>
      <c r="I33" s="14">
        <f t="shared" si="3"/>
        <v>4.68</v>
      </c>
      <c r="J33" s="14">
        <f t="shared" si="4"/>
        <v>5</v>
      </c>
      <c r="K33" s="5">
        <v>0</v>
      </c>
      <c r="L33" s="5">
        <v>0</v>
      </c>
      <c r="M33" s="14">
        <f t="shared" si="5"/>
        <v>0</v>
      </c>
      <c r="N33" s="14">
        <v>0</v>
      </c>
      <c r="O33" s="28">
        <v>0</v>
      </c>
      <c r="P33" s="28">
        <v>0</v>
      </c>
      <c r="Q33" s="6">
        <v>0</v>
      </c>
      <c r="R33" s="6">
        <f t="shared" si="0"/>
        <v>4.68</v>
      </c>
      <c r="S33" s="6">
        <f t="shared" si="1"/>
        <v>5</v>
      </c>
      <c r="T33" s="6">
        <f t="shared" si="6"/>
        <v>0</v>
      </c>
    </row>
    <row r="34" spans="1:20" ht="15.75" x14ac:dyDescent="0.5">
      <c r="A34" s="1" t="s">
        <v>247</v>
      </c>
      <c r="B34" s="2" t="s">
        <v>248</v>
      </c>
      <c r="C34" s="10">
        <v>46113</v>
      </c>
      <c r="D34" s="4"/>
      <c r="E34" s="13">
        <f t="shared" si="2"/>
        <v>46478</v>
      </c>
      <c r="F34" s="27">
        <v>3.51</v>
      </c>
      <c r="G34" s="27">
        <v>3.75</v>
      </c>
      <c r="H34" s="14">
        <v>0</v>
      </c>
      <c r="I34" s="14">
        <f t="shared" si="3"/>
        <v>4.68</v>
      </c>
      <c r="J34" s="14">
        <f t="shared" si="4"/>
        <v>5</v>
      </c>
      <c r="K34" s="5">
        <v>4</v>
      </c>
      <c r="L34" s="5">
        <v>0</v>
      </c>
      <c r="M34" s="14">
        <f t="shared" si="5"/>
        <v>0</v>
      </c>
      <c r="N34" s="27">
        <v>4</v>
      </c>
      <c r="O34" s="29">
        <v>0</v>
      </c>
      <c r="P34" s="29">
        <v>0</v>
      </c>
      <c r="Q34" s="6">
        <v>0</v>
      </c>
      <c r="R34" s="6">
        <f t="shared" si="0"/>
        <v>0.67999999999999972</v>
      </c>
      <c r="S34" s="6">
        <f t="shared" si="1"/>
        <v>5</v>
      </c>
      <c r="T34" s="6">
        <f t="shared" si="6"/>
        <v>0</v>
      </c>
    </row>
    <row r="35" spans="1:20" ht="15.75" x14ac:dyDescent="0.5">
      <c r="A35" s="1" t="s">
        <v>185</v>
      </c>
      <c r="B35" s="12" t="s">
        <v>9</v>
      </c>
      <c r="C35" s="10">
        <v>46113</v>
      </c>
      <c r="D35" s="13"/>
      <c r="E35" s="13">
        <f t="shared" si="2"/>
        <v>46478</v>
      </c>
      <c r="F35" s="14">
        <v>2.34</v>
      </c>
      <c r="G35" s="14">
        <v>2.5</v>
      </c>
      <c r="H35" s="14">
        <v>0</v>
      </c>
      <c r="I35" s="14">
        <f t="shared" si="3"/>
        <v>3.51</v>
      </c>
      <c r="J35" s="14">
        <f t="shared" si="4"/>
        <v>3.75</v>
      </c>
      <c r="K35" s="5">
        <v>1</v>
      </c>
      <c r="L35" s="5">
        <v>2</v>
      </c>
      <c r="M35" s="14">
        <f t="shared" si="5"/>
        <v>2</v>
      </c>
      <c r="N35" s="14">
        <v>1</v>
      </c>
      <c r="O35" s="29">
        <v>0</v>
      </c>
      <c r="P35" s="28">
        <v>0</v>
      </c>
      <c r="Q35" s="6">
        <v>0</v>
      </c>
      <c r="R35" s="6">
        <f t="shared" si="0"/>
        <v>2.5099999999999998</v>
      </c>
      <c r="S35" s="6">
        <f t="shared" si="1"/>
        <v>3.75</v>
      </c>
      <c r="T35" s="6">
        <f t="shared" si="6"/>
        <v>2</v>
      </c>
    </row>
    <row r="36" spans="1:20" ht="15.75" x14ac:dyDescent="0.5">
      <c r="A36" s="1" t="s">
        <v>188</v>
      </c>
      <c r="B36" s="1" t="s">
        <v>189</v>
      </c>
      <c r="C36" s="10">
        <v>46162</v>
      </c>
      <c r="D36" s="13"/>
      <c r="E36" s="13">
        <f t="shared" si="2"/>
        <v>46527</v>
      </c>
      <c r="F36" s="14">
        <v>1.17</v>
      </c>
      <c r="G36" s="14">
        <v>1.25</v>
      </c>
      <c r="H36" s="14">
        <v>0</v>
      </c>
      <c r="I36" s="14">
        <f t="shared" si="3"/>
        <v>2.34</v>
      </c>
      <c r="J36" s="14">
        <f t="shared" si="4"/>
        <v>2.5</v>
      </c>
      <c r="K36" s="5">
        <v>1</v>
      </c>
      <c r="L36" s="5">
        <v>0</v>
      </c>
      <c r="M36" s="14">
        <f t="shared" si="5"/>
        <v>0</v>
      </c>
      <c r="N36" s="14">
        <v>1</v>
      </c>
      <c r="O36" s="29">
        <v>0</v>
      </c>
      <c r="P36" s="28">
        <v>0</v>
      </c>
      <c r="Q36" s="6">
        <v>0</v>
      </c>
      <c r="R36" s="6">
        <f t="shared" si="0"/>
        <v>1.3399999999999999</v>
      </c>
      <c r="S36" s="6">
        <f t="shared" si="1"/>
        <v>2.5</v>
      </c>
      <c r="T36" s="6">
        <f t="shared" si="6"/>
        <v>0</v>
      </c>
    </row>
    <row r="37" spans="1:20" ht="15.75" x14ac:dyDescent="0.5">
      <c r="A37" s="9" t="s">
        <v>193</v>
      </c>
      <c r="B37" s="9" t="s">
        <v>194</v>
      </c>
      <c r="C37" s="10">
        <v>46153</v>
      </c>
      <c r="D37" s="13"/>
      <c r="E37" s="13">
        <f t="shared" si="2"/>
        <v>46518</v>
      </c>
      <c r="F37" s="14">
        <v>0.33999999999999986</v>
      </c>
      <c r="G37" s="14">
        <v>2.5</v>
      </c>
      <c r="H37" s="14">
        <v>0</v>
      </c>
      <c r="I37" s="14">
        <f t="shared" si="3"/>
        <v>1.5099999999999998</v>
      </c>
      <c r="J37" s="14">
        <f t="shared" si="4"/>
        <v>3.75</v>
      </c>
      <c r="K37" s="5">
        <v>6</v>
      </c>
      <c r="L37" s="5">
        <v>0</v>
      </c>
      <c r="M37" s="14">
        <f t="shared" si="5"/>
        <v>0</v>
      </c>
      <c r="N37" s="14">
        <v>1.5</v>
      </c>
      <c r="O37" s="29">
        <v>0</v>
      </c>
      <c r="P37" s="29">
        <v>0</v>
      </c>
      <c r="Q37" s="6">
        <v>4.5</v>
      </c>
      <c r="R37" s="6">
        <f t="shared" si="0"/>
        <v>9.9999999999997868E-3</v>
      </c>
      <c r="S37" s="6">
        <f t="shared" si="1"/>
        <v>3.75</v>
      </c>
      <c r="T37" s="6">
        <f t="shared" si="6"/>
        <v>0</v>
      </c>
    </row>
    <row r="38" spans="1:20" ht="15.75" x14ac:dyDescent="0.5">
      <c r="A38" s="9" t="s">
        <v>197</v>
      </c>
      <c r="B38" s="11" t="s">
        <v>198</v>
      </c>
      <c r="C38" s="10">
        <v>46161</v>
      </c>
      <c r="D38" s="13"/>
      <c r="E38" s="13">
        <f t="shared" si="2"/>
        <v>46526</v>
      </c>
      <c r="F38" s="14">
        <v>0.16999999999999993</v>
      </c>
      <c r="G38" s="14">
        <v>1.25</v>
      </c>
      <c r="H38" s="14">
        <v>0</v>
      </c>
      <c r="I38" s="14">
        <f t="shared" si="3"/>
        <v>1.3399999999999999</v>
      </c>
      <c r="J38" s="14">
        <f t="shared" si="4"/>
        <v>2.5</v>
      </c>
      <c r="K38" s="5">
        <v>4</v>
      </c>
      <c r="L38" s="5">
        <v>0</v>
      </c>
      <c r="M38" s="14">
        <f t="shared" si="5"/>
        <v>0</v>
      </c>
      <c r="N38" s="14">
        <v>1</v>
      </c>
      <c r="O38" s="29">
        <v>0</v>
      </c>
      <c r="P38" s="29">
        <v>0</v>
      </c>
      <c r="Q38" s="6">
        <v>3</v>
      </c>
      <c r="R38" s="6">
        <f t="shared" si="0"/>
        <v>0.33999999999999986</v>
      </c>
      <c r="S38" s="6">
        <f t="shared" si="1"/>
        <v>2.5</v>
      </c>
      <c r="T38" s="6">
        <f t="shared" si="6"/>
        <v>0</v>
      </c>
    </row>
    <row r="39" spans="1:20" ht="15.75" x14ac:dyDescent="0.5">
      <c r="A39" s="9" t="s">
        <v>191</v>
      </c>
      <c r="B39" s="9" t="s">
        <v>192</v>
      </c>
      <c r="C39" s="10">
        <v>46151</v>
      </c>
      <c r="D39" s="13"/>
      <c r="E39" s="13">
        <f t="shared" si="2"/>
        <v>46516</v>
      </c>
      <c r="F39" s="14">
        <v>2.34</v>
      </c>
      <c r="G39" s="14">
        <v>2.5</v>
      </c>
      <c r="H39" s="14">
        <v>1</v>
      </c>
      <c r="I39" s="14">
        <f t="shared" si="3"/>
        <v>3.51</v>
      </c>
      <c r="J39" s="14">
        <f t="shared" si="4"/>
        <v>3.75</v>
      </c>
      <c r="K39" s="5">
        <v>0</v>
      </c>
      <c r="L39" s="5">
        <v>0</v>
      </c>
      <c r="M39" s="14">
        <f t="shared" si="5"/>
        <v>1</v>
      </c>
      <c r="N39" s="14">
        <v>0</v>
      </c>
      <c r="O39" s="28">
        <v>0</v>
      </c>
      <c r="P39" s="28">
        <v>0</v>
      </c>
      <c r="Q39" s="6">
        <v>0</v>
      </c>
      <c r="R39" s="6">
        <f t="shared" si="0"/>
        <v>3.51</v>
      </c>
      <c r="S39" s="6">
        <f t="shared" si="1"/>
        <v>3.75</v>
      </c>
      <c r="T39" s="6">
        <f t="shared" si="6"/>
        <v>1</v>
      </c>
    </row>
    <row r="40" spans="1:20" ht="15.75" x14ac:dyDescent="0.5">
      <c r="A40" s="9" t="s">
        <v>195</v>
      </c>
      <c r="B40" s="11" t="s">
        <v>196</v>
      </c>
      <c r="C40" s="10">
        <v>46160</v>
      </c>
      <c r="D40" s="13"/>
      <c r="E40" s="13">
        <f t="shared" si="2"/>
        <v>46525</v>
      </c>
      <c r="F40" s="14">
        <v>0.16999999999999993</v>
      </c>
      <c r="G40" s="14">
        <v>1.25</v>
      </c>
      <c r="H40" s="14">
        <v>0</v>
      </c>
      <c r="I40" s="14">
        <f t="shared" si="3"/>
        <v>1.3399999999999999</v>
      </c>
      <c r="J40" s="14">
        <f t="shared" si="4"/>
        <v>2.5</v>
      </c>
      <c r="K40" s="5">
        <v>1</v>
      </c>
      <c r="L40" s="5">
        <v>0</v>
      </c>
      <c r="M40" s="14">
        <f t="shared" si="5"/>
        <v>0</v>
      </c>
      <c r="N40" s="14">
        <v>1</v>
      </c>
      <c r="O40" s="29">
        <v>0</v>
      </c>
      <c r="P40" s="28">
        <v>0</v>
      </c>
      <c r="Q40" s="6">
        <v>0</v>
      </c>
      <c r="R40" s="6">
        <f t="shared" si="0"/>
        <v>0.33999999999999986</v>
      </c>
      <c r="S40" s="6">
        <f t="shared" si="1"/>
        <v>2.5</v>
      </c>
      <c r="T40" s="6">
        <f t="shared" si="6"/>
        <v>0</v>
      </c>
    </row>
    <row r="41" spans="1:20" ht="15.75" x14ac:dyDescent="0.5">
      <c r="A41" s="9" t="s">
        <v>199</v>
      </c>
      <c r="B41" s="11" t="s">
        <v>200</v>
      </c>
      <c r="C41" s="10">
        <v>46167</v>
      </c>
      <c r="D41" s="13"/>
      <c r="E41" s="13">
        <f t="shared" si="2"/>
        <v>46532</v>
      </c>
      <c r="F41" s="14">
        <v>0.16999999999999993</v>
      </c>
      <c r="G41" s="14">
        <v>1.25</v>
      </c>
      <c r="H41" s="14">
        <v>0</v>
      </c>
      <c r="I41" s="14">
        <f t="shared" si="3"/>
        <v>1.3399999999999999</v>
      </c>
      <c r="J41" s="14">
        <f t="shared" si="4"/>
        <v>2.5</v>
      </c>
      <c r="K41" s="5">
        <v>2</v>
      </c>
      <c r="L41" s="5">
        <v>0</v>
      </c>
      <c r="M41" s="14">
        <f t="shared" si="5"/>
        <v>0</v>
      </c>
      <c r="N41" s="14">
        <v>1</v>
      </c>
      <c r="O41" s="29">
        <v>0</v>
      </c>
      <c r="P41" s="29">
        <v>0</v>
      </c>
      <c r="Q41" s="6">
        <v>1</v>
      </c>
      <c r="R41" s="6">
        <f t="shared" si="0"/>
        <v>0.33999999999999986</v>
      </c>
      <c r="S41" s="6">
        <f t="shared" si="1"/>
        <v>2.5</v>
      </c>
      <c r="T41" s="6">
        <f t="shared" si="6"/>
        <v>0</v>
      </c>
    </row>
    <row r="42" spans="1:20" s="8" customFormat="1" ht="15.75" x14ac:dyDescent="0.5">
      <c r="A42" s="23" t="s">
        <v>223</v>
      </c>
      <c r="B42" s="23" t="s">
        <v>224</v>
      </c>
      <c r="C42" s="17">
        <v>46174</v>
      </c>
      <c r="D42" s="16">
        <v>46206</v>
      </c>
      <c r="E42" s="16">
        <f t="shared" si="2"/>
        <v>46539</v>
      </c>
      <c r="F42" s="18">
        <v>0.16999999999999993</v>
      </c>
      <c r="G42" s="18">
        <v>1.25</v>
      </c>
      <c r="H42" s="14">
        <v>0</v>
      </c>
      <c r="I42" s="18">
        <f t="shared" si="3"/>
        <v>1.3399999999999999</v>
      </c>
      <c r="J42" s="18">
        <f t="shared" si="4"/>
        <v>2.5</v>
      </c>
      <c r="K42" s="5">
        <v>0</v>
      </c>
      <c r="L42" s="5">
        <v>0</v>
      </c>
      <c r="M42" s="14">
        <f t="shared" si="5"/>
        <v>0</v>
      </c>
      <c r="N42" s="14">
        <v>0</v>
      </c>
      <c r="O42" s="28">
        <v>0</v>
      </c>
      <c r="P42" s="28">
        <v>0</v>
      </c>
      <c r="Q42" s="6">
        <v>0</v>
      </c>
      <c r="R42" s="26">
        <f t="shared" si="0"/>
        <v>1.3399999999999999</v>
      </c>
      <c r="S42" s="26">
        <f t="shared" si="1"/>
        <v>2.5</v>
      </c>
      <c r="T42" s="6">
        <f t="shared" si="6"/>
        <v>0</v>
      </c>
    </row>
    <row r="43" spans="1:20" ht="15.75" x14ac:dyDescent="0.5">
      <c r="A43" s="1" t="s">
        <v>225</v>
      </c>
      <c r="B43" s="2" t="s">
        <v>48</v>
      </c>
      <c r="C43" s="10">
        <v>46174</v>
      </c>
      <c r="D43" s="13"/>
      <c r="E43" s="13">
        <f t="shared" si="2"/>
        <v>46539</v>
      </c>
      <c r="F43" s="14">
        <v>1.3399999999999999</v>
      </c>
      <c r="G43" s="14">
        <v>2.5</v>
      </c>
      <c r="H43" s="14">
        <v>1</v>
      </c>
      <c r="I43" s="14">
        <f t="shared" si="3"/>
        <v>2.5099999999999998</v>
      </c>
      <c r="J43" s="14">
        <f t="shared" si="4"/>
        <v>3.75</v>
      </c>
      <c r="K43" s="5">
        <v>2</v>
      </c>
      <c r="L43" s="5">
        <v>0</v>
      </c>
      <c r="M43" s="14">
        <f t="shared" si="5"/>
        <v>1</v>
      </c>
      <c r="N43" s="14">
        <v>2</v>
      </c>
      <c r="O43" s="29">
        <v>0</v>
      </c>
      <c r="P43" s="29">
        <v>0</v>
      </c>
      <c r="Q43" s="6">
        <v>0</v>
      </c>
      <c r="R43" s="6">
        <f t="shared" si="0"/>
        <v>0.50999999999999979</v>
      </c>
      <c r="S43" s="6">
        <f t="shared" si="1"/>
        <v>3.75</v>
      </c>
      <c r="T43" s="6">
        <f t="shared" si="6"/>
        <v>1</v>
      </c>
    </row>
    <row r="44" spans="1:20" ht="15.75" x14ac:dyDescent="0.5">
      <c r="A44" s="1" t="s">
        <v>241</v>
      </c>
      <c r="B44" s="2" t="s">
        <v>242</v>
      </c>
      <c r="C44" s="10">
        <v>46209</v>
      </c>
      <c r="D44" s="13"/>
      <c r="E44" s="13">
        <f t="shared" si="2"/>
        <v>46574</v>
      </c>
      <c r="F44" s="14">
        <v>0</v>
      </c>
      <c r="G44" s="14">
        <v>0</v>
      </c>
      <c r="H44" s="14">
        <v>0</v>
      </c>
      <c r="I44" s="14">
        <f t="shared" si="3"/>
        <v>1.17</v>
      </c>
      <c r="J44" s="14">
        <f t="shared" si="4"/>
        <v>1.25</v>
      </c>
      <c r="K44" s="5">
        <v>0</v>
      </c>
      <c r="L44" s="5">
        <v>0</v>
      </c>
      <c r="M44" s="14">
        <f t="shared" si="5"/>
        <v>0</v>
      </c>
      <c r="N44" s="14">
        <v>0</v>
      </c>
      <c r="O44" s="28">
        <v>0</v>
      </c>
      <c r="P44" s="28">
        <v>0</v>
      </c>
      <c r="Q44" s="6">
        <v>0</v>
      </c>
      <c r="R44" s="6">
        <f t="shared" si="0"/>
        <v>1.17</v>
      </c>
      <c r="S44" s="6">
        <f t="shared" si="1"/>
        <v>1.25</v>
      </c>
      <c r="T44" s="6">
        <f t="shared" si="6"/>
        <v>0</v>
      </c>
    </row>
    <row r="45" spans="1:20" ht="15.75" x14ac:dyDescent="0.5">
      <c r="A45" s="1" t="s">
        <v>229</v>
      </c>
      <c r="B45" s="2" t="s">
        <v>230</v>
      </c>
      <c r="C45" s="10">
        <v>46174</v>
      </c>
      <c r="D45" s="13"/>
      <c r="E45" s="13">
        <f t="shared" si="2"/>
        <v>46539</v>
      </c>
      <c r="F45" s="14">
        <v>0.16999999999999993</v>
      </c>
      <c r="G45" s="14">
        <v>1.25</v>
      </c>
      <c r="H45" s="14">
        <v>0</v>
      </c>
      <c r="I45" s="14">
        <f t="shared" si="3"/>
        <v>1.3399999999999999</v>
      </c>
      <c r="J45" s="14">
        <f t="shared" si="4"/>
        <v>2.5</v>
      </c>
      <c r="K45" s="5">
        <v>4</v>
      </c>
      <c r="L45" s="5">
        <v>0</v>
      </c>
      <c r="M45" s="14">
        <f t="shared" si="5"/>
        <v>0</v>
      </c>
      <c r="N45" s="14">
        <v>1</v>
      </c>
      <c r="O45" s="30">
        <v>0</v>
      </c>
      <c r="P45" s="30">
        <v>0</v>
      </c>
      <c r="Q45" s="6">
        <v>3</v>
      </c>
      <c r="R45" s="6">
        <f t="shared" si="0"/>
        <v>0.33999999999999986</v>
      </c>
      <c r="S45" s="6">
        <f t="shared" si="1"/>
        <v>2.5</v>
      </c>
      <c r="T45" s="6">
        <f t="shared" si="6"/>
        <v>0</v>
      </c>
    </row>
    <row r="46" spans="1:20" ht="15.75" x14ac:dyDescent="0.5">
      <c r="A46" s="1" t="s">
        <v>243</v>
      </c>
      <c r="B46" s="2" t="s">
        <v>244</v>
      </c>
      <c r="C46" s="10">
        <v>46195</v>
      </c>
      <c r="D46" s="13"/>
      <c r="E46" s="13">
        <f t="shared" si="2"/>
        <v>46560</v>
      </c>
      <c r="F46" s="14">
        <v>0</v>
      </c>
      <c r="G46" s="14">
        <v>0</v>
      </c>
      <c r="H46" s="14">
        <v>0</v>
      </c>
      <c r="I46" s="14">
        <f t="shared" si="3"/>
        <v>1.17</v>
      </c>
      <c r="J46" s="14">
        <f t="shared" si="4"/>
        <v>1.25</v>
      </c>
      <c r="K46" s="5">
        <v>0</v>
      </c>
      <c r="L46" s="5">
        <v>0</v>
      </c>
      <c r="M46" s="14">
        <f t="shared" si="5"/>
        <v>0</v>
      </c>
      <c r="N46" s="14">
        <v>0</v>
      </c>
      <c r="O46" s="28">
        <v>0</v>
      </c>
      <c r="P46" s="28">
        <v>0</v>
      </c>
      <c r="Q46" s="6">
        <v>0</v>
      </c>
      <c r="R46" s="6">
        <f t="shared" si="0"/>
        <v>1.17</v>
      </c>
      <c r="S46" s="6">
        <f t="shared" si="1"/>
        <v>1.25</v>
      </c>
      <c r="T46" s="6">
        <f t="shared" si="6"/>
        <v>0</v>
      </c>
    </row>
  </sheetData>
  <conditionalFormatting sqref="C37:C39 A37:A41">
    <cfRule type="expression" dxfId="0" priority="17">
      <formula>#REF!="OFF ROLL"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APHL_VD_HQ_R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Kajol Verma</dc:creator>
  <cp:lastModifiedBy>Advocate Kajol Verma</cp:lastModifiedBy>
  <dcterms:created xsi:type="dcterms:W3CDTF">2026-05-06T10:14:08Z</dcterms:created>
  <dcterms:modified xsi:type="dcterms:W3CDTF">2026-08-20T08:53:18Z</dcterms:modified>
</cp:coreProperties>
</file>