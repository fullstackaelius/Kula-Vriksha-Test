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ankalpchopra/Desktop/"/>
    </mc:Choice>
  </mc:AlternateContent>
  <xr:revisionPtr revIDLastSave="0" documentId="13_ncr:1_{AC28FC1F-8C67-D54E-93B4-5300D4B64110}" xr6:coauthVersionLast="47" xr6:coauthVersionMax="47" xr10:uidLastSave="{00000000-0000-0000-0000-000000000000}"/>
  <bookViews>
    <workbookView xWindow="2520" yWindow="880" windowWidth="31340" windowHeight="20940" tabRatio="500" activeTab="2" xr2:uid="{00000000-000D-0000-FFFF-FFFF00000000}"/>
  </bookViews>
  <sheets>
    <sheet name="README" sheetId="1" r:id="rId1"/>
    <sheet name="Verticals" sheetId="2" r:id="rId2"/>
    <sheet name="Vertical Heads" sheetId="3" r:id="rId3"/>
    <sheet name="Reporting Lines" sheetId="4" r:id="rId4"/>
    <sheet name="Reference" sheetId="5" r:id="rId5"/>
    <sheet name="Validation" sheetId="6" r:id="rId6"/>
  </sheets>
  <definedNames>
    <definedName name="_xlnm._FilterDatabase" localSheetId="3" hidden="1">'Reporting Lines'!$A$4:$K$141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6" i="4" l="1"/>
  <c r="F141" i="4"/>
  <c r="F140" i="4"/>
  <c r="F139" i="4"/>
  <c r="F138" i="4"/>
  <c r="F137" i="4"/>
  <c r="F135" i="4"/>
  <c r="H134" i="4"/>
  <c r="H133" i="4"/>
  <c r="H132" i="4"/>
  <c r="H131" i="4"/>
  <c r="H130" i="4"/>
  <c r="H129" i="4"/>
  <c r="H128" i="4"/>
  <c r="F134" i="4"/>
  <c r="F133" i="4"/>
  <c r="F132" i="4"/>
  <c r="F131" i="4"/>
  <c r="F130" i="4"/>
  <c r="F129" i="4"/>
  <c r="F128" i="4"/>
  <c r="B7" i="6"/>
  <c r="H16" i="4"/>
  <c r="H17" i="4"/>
  <c r="H18" i="4"/>
  <c r="H19" i="4"/>
  <c r="H20" i="4"/>
  <c r="H22" i="4"/>
  <c r="B9" i="6"/>
  <c r="H34" i="4"/>
  <c r="H35" i="4"/>
  <c r="H36" i="4"/>
  <c r="H37" i="4"/>
  <c r="H38" i="4"/>
  <c r="H40" i="4"/>
  <c r="H41" i="4"/>
  <c r="H52" i="4"/>
  <c r="H53" i="4"/>
  <c r="H54" i="4"/>
  <c r="H55" i="4"/>
  <c r="H56" i="4"/>
  <c r="H58" i="4"/>
  <c r="H59" i="4"/>
  <c r="H70" i="4"/>
  <c r="H71" i="4"/>
  <c r="H72" i="4"/>
  <c r="H73" i="4"/>
  <c r="H74" i="4"/>
  <c r="H76" i="4"/>
  <c r="H77" i="4"/>
  <c r="H88" i="4"/>
  <c r="H89" i="4"/>
  <c r="H90" i="4"/>
  <c r="H91" i="4"/>
  <c r="H92" i="4"/>
  <c r="H94" i="4"/>
  <c r="H95" i="4"/>
  <c r="H106" i="4"/>
  <c r="H107" i="4"/>
  <c r="H108" i="4"/>
  <c r="H109" i="4"/>
  <c r="H110" i="4"/>
  <c r="H112" i="4"/>
  <c r="H113" i="4"/>
  <c r="H117" i="4"/>
  <c r="H124" i="4"/>
  <c r="H125" i="4"/>
  <c r="H126" i="4"/>
  <c r="H127" i="4"/>
  <c r="B10" i="6"/>
  <c r="B8" i="6"/>
  <c r="B6" i="6"/>
  <c r="B5" i="6"/>
  <c r="F127" i="4"/>
  <c r="F126" i="4"/>
  <c r="F125" i="4"/>
  <c r="F124" i="4"/>
  <c r="H123" i="4"/>
  <c r="F123" i="4"/>
  <c r="H122" i="4"/>
  <c r="F122" i="4"/>
  <c r="H121" i="4"/>
  <c r="F121" i="4"/>
  <c r="H120" i="4"/>
  <c r="F120" i="4"/>
  <c r="H119" i="4"/>
  <c r="F119" i="4"/>
  <c r="H118" i="4"/>
  <c r="F118" i="4"/>
  <c r="F117" i="4"/>
  <c r="H116" i="4"/>
  <c r="F116" i="4"/>
  <c r="H115" i="4"/>
  <c r="F115" i="4"/>
  <c r="H114" i="4"/>
  <c r="F114" i="4"/>
  <c r="F113" i="4"/>
  <c r="F112" i="4"/>
  <c r="H111" i="4"/>
  <c r="F111" i="4"/>
  <c r="F110" i="4"/>
  <c r="F109" i="4"/>
  <c r="F108" i="4"/>
  <c r="F107" i="4"/>
  <c r="F106" i="4"/>
  <c r="H105" i="4"/>
  <c r="F105" i="4"/>
  <c r="H104" i="4"/>
  <c r="F104" i="4"/>
  <c r="H103" i="4"/>
  <c r="F103" i="4"/>
  <c r="H102" i="4"/>
  <c r="F102" i="4"/>
  <c r="H101" i="4"/>
  <c r="F101" i="4"/>
  <c r="H100" i="4"/>
  <c r="F100" i="4"/>
  <c r="H99" i="4"/>
  <c r="F99" i="4"/>
  <c r="H98" i="4"/>
  <c r="F98" i="4"/>
  <c r="H97" i="4"/>
  <c r="F97" i="4"/>
  <c r="H96" i="4"/>
  <c r="F96" i="4"/>
  <c r="F95" i="4"/>
  <c r="F94" i="4"/>
  <c r="H93" i="4"/>
  <c r="F93" i="4"/>
  <c r="F92" i="4"/>
  <c r="F91" i="4"/>
  <c r="F90" i="4"/>
  <c r="F89" i="4"/>
  <c r="F88" i="4"/>
  <c r="H87" i="4"/>
  <c r="F87" i="4"/>
  <c r="H86" i="4"/>
  <c r="F86" i="4"/>
  <c r="H85" i="4"/>
  <c r="F85" i="4"/>
  <c r="H84" i="4"/>
  <c r="F84" i="4"/>
  <c r="H83" i="4"/>
  <c r="F83" i="4"/>
  <c r="H82" i="4"/>
  <c r="F82" i="4"/>
  <c r="H81" i="4"/>
  <c r="F81" i="4"/>
  <c r="H80" i="4"/>
  <c r="F80" i="4"/>
  <c r="H79" i="4"/>
  <c r="F79" i="4"/>
  <c r="H78" i="4"/>
  <c r="F78" i="4"/>
  <c r="F77" i="4"/>
  <c r="F76" i="4"/>
  <c r="H75" i="4"/>
  <c r="F75" i="4"/>
  <c r="F74" i="4"/>
  <c r="F73" i="4"/>
  <c r="F72" i="4"/>
  <c r="F71" i="4"/>
  <c r="F70" i="4"/>
  <c r="H69" i="4"/>
  <c r="F69" i="4"/>
  <c r="H68" i="4"/>
  <c r="F68" i="4"/>
  <c r="H67" i="4"/>
  <c r="F67" i="4"/>
  <c r="H66" i="4"/>
  <c r="F66" i="4"/>
  <c r="H65" i="4"/>
  <c r="F65" i="4"/>
  <c r="H64" i="4"/>
  <c r="F64" i="4"/>
  <c r="H63" i="4"/>
  <c r="F63" i="4"/>
  <c r="H62" i="4"/>
  <c r="F62" i="4"/>
  <c r="H61" i="4"/>
  <c r="F61" i="4"/>
  <c r="H60" i="4"/>
  <c r="F60" i="4"/>
  <c r="F59" i="4"/>
  <c r="F58" i="4"/>
  <c r="H57" i="4"/>
  <c r="F57" i="4"/>
  <c r="F56" i="4"/>
  <c r="F55" i="4"/>
  <c r="F54" i="4"/>
  <c r="F53" i="4"/>
  <c r="F52" i="4"/>
  <c r="H51" i="4"/>
  <c r="F51" i="4"/>
  <c r="H50" i="4"/>
  <c r="F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F41" i="4"/>
  <c r="F40" i="4"/>
  <c r="H39" i="4"/>
  <c r="F39" i="4"/>
  <c r="F38" i="4"/>
  <c r="F37" i="4"/>
  <c r="F36" i="4"/>
  <c r="F35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F23" i="4"/>
  <c r="F22" i="4"/>
  <c r="H21" i="4"/>
  <c r="F21" i="4"/>
  <c r="F20" i="4"/>
  <c r="F19" i="4"/>
  <c r="F18" i="4"/>
  <c r="F17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B11" i="6" l="1"/>
  <c r="H23" i="4"/>
</calcChain>
</file>

<file path=xl/sharedStrings.xml><?xml version="1.0" encoding="utf-8"?>
<sst xmlns="http://schemas.openxmlformats.org/spreadsheetml/2006/main" count="1966" uniqueCount="540">
  <si>
    <t>AeliusParallel Group — Org Structure Template</t>
  </si>
  <si>
    <t>Fill this template to integrate the org chart into HRMS. v1.0 · 2026-05-13</t>
  </si>
  <si>
    <t>What you need to fill</t>
  </si>
  <si>
    <t>Sheet</t>
  </si>
  <si>
    <t>What to do</t>
  </si>
  <si>
    <t>1. Verticals</t>
  </si>
  <si>
    <t>REVIEW the 21 verticals listed. Edit names/descriptions if needed. Add or delete rows. The ID column (Column A) is critical — it's the slug used everywhere else.</t>
  </si>
  <si>
    <t>2. Vertical Heads</t>
  </si>
  <si>
    <t>For each vertical, fill in the Head (employee). Use the EID from Reference sheet or pick from dropdown. Optional: Deputy Head, Dotted-line Head (if shared).</t>
  </si>
  <si>
    <t>3. Reporting Lines</t>
  </si>
  <si>
    <t>For each of the 123 employees: confirm/update Vertical ID and Reports To (manager's EID). Optional: Dotted Line Manager. Suggested vertical is pre-filled — change if wrong.</t>
  </si>
  <si>
    <t>4. Reference</t>
  </si>
  <si>
    <t>READ-ONLY lookup tables — employees (EID, Name) and verticals (ID, Name). Used by dropdowns.</t>
  </si>
  <si>
    <t>5. Validation</t>
  </si>
  <si>
    <t>Auto-checks for orphans, circular reports, vertical mismatches. Review before submitting.</t>
  </si>
  <si>
    <t>Color Coding</t>
  </si>
  <si>
    <t>White cells (oxblood text)</t>
  </si>
  <si>
    <t>EDITABLE — fill these in</t>
  </si>
  <si>
    <t>Light beige cells</t>
  </si>
  <si>
    <t>LOCKED — pre-filled reference data, don't change</t>
  </si>
  <si>
    <t>Dark ink header</t>
  </si>
  <si>
    <t>Column headers</t>
  </si>
  <si>
    <t>Once complete</t>
  </si>
  <si>
    <t>1. Save the file (keep the .xlsx format)</t>
  </si>
  <si>
    <t>2. Upload back into the chat</t>
  </si>
  <si>
    <t>3. We'll build the integrated org chart inside HRMS — verticals, headcounts, reporting tree, vertical heads — all live from this data</t>
  </si>
  <si>
    <t>Tips:</t>
  </si>
  <si>
    <t>• Reports To is by EID, not by name (e.g. 'APHL0003' not 'Anurag Kumar')</t>
  </si>
  <si>
    <t>• Each vertical should have a Head — even if it's a Founder (FO)</t>
  </si>
  <si>
    <t>• Use Dotted Line Manager for matrix relationships (e.g. PMS Lead has dotted line to Procurement)</t>
  </si>
  <si>
    <t>• Validation sheet auto-flags problems — fix them before submitting</t>
  </si>
  <si>
    <t>Vertical Master List</t>
  </si>
  <si>
    <t>Edit names/descriptions. ID column (A) is the slug used in other sheets — change carefully.</t>
  </si>
  <si>
    <t>Vertical ID</t>
  </si>
  <si>
    <t>Vertical Name</t>
  </si>
  <si>
    <t>Belongs To</t>
  </si>
  <si>
    <t>Description / Scope</t>
  </si>
  <si>
    <t>FO</t>
  </si>
  <si>
    <t>Founder's Office</t>
  </si>
  <si>
    <t>Both</t>
  </si>
  <si>
    <t>Sankalp &amp; Manisha · Apex authority</t>
  </si>
  <si>
    <t>DATA-MIS</t>
  </si>
  <si>
    <t>Data &amp; MIS</t>
  </si>
  <si>
    <t>Shared independent resource · Sits under FO · Interworks with PMS &amp; SOPSO</t>
  </si>
  <si>
    <t>FIN-STR</t>
  </si>
  <si>
    <t>Financial Strategy &amp; Control</t>
  </si>
  <si>
    <t>Group shared · Encompassing auditor for all verticals across both entities</t>
  </si>
  <si>
    <t>ADMIN</t>
  </si>
  <si>
    <t>Administrative Services</t>
  </si>
  <si>
    <t>Shared · HR, Facilities, IT, Legal liaison, Back-office</t>
  </si>
  <si>
    <t>CRM</t>
  </si>
  <si>
    <t>Shared · D2C + Offline + B2B customer lifecycle</t>
  </si>
  <si>
    <t>PMS</t>
  </si>
  <si>
    <t>Programme Management Services</t>
  </si>
  <si>
    <t>APHL</t>
  </si>
  <si>
    <t>Co-pilot for Aelius delivery · Cross-vertical project tracking</t>
  </si>
  <si>
    <t>RD-AEL</t>
  </si>
  <si>
    <t>Research &amp; Development (APHL)</t>
  </si>
  <si>
    <t>Formulation &amp; product development for Aelius</t>
  </si>
  <si>
    <t>QCA</t>
  </si>
  <si>
    <t>Quality Control &amp; Assurance</t>
  </si>
  <si>
    <t>Incoming QC, in-process, finished goods, audits</t>
  </si>
  <si>
    <t>PROC</t>
  </si>
  <si>
    <t>Procurement Services</t>
  </si>
  <si>
    <t>Vendor management, RM purchasing, cost negotiation</t>
  </si>
  <si>
    <t>WHS</t>
  </si>
  <si>
    <t>Warehousing Services</t>
  </si>
  <si>
    <t>RM storage, finished goods, dispatch coordination</t>
  </si>
  <si>
    <t>MFG</t>
  </si>
  <si>
    <t>Manufacturing Services</t>
  </si>
  <si>
    <t>Production, planning, plant operations</t>
  </si>
  <si>
    <t>FIN-AEL</t>
  </si>
  <si>
    <t>Accounting Office — APHL</t>
  </si>
  <si>
    <t>Independent controller for Aelius entity</t>
  </si>
  <si>
    <t>SOPSO</t>
  </si>
  <si>
    <t>Sales Operations &amp; Planning</t>
  </si>
  <si>
    <t>Veridian</t>
  </si>
  <si>
    <t>Governs offline sales operationally</t>
  </si>
  <si>
    <t>ECOM</t>
  </si>
  <si>
    <t>Ecommerce &amp; Online Sales</t>
  </si>
  <si>
    <t>D2C online channels</t>
  </si>
  <si>
    <t>MKTG</t>
  </si>
  <si>
    <t>Marketing</t>
  </si>
  <si>
    <t>Brand, performance marketing, content</t>
  </si>
  <si>
    <t>SALES-OFF</t>
  </si>
  <si>
    <t>Offline Sales Team</t>
  </si>
  <si>
    <t>Field sales, distributor management</t>
  </si>
  <si>
    <t>SALES-REG</t>
  </si>
  <si>
    <t>Regional Sales &amp; Technical Team</t>
  </si>
  <si>
    <t>Regional KAMs, technical sales</t>
  </si>
  <si>
    <t>RD-VER</t>
  </si>
  <si>
    <t>Research &amp; Development (Veridian)</t>
  </si>
  <si>
    <t>Brand-side R&amp;D, NPD</t>
  </si>
  <si>
    <t>TSD</t>
  </si>
  <si>
    <t>Training &amp; Skill Development</t>
  </si>
  <si>
    <t>Sales training, capability building</t>
  </si>
  <si>
    <t>FIN-VER</t>
  </si>
  <si>
    <t>Accounting Office — Veridian</t>
  </si>
  <si>
    <t>Independent controller for Veridian entity</t>
  </si>
  <si>
    <t>Vertical Heads</t>
  </si>
  <si>
    <t>Who leads each vertical? Use EID (e.g. APHL0003) — Name auto-fills from Reference sheet.</t>
  </si>
  <si>
    <t>Head (EID)</t>
  </si>
  <si>
    <t>Head (Name — auto)</t>
  </si>
  <si>
    <t>Deputy Head (EID, optional)</t>
  </si>
  <si>
    <t>Deputy (Name — auto)</t>
  </si>
  <si>
    <t>Dotted Head (EID, optional)</t>
  </si>
  <si>
    <t>Notes</t>
  </si>
  <si>
    <t>Sankalp + Manisha (Co-Founders)</t>
  </si>
  <si>
    <t>Reporting Lines — Per Employee</t>
  </si>
  <si>
    <t>For each employee: confirm vertical and reports-to. Pre-filled best-guess in oxblood — review and correct.</t>
  </si>
  <si>
    <t>EID</t>
  </si>
  <si>
    <t>Name (auto)</t>
  </si>
  <si>
    <t>Entity</t>
  </si>
  <si>
    <t>Current Vertical (from HRMS)</t>
  </si>
  <si>
    <t>Vertical ID (assign)</t>
  </si>
  <si>
    <t>Vertical Name (auto)</t>
  </si>
  <si>
    <t>Reports To (EID)</t>
  </si>
  <si>
    <t>Reports To (Name — auto)</t>
  </si>
  <si>
    <t>Dotted Line Manager (EID, optional)</t>
  </si>
  <si>
    <t>Location</t>
  </si>
  <si>
    <t>Status</t>
  </si>
  <si>
    <t>APHL0003</t>
  </si>
  <si>
    <t>Anurag Kumar</t>
  </si>
  <si>
    <t>Product Management (PMS)</t>
  </si>
  <si>
    <t>Gurugram</t>
  </si>
  <si>
    <t>Active</t>
  </si>
  <si>
    <t>APHL0004</t>
  </si>
  <si>
    <t>Gopal Sharma</t>
  </si>
  <si>
    <t>R&amp;D / Formulation</t>
  </si>
  <si>
    <t>APHL0005</t>
  </si>
  <si>
    <t>Uday Kumar Singh</t>
  </si>
  <si>
    <t>Finance &amp; Accounts</t>
  </si>
  <si>
    <t>APHL0006</t>
  </si>
  <si>
    <t>Mukul Shriram</t>
  </si>
  <si>
    <t>Manufacturing Operations</t>
  </si>
  <si>
    <t>APHL0007</t>
  </si>
  <si>
    <t>Basudev Das</t>
  </si>
  <si>
    <t>Admin &amp; Facilities</t>
  </si>
  <si>
    <t>APHL0008</t>
  </si>
  <si>
    <t>Prashant Kumar Pandey</t>
  </si>
  <si>
    <t>APHL0009</t>
  </si>
  <si>
    <t>Punit Kumar</t>
  </si>
  <si>
    <t>APHL0010</t>
  </si>
  <si>
    <t>Mitanshi Jain</t>
  </si>
  <si>
    <t>APHL0011</t>
  </si>
  <si>
    <t>Rinki Bisht</t>
  </si>
  <si>
    <t>APHL0012</t>
  </si>
  <si>
    <t>Gunjan Kishore</t>
  </si>
  <si>
    <t>APHL0013</t>
  </si>
  <si>
    <t>Arvind Pal Singh</t>
  </si>
  <si>
    <t>APHL0014</t>
  </si>
  <si>
    <t>Ashish Chauhan</t>
  </si>
  <si>
    <t>Procurement &amp; SCM</t>
  </si>
  <si>
    <t>APHL0015</t>
  </si>
  <si>
    <t>Aarti Sharma</t>
  </si>
  <si>
    <t>APHL0016</t>
  </si>
  <si>
    <t>Ashish Kumar</t>
  </si>
  <si>
    <t>APHL0017</t>
  </si>
  <si>
    <t>Reva Saini</t>
  </si>
  <si>
    <t>APHL0018</t>
  </si>
  <si>
    <t>Ravi Shankar</t>
  </si>
  <si>
    <t>APHL0019</t>
  </si>
  <si>
    <t>Lakshay Chaudhary</t>
  </si>
  <si>
    <t>Exited</t>
  </si>
  <si>
    <t>APHL0020</t>
  </si>
  <si>
    <t>Kamal Kant Gautam</t>
  </si>
  <si>
    <t>APHL0021</t>
  </si>
  <si>
    <t>Diksha Singh</t>
  </si>
  <si>
    <t>APHL0022</t>
  </si>
  <si>
    <t>Abhishek Kumar</t>
  </si>
  <si>
    <t>APHL0023</t>
  </si>
  <si>
    <t>Vinay Kumar Verma</t>
  </si>
  <si>
    <t>APHL0024</t>
  </si>
  <si>
    <t>Vivek Kumar</t>
  </si>
  <si>
    <t>APHL0025</t>
  </si>
  <si>
    <t>Prince Verma</t>
  </si>
  <si>
    <t>APHL0026</t>
  </si>
  <si>
    <t>Chintu Kumar</t>
  </si>
  <si>
    <t>APHL0027</t>
  </si>
  <si>
    <t>Kailash Chandra</t>
  </si>
  <si>
    <t>APHL0028</t>
  </si>
  <si>
    <t>Kunal Ranjan</t>
  </si>
  <si>
    <t>APHL0029</t>
  </si>
  <si>
    <t>Gursewak Singh</t>
  </si>
  <si>
    <t>APHL0030</t>
  </si>
  <si>
    <t>Anmol Kumar</t>
  </si>
  <si>
    <t>APHL0031</t>
  </si>
  <si>
    <t>Mahesh Shah</t>
  </si>
  <si>
    <t>APHL0032</t>
  </si>
  <si>
    <t>Joginder Sngh Rana</t>
  </si>
  <si>
    <t>VD0001</t>
  </si>
  <si>
    <t>Minakshi Arora</t>
  </si>
  <si>
    <t>Human Resources</t>
  </si>
  <si>
    <t>VD0002</t>
  </si>
  <si>
    <t>R Anandakumar</t>
  </si>
  <si>
    <t>Sales &amp; BD</t>
  </si>
  <si>
    <t>Chennai</t>
  </si>
  <si>
    <t>VD0003</t>
  </si>
  <si>
    <t>Sharon Stephen</t>
  </si>
  <si>
    <t>Coimbatore</t>
  </si>
  <si>
    <t>VD0004</t>
  </si>
  <si>
    <t>Devitha</t>
  </si>
  <si>
    <t>VD0005</t>
  </si>
  <si>
    <t>Bharat Goswami</t>
  </si>
  <si>
    <t>VD0006</t>
  </si>
  <si>
    <t>Ajay Gupta</t>
  </si>
  <si>
    <t>Ahmedabad﻿</t>
  </si>
  <si>
    <t>VD0007</t>
  </si>
  <si>
    <t>Karthikan S</t>
  </si>
  <si>
    <t>Bengaluru</t>
  </si>
  <si>
    <t>VD0008</t>
  </si>
  <si>
    <t>M Raju</t>
  </si>
  <si>
    <t>Hyderabad</t>
  </si>
  <si>
    <t>VD0009</t>
  </si>
  <si>
    <t>Vipins P S</t>
  </si>
  <si>
    <t>Thiruvananthapuram</t>
  </si>
  <si>
    <t>VD0010</t>
  </si>
  <si>
    <t>Sakthish S</t>
  </si>
  <si>
    <t>VD0011</t>
  </si>
  <si>
    <t>Vishakha V.Sawant</t>
  </si>
  <si>
    <t>Mumbai</t>
  </si>
  <si>
    <t>VD0012</t>
  </si>
  <si>
    <t>Rohit Chaudhary</t>
  </si>
  <si>
    <t>VD0013</t>
  </si>
  <si>
    <t>Abhinav S. Bahadure</t>
  </si>
  <si>
    <t>Nagpur</t>
  </si>
  <si>
    <t>VD0014</t>
  </si>
  <si>
    <t>Anju Sharma</t>
  </si>
  <si>
    <t>Shillong</t>
  </si>
  <si>
    <t>VD0015</t>
  </si>
  <si>
    <t>Ajay Mishra</t>
  </si>
  <si>
    <t>Delhi NCR</t>
  </si>
  <si>
    <t>VD0016</t>
  </si>
  <si>
    <t>Jayanthi.R</t>
  </si>
  <si>
    <t>VD0017</t>
  </si>
  <si>
    <t>Payal Das</t>
  </si>
  <si>
    <t>Guwahati</t>
  </si>
  <si>
    <t>VD0018</t>
  </si>
  <si>
    <t>Devi Thapa</t>
  </si>
  <si>
    <t>Silchar</t>
  </si>
  <si>
    <t>VD0019</t>
  </si>
  <si>
    <t>Shariq Khan</t>
  </si>
  <si>
    <t>Lucknow</t>
  </si>
  <si>
    <t>VD0020</t>
  </si>
  <si>
    <t>Chamta Kesarwani</t>
  </si>
  <si>
    <t>Allahabad</t>
  </si>
  <si>
    <t>VD0021</t>
  </si>
  <si>
    <t>Sonia S</t>
  </si>
  <si>
    <t>Kochi</t>
  </si>
  <si>
    <t>VD0022</t>
  </si>
  <si>
    <t>Kiran Kumar Patel</t>
  </si>
  <si>
    <t>VD0023</t>
  </si>
  <si>
    <t>Amit Singh</t>
  </si>
  <si>
    <t>VD0024</t>
  </si>
  <si>
    <t>Sameer Kumar</t>
  </si>
  <si>
    <t>Marketing &amp; Brand</t>
  </si>
  <si>
    <t>VD0025</t>
  </si>
  <si>
    <t>Keerti Santosh Bagade</t>
  </si>
  <si>
    <t>VD0026</t>
  </si>
  <si>
    <t>Ritika Roy</t>
  </si>
  <si>
    <t>VD0027</t>
  </si>
  <si>
    <t>Korrayya Siva Kumar</t>
  </si>
  <si>
    <t>Visakhapatnam</t>
  </si>
  <si>
    <t>VD0028</t>
  </si>
  <si>
    <t>Suneyna Gavshinde</t>
  </si>
  <si>
    <t>Bhopal</t>
  </si>
  <si>
    <t>VD0029</t>
  </si>
  <si>
    <t>Niva Rajbongshi</t>
  </si>
  <si>
    <t>VD0030</t>
  </si>
  <si>
    <t>Hirak Jyoti Barman</t>
  </si>
  <si>
    <t>VD0031</t>
  </si>
  <si>
    <t>Roshan Dinesh</t>
  </si>
  <si>
    <t>VD0032</t>
  </si>
  <si>
    <t>Santoshi Maruti Kadam</t>
  </si>
  <si>
    <t>VD0033</t>
  </si>
  <si>
    <t>Pooja S</t>
  </si>
  <si>
    <t>VD0034</t>
  </si>
  <si>
    <t>Mounika Kaithala</t>
  </si>
  <si>
    <t>VD0035</t>
  </si>
  <si>
    <t>Mandeep Singh</t>
  </si>
  <si>
    <t>Ludhiana</t>
  </si>
  <si>
    <t>VD0036</t>
  </si>
  <si>
    <t>Nisha Bhatia</t>
  </si>
  <si>
    <t>Kanpur</t>
  </si>
  <si>
    <t>VD0037</t>
  </si>
  <si>
    <t>Manohar.B. Bannigol</t>
  </si>
  <si>
    <t>Hubli</t>
  </si>
  <si>
    <t>VD0038</t>
  </si>
  <si>
    <t>Mohammad Naseema</t>
  </si>
  <si>
    <t>VD0039</t>
  </si>
  <si>
    <t>V.Sowbhagyavathi</t>
  </si>
  <si>
    <t>VD0040</t>
  </si>
  <si>
    <t>Ashikant Pathak</t>
  </si>
  <si>
    <t>VD0041</t>
  </si>
  <si>
    <t>Babu P</t>
  </si>
  <si>
    <t>Madurai</t>
  </si>
  <si>
    <t>VD0042</t>
  </si>
  <si>
    <t>Mohammed Ashif PA</t>
  </si>
  <si>
    <t>VD0043</t>
  </si>
  <si>
    <t>Kalashikam Ramesh</t>
  </si>
  <si>
    <t>VD0044</t>
  </si>
  <si>
    <t>Murali</t>
  </si>
  <si>
    <t>VD0045</t>
  </si>
  <si>
    <t>Jyoti kaushik</t>
  </si>
  <si>
    <t>VD0047</t>
  </si>
  <si>
    <t>Manjit Kaur</t>
  </si>
  <si>
    <t>VD0048</t>
  </si>
  <si>
    <t>Don Sebastian</t>
  </si>
  <si>
    <t>Kozhikode</t>
  </si>
  <si>
    <t>VD0049</t>
  </si>
  <si>
    <t>Roja R</t>
  </si>
  <si>
    <t>VD0050</t>
  </si>
  <si>
    <t>Deepak Rawat</t>
  </si>
  <si>
    <t>Jaipur</t>
  </si>
  <si>
    <t>VD0051</t>
  </si>
  <si>
    <t>Koushik Kar</t>
  </si>
  <si>
    <t>Kolkata</t>
  </si>
  <si>
    <t>VD0052</t>
  </si>
  <si>
    <t>Vijay Jha</t>
  </si>
  <si>
    <t>VD0053</t>
  </si>
  <si>
    <t>Chottu Debnath</t>
  </si>
  <si>
    <t>Jorhat</t>
  </si>
  <si>
    <t>VD0055</t>
  </si>
  <si>
    <t>Tamilselvi Selvam</t>
  </si>
  <si>
    <t>VD0056</t>
  </si>
  <si>
    <t>Ishan Bhadauria</t>
  </si>
  <si>
    <t>VD0057</t>
  </si>
  <si>
    <t>Chetan﻿ Sharma</t>
  </si>
  <si>
    <t>Ludhiana﻿</t>
  </si>
  <si>
    <t>VD0058</t>
  </si>
  <si>
    <t>Saleen shaikh</t>
  </si>
  <si>
    <t>VD0059</t>
  </si>
  <si>
    <t>Anukriti</t>
  </si>
  <si>
    <t>VD0060</t>
  </si>
  <si>
    <t>Anita Chandel</t>
  </si>
  <si>
    <t>Indore</t>
  </si>
  <si>
    <t>VD0061</t>
  </si>
  <si>
    <t>Vivek Shikha</t>
  </si>
  <si>
    <t>VD0063</t>
  </si>
  <si>
    <t>Rakesh Kumar P. Mishra</t>
  </si>
  <si>
    <t>VD0064</t>
  </si>
  <si>
    <t>Shaik abdul Subhan</t>
  </si>
  <si>
    <t>Vijaywada</t>
  </si>
  <si>
    <t>VD0065</t>
  </si>
  <si>
    <t>Peali Bepari</t>
  </si>
  <si>
    <t>VD0067</t>
  </si>
  <si>
    <t>Rajwinder Kaur</t>
  </si>
  <si>
    <t>Amritsar</t>
  </si>
  <si>
    <t>VD0068</t>
  </si>
  <si>
    <t>Devkaran Bhudharjibhai Sagathiya</t>
  </si>
  <si>
    <t>Rajkot</t>
  </si>
  <si>
    <t>VD0069</t>
  </si>
  <si>
    <t>Shahbaaz Khan</t>
  </si>
  <si>
    <t>VD0070</t>
  </si>
  <si>
    <t>Honey C B</t>
  </si>
  <si>
    <t>Thrissur</t>
  </si>
  <si>
    <t>VD0071</t>
  </si>
  <si>
    <t>Jerin Rajan Mathew</t>
  </si>
  <si>
    <t>Pathanamthitta</t>
  </si>
  <si>
    <t>VD0072</t>
  </si>
  <si>
    <t>Monika Verma</t>
  </si>
  <si>
    <t>VD0073</t>
  </si>
  <si>
    <t>Sanyog Shinde</t>
  </si>
  <si>
    <t>Nashik</t>
  </si>
  <si>
    <t>VD0074</t>
  </si>
  <si>
    <t>Sanjana Saraswat</t>
  </si>
  <si>
    <t>VD0075</t>
  </si>
  <si>
    <t>Gourav Sharma</t>
  </si>
  <si>
    <t>Jammu</t>
  </si>
  <si>
    <t>VD0076</t>
  </si>
  <si>
    <t>Bhupinder Kaur</t>
  </si>
  <si>
    <t>Chandigarh</t>
  </si>
  <si>
    <t>VD0077</t>
  </si>
  <si>
    <t>Ujjawal Kumar Pandey</t>
  </si>
  <si>
    <t>Varanasi</t>
  </si>
  <si>
    <t>VD0078</t>
  </si>
  <si>
    <t>Mousumi Sarkar</t>
  </si>
  <si>
    <t>VD0079</t>
  </si>
  <si>
    <t>Gajendra Shakywal</t>
  </si>
  <si>
    <t>Udaipur</t>
  </si>
  <si>
    <t>VD0080</t>
  </si>
  <si>
    <t>Abhishek Paul</t>
  </si>
  <si>
    <t>Tinsukia</t>
  </si>
  <si>
    <t>VD0081</t>
  </si>
  <si>
    <t>Neha Singh</t>
  </si>
  <si>
    <t>VD0082</t>
  </si>
  <si>
    <t>Kalpana Sonone</t>
  </si>
  <si>
    <t>VD0083</t>
  </si>
  <si>
    <t>Tapre Veena Shailesh</t>
  </si>
  <si>
    <t>Baroda</t>
  </si>
  <si>
    <t>VD0084</t>
  </si>
  <si>
    <t>Nitesh Prajapati</t>
  </si>
  <si>
    <t>VD0085</t>
  </si>
  <si>
    <t>Abhishek Gajanan Ghode</t>
  </si>
  <si>
    <t>Amravati</t>
  </si>
  <si>
    <t>VD0086</t>
  </si>
  <si>
    <t>Abhinandan Mehra</t>
  </si>
  <si>
    <t>VD0087</t>
  </si>
  <si>
    <t>Som Singh</t>
  </si>
  <si>
    <t>VD0088</t>
  </si>
  <si>
    <t>Sherin K A</t>
  </si>
  <si>
    <t>Palakkad</t>
  </si>
  <si>
    <t>VD0089</t>
  </si>
  <si>
    <t>Meghna Khosla</t>
  </si>
  <si>
    <t>VD0091</t>
  </si>
  <si>
    <t>Jasveer Singh Gahlot</t>
  </si>
  <si>
    <t>VD0092</t>
  </si>
  <si>
    <t>Vikram Kumar</t>
  </si>
  <si>
    <t>Bathinda</t>
  </si>
  <si>
    <t>VD0093</t>
  </si>
  <si>
    <t>Vinitha V</t>
  </si>
  <si>
    <t>VD0094</t>
  </si>
  <si>
    <t>Lidya S</t>
  </si>
  <si>
    <t>VD0095</t>
  </si>
  <si>
    <t>VD0096</t>
  </si>
  <si>
    <t>Shivji Mishra</t>
  </si>
  <si>
    <t>VD0097</t>
  </si>
  <si>
    <t>Alok Mehlotra</t>
  </si>
  <si>
    <t>Bareilly</t>
  </si>
  <si>
    <t>VD0098</t>
  </si>
  <si>
    <t>Pranjal Singh</t>
  </si>
  <si>
    <t>Name</t>
  </si>
  <si>
    <t>Designation</t>
  </si>
  <si>
    <t>Lead- Programme Management</t>
  </si>
  <si>
    <t>Senior Formulation Chemist</t>
  </si>
  <si>
    <t>Sr. Accountant</t>
  </si>
  <si>
    <t>Manufacturing Chemist</t>
  </si>
  <si>
    <t>Facility Management Supervisior</t>
  </si>
  <si>
    <t>Production &amp; Filling Supervisior</t>
  </si>
  <si>
    <t>Lead - Assest Management Services</t>
  </si>
  <si>
    <t>Junior QC</t>
  </si>
  <si>
    <t>Quality Control Executive</t>
  </si>
  <si>
    <t>MIS Executive</t>
  </si>
  <si>
    <t>Head QC&amp;QA</t>
  </si>
  <si>
    <t>Asst warehouse manager</t>
  </si>
  <si>
    <t>Accountant</t>
  </si>
  <si>
    <t>Executive Asset Management</t>
  </si>
  <si>
    <t>Program Management Associate</t>
  </si>
  <si>
    <t>Jr. Executive Asset Management</t>
  </si>
  <si>
    <t>Formulation Chemist</t>
  </si>
  <si>
    <t>Warehouse Manager</t>
  </si>
  <si>
    <t>Programme Management Executive</t>
  </si>
  <si>
    <t>Supervisor Packaging Line</t>
  </si>
  <si>
    <t>Executive Bulk Manufacturing</t>
  </si>
  <si>
    <t>Supervisor Kt Assembly</t>
  </si>
  <si>
    <t>Supervisor Sachet Machine</t>
  </si>
  <si>
    <t>Machine Operator / Filling Machine</t>
  </si>
  <si>
    <t>Machine Operator / Scahet Machine</t>
  </si>
  <si>
    <t>Executive R&amp;D</t>
  </si>
  <si>
    <t>Driver</t>
  </si>
  <si>
    <t>Technical Trainer -Expert</t>
  </si>
  <si>
    <t>Business Head</t>
  </si>
  <si>
    <t>Business Development Manager</t>
  </si>
  <si>
    <t>Senior Accountant</t>
  </si>
  <si>
    <t>Area Sales Manager</t>
  </si>
  <si>
    <t>Senior Business Development Manager</t>
  </si>
  <si>
    <t>Lead - Sales Operation Planning &amp; Startegy Office</t>
  </si>
  <si>
    <t>Business Development Executive</t>
  </si>
  <si>
    <t>Senior Technical Trainer</t>
  </si>
  <si>
    <t>Senior Techno Sales</t>
  </si>
  <si>
    <t>Techno Sales</t>
  </si>
  <si>
    <t>Technical Trainer</t>
  </si>
  <si>
    <t>E-COM  Manager</t>
  </si>
  <si>
    <t>Creative Artist</t>
  </si>
  <si>
    <t>Human Resource Executive</t>
  </si>
  <si>
    <t>Sales Officer</t>
  </si>
  <si>
    <t>Senior Skin Technical Trainer</t>
  </si>
  <si>
    <t>Warehouse Executive</t>
  </si>
  <si>
    <r>
      <rPr>
        <sz val="11"/>
        <color theme="1"/>
        <rFont val="Calibri"/>
        <family val="2"/>
        <charset val="1"/>
      </rPr>
      <t>Chetan</t>
    </r>
    <r>
      <rPr>
        <sz val="11"/>
        <color theme="1"/>
        <rFont val="FreeSans"/>
        <family val="2"/>
      </rPr>
      <t xml:space="preserve">﻿ </t>
    </r>
    <r>
      <rPr>
        <sz val="11"/>
        <color theme="1"/>
        <rFont val="Calibri"/>
        <family val="2"/>
        <charset val="1"/>
      </rPr>
      <t>Sharma</t>
    </r>
  </si>
  <si>
    <t>Sales Corodinator</t>
  </si>
  <si>
    <t>Marketing Executive</t>
  </si>
  <si>
    <t>Technical Trainer (Skin &amp; Hair)</t>
  </si>
  <si>
    <t>E-commerce Operations Executive</t>
  </si>
  <si>
    <t>Technical Trainer - Hair</t>
  </si>
  <si>
    <t>Communication Associate</t>
  </si>
  <si>
    <t>E-commerce Associate</t>
  </si>
  <si>
    <t>E-commerce Manager</t>
  </si>
  <si>
    <t>Validation Checks</t>
  </si>
  <si>
    <t>Auto-flags problems in the Reporting Lines and Vertical Heads sheets. Re-check after editing.</t>
  </si>
  <si>
    <t>Check</t>
  </si>
  <si>
    <t>Result</t>
  </si>
  <si>
    <t>Total employees in template</t>
  </si>
  <si>
    <t>Should equal 123</t>
  </si>
  <si>
    <t>Employees without vertical assigned</t>
  </si>
  <si>
    <t>Each employee must have a Vertical ID. Fix if &gt;0.</t>
  </si>
  <si>
    <t>Employees without reports-to</t>
  </si>
  <si>
    <t>Founders can be empty; others should have a manager.</t>
  </si>
  <si>
    <t>Verticals without Head</t>
  </si>
  <si>
    <t>Each vertical should have a Head.</t>
  </si>
  <si>
    <t>Self-reports (reports to self)</t>
  </si>
  <si>
    <t>Should be 0. Fix any rows where EID = Reports To.</t>
  </si>
  <si>
    <t>Invalid vertical IDs in Reporting Lines</t>
  </si>
  <si>
    <t>Should be 0. Each Vertical ID must exist in Verticals sheet.</t>
  </si>
  <si>
    <t>Invalid Reports-To EIDs</t>
  </si>
  <si>
    <t>Should be 0. Each Reports-To must be a valid EID.</t>
  </si>
  <si>
    <t>Common Dotted-Line Relationships (Reference)</t>
  </si>
  <si>
    <t>Dotted line to PMS (Aelius) and SOPSO (Veridian)</t>
  </si>
  <si>
    <t>Dotted line audit relationship with every vertical</t>
  </si>
  <si>
    <t>Dotted line to Ecommerce (D2C), SOPSO (Offline), and Sales (B2B Aelius)</t>
  </si>
  <si>
    <t>Serves both entities — proportional reporting</t>
  </si>
  <si>
    <t>PMS Lead</t>
  </si>
  <si>
    <t>Dotted line to QCA, Procurement, Manufacturing for project delivery</t>
  </si>
  <si>
    <t>Sankalp Chopra</t>
  </si>
  <si>
    <t>Jatin Gupta</t>
  </si>
  <si>
    <t>Kamal Kant</t>
  </si>
  <si>
    <t>Manisha Chopra</t>
  </si>
  <si>
    <t>Vipin PS</t>
  </si>
  <si>
    <t>APHL0033</t>
  </si>
  <si>
    <t>Jeevika Mahajan</t>
  </si>
  <si>
    <t>APHLR0001</t>
  </si>
  <si>
    <t>Prem Gupta</t>
  </si>
  <si>
    <t>VDR0009</t>
  </si>
  <si>
    <t>Vedanti Singh</t>
  </si>
  <si>
    <t>APHLR0002</t>
  </si>
  <si>
    <t>Yashi Gupta</t>
  </si>
  <si>
    <t>VDR0010</t>
  </si>
  <si>
    <t>Amit Kumar Thakur</t>
  </si>
  <si>
    <t>VDR0011</t>
  </si>
  <si>
    <t>Sumitaben Ramkumar Dave</t>
  </si>
  <si>
    <t>APHLR0003</t>
  </si>
  <si>
    <t>Aastha Goel</t>
  </si>
  <si>
    <t>VDR0002</t>
  </si>
  <si>
    <t>Adityani</t>
  </si>
  <si>
    <t>VDR0003</t>
  </si>
  <si>
    <t>Unnati Gailakoti</t>
  </si>
  <si>
    <t>VDR0004</t>
  </si>
  <si>
    <t>Salma Sulthana</t>
  </si>
  <si>
    <t>VDR0005</t>
  </si>
  <si>
    <t>Priyanshi Chhabra</t>
  </si>
  <si>
    <t>VDR0006</t>
  </si>
  <si>
    <t>Rakhi Mallick</t>
  </si>
  <si>
    <t>VDR0007</t>
  </si>
  <si>
    <t>Inapakurthi Bala Tripura Sundari Devi</t>
  </si>
  <si>
    <t>VDR0008</t>
  </si>
  <si>
    <t>Priyanka Narnaware</t>
  </si>
  <si>
    <t>Howrah</t>
  </si>
  <si>
    <t>TBA</t>
  </si>
  <si>
    <t>Sankalp</t>
  </si>
  <si>
    <t>Manisha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</si>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</sst>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18"/>
      <color rgb="FF161514"/>
      <name val="Arial"/>
      <family val="2"/>
    </font>
    <font>
      <i/>
      <sz val="10"/>
      <color rgb="FF9E9893"/>
      <name val="Arial"/>
      <family val="2"/>
    </font>
    <font>
      <b/>
      <sz val="11"/>
      <color rgb="FF8B2A1F"/>
      <name val="Arial"/>
      <family val="2"/>
    </font>
    <font>
      <b/>
      <sz val="10"/>
      <color rgb="FF161514"/>
      <name val="Arial"/>
      <family val="2"/>
    </font>
    <font>
      <sz val="10"/>
      <color rgb="FF161514"/>
      <name val="Arial"/>
      <family val="2"/>
    </font>
    <font>
      <b/>
      <sz val="10"/>
      <color rgb="FFFAF7F2"/>
      <name val="Arial"/>
      <family val="2"/>
    </font>
    <font>
      <b/>
      <sz val="9"/>
      <color rgb="FF8B2A1F"/>
      <name val="Consolas"/>
      <family val="2"/>
    </font>
    <font>
      <b/>
      <sz val="10"/>
      <color rgb="FF8B2A1F"/>
      <name val="Arial"/>
      <family val="2"/>
    </font>
    <font>
      <sz val="11"/>
      <color theme="1"/>
      <name val="FreeSans"/>
      <family val="2"/>
    </font>
    <font>
      <b/>
      <sz val="10"/>
      <color rgb="FF8B2A1F"/>
      <name val="Consolas"/>
      <family val="2"/>
    </font>
    <font>
      <b/>
      <sz val="9"/>
      <color rgb="FFFF0000"/>
      <name val="Consolas"/>
      <family val="3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  <charset val="1"/>
    </font>
    <font>
      <sz val="10"/>
      <color rgb="FF161514"/>
      <name val="Arial"/>
      <family val="2"/>
    </font>
    <font>
      <b/>
      <sz val="10"/>
      <color rgb="FF8B2A1F"/>
      <name val="Arial"/>
      <family val="2"/>
    </font>
    <font>
      <sz val="10"/>
      <color rgb="FF9E9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61514"/>
        <bgColor rgb="FF000000"/>
      </patternFill>
    </fill>
    <fill>
      <patternFill patternType="solid">
        <fgColor rgb="FFF3EDE3"/>
        <bgColor rgb="FFFFE5E0"/>
      </patternFill>
    </fill>
    <fill>
      <patternFill patternType="solid">
        <fgColor rgb="FFFFFFFF"/>
        <bgColor rgb="FFFAF7F2"/>
      </patternFill>
    </fill>
  </fills>
  <borders count="2">
    <border>
      <left/>
      <right/>
      <top/>
      <bottom/>
      <diagonal/>
    </border>
    <border>
      <left style="thin">
        <color rgb="FFE6DFD3"/>
      </left>
      <right style="thin">
        <color rgb="FFE6DFD3"/>
      </right>
      <top style="thin">
        <color rgb="FFE6DFD3"/>
      </top>
      <bottom style="thin">
        <color rgb="FFE6DFD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3" fillId="0" borderId="0" xfId="0" applyFont="1"/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3" borderId="1" xfId="0" applyFont="1" applyFill="1" applyBorder="1"/>
    <xf numFmtId="0" fontId="0" fillId="3" borderId="1" xfId="0" applyFill="1" applyBorder="1"/>
    <xf numFmtId="0" fontId="5" fillId="0" borderId="1" xfId="0" applyFont="1" applyBorder="1"/>
    <xf numFmtId="0" fontId="10" fillId="0" borderId="1" xfId="0" applyFont="1" applyBorder="1" applyAlignment="1">
      <alignment horizontal="right"/>
    </xf>
    <xf numFmtId="0" fontId="5" fillId="0" borderId="1" xfId="0" applyFont="1" applyBorder="1" applyAlignment="1">
      <alignment wrapText="1"/>
    </xf>
    <xf numFmtId="0" fontId="11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4" fillId="0" borderId="0" xfId="0" applyFont="1"/>
    <xf numFmtId="0" fontId="15" fillId="3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5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5"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E5E0"/>
        </patternFill>
      </fill>
    </dxf>
    <dxf>
      <fill>
        <patternFill>
          <bgColor rgb="FFFFF0D0"/>
        </patternFill>
      </fill>
    </dxf>
    <dxf>
      <fill>
        <patternFill>
          <bgColor rgb="FFE0F0E0"/>
        </patternFill>
      </fill>
    </dxf>
    <dxf>
      <fill>
        <patternFill>
          <bgColor rgb="FFFFF0D0"/>
        </patternFill>
      </fill>
    </dxf>
    <dxf>
      <fill>
        <patternFill>
          <bgColor rgb="FFE0F0E0"/>
        </patternFill>
      </fill>
    </dxf>
    <dxf>
      <fill>
        <patternFill>
          <bgColor rgb="FFFFE5E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D0"/>
      <rgbColor rgb="FFFAF7F2"/>
      <rgbColor rgb="FF660066"/>
      <rgbColor rgb="FFFF8080"/>
      <rgbColor rgb="FF0066CC"/>
      <rgbColor rgb="FFE6DF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DE3"/>
      <rgbColor rgb="FFE0F0E0"/>
      <rgbColor rgb="FFFFFF99"/>
      <rgbColor rgb="FF99CCFF"/>
      <rgbColor rgb="FFFF99CC"/>
      <rgbColor rgb="FFCC99FF"/>
      <rgbColor rgb="FFFFE5E0"/>
      <rgbColor rgb="FF3366FF"/>
      <rgbColor rgb="FF33CCCC"/>
      <rgbColor rgb="FF99CC00"/>
      <rgbColor rgb="FFFFCC00"/>
      <rgbColor rgb="FFFF9900"/>
      <rgbColor rgb="FFFF6600"/>
      <rgbColor rgb="FF666699"/>
      <rgbColor rgb="FF9E9893"/>
      <rgbColor rgb="FF003366"/>
      <rgbColor rgb="FF339966"/>
      <rgbColor rgb="FF161514"/>
      <rgbColor rgb="FF333300"/>
      <rgbColor rgb="FF8B2A1F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opLeftCell="A9" zoomScaleNormal="100" workbookViewId="0"/>
  </sheetViews>
  <sheetFormatPr baseColWidth="10" defaultColWidth="8.6640625" defaultRowHeight="15"/>
  <cols>
    <col min="1" max="1" width="22" customWidth="1"/>
    <col min="2" max="2" width="100" customWidth="1"/>
  </cols>
  <sheetData>
    <row r="1" spans="1:2" ht="30" customHeight="1">
      <c r="A1" s="2" t="s">
        <v>0</v>
      </c>
    </row>
    <row r="2" spans="1:2">
      <c r="A2" s="3" t="s">
        <v>1</v>
      </c>
    </row>
    <row r="4" spans="1:2">
      <c r="A4" s="4" t="s">
        <v>2</v>
      </c>
    </row>
    <row r="5" spans="1:2" ht="39.75" customHeight="1">
      <c r="A5" s="5"/>
      <c r="B5" s="6"/>
    </row>
    <row r="6" spans="1:2" ht="39.75" customHeight="1">
      <c r="A6" s="5" t="s">
        <v>3</v>
      </c>
      <c r="B6" s="6" t="s">
        <v>4</v>
      </c>
    </row>
    <row r="7" spans="1:2" ht="39.75" customHeight="1">
      <c r="A7" s="5" t="s">
        <v>5</v>
      </c>
      <c r="B7" s="6" t="s">
        <v>6</v>
      </c>
    </row>
    <row r="8" spans="1:2" ht="39.75" customHeight="1">
      <c r="A8" s="5" t="s">
        <v>7</v>
      </c>
      <c r="B8" s="6" t="s">
        <v>8</v>
      </c>
    </row>
    <row r="9" spans="1:2" ht="39.75" customHeight="1">
      <c r="A9" s="5" t="s">
        <v>9</v>
      </c>
      <c r="B9" s="6" t="s">
        <v>10</v>
      </c>
    </row>
    <row r="10" spans="1:2" ht="39.75" customHeight="1">
      <c r="A10" s="5" t="s">
        <v>11</v>
      </c>
      <c r="B10" s="6" t="s">
        <v>12</v>
      </c>
    </row>
    <row r="11" spans="1:2" ht="39.75" customHeight="1">
      <c r="A11" s="5" t="s">
        <v>13</v>
      </c>
      <c r="B11" s="6" t="s">
        <v>14</v>
      </c>
    </row>
    <row r="12" spans="1:2" ht="39.75" customHeight="1">
      <c r="A12" s="5"/>
      <c r="B12" s="6"/>
    </row>
    <row r="14" spans="1:2">
      <c r="A14" s="7" t="s">
        <v>15</v>
      </c>
    </row>
    <row r="15" spans="1:2">
      <c r="A15" s="1" t="s">
        <v>16</v>
      </c>
      <c r="B15" s="1" t="s">
        <v>17</v>
      </c>
    </row>
    <row r="16" spans="1:2">
      <c r="A16" s="1" t="s">
        <v>18</v>
      </c>
      <c r="B16" s="1" t="s">
        <v>19</v>
      </c>
    </row>
    <row r="17" spans="1:2">
      <c r="A17" s="1" t="s">
        <v>20</v>
      </c>
      <c r="B17" s="1" t="s">
        <v>21</v>
      </c>
    </row>
    <row r="20" spans="1:2">
      <c r="A20" s="7" t="s">
        <v>22</v>
      </c>
    </row>
    <row r="21" spans="1:2">
      <c r="A21" s="26" t="s">
        <v>23</v>
      </c>
      <c r="B21" s="26"/>
    </row>
    <row r="22" spans="1:2">
      <c r="A22" s="26" t="s">
        <v>24</v>
      </c>
      <c r="B22" s="26"/>
    </row>
    <row r="23" spans="1:2">
      <c r="A23" s="26" t="s">
        <v>25</v>
      </c>
      <c r="B23" s="26"/>
    </row>
    <row r="24" spans="1:2">
      <c r="A24" s="26"/>
      <c r="B24" s="26"/>
    </row>
    <row r="25" spans="1:2">
      <c r="A25" s="26" t="s">
        <v>26</v>
      </c>
      <c r="B25" s="26"/>
    </row>
    <row r="26" spans="1:2">
      <c r="A26" s="26" t="s">
        <v>27</v>
      </c>
      <c r="B26" s="26"/>
    </row>
    <row r="27" spans="1:2">
      <c r="A27" s="26" t="s">
        <v>28</v>
      </c>
      <c r="B27" s="26"/>
    </row>
    <row r="28" spans="1:2">
      <c r="A28" s="26" t="s">
        <v>29</v>
      </c>
      <c r="B28" s="26"/>
    </row>
    <row r="29" spans="1:2">
      <c r="A29" s="26" t="s">
        <v>30</v>
      </c>
      <c r="B29" s="26"/>
    </row>
  </sheetData>
  <mergeCells count="9"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zoomScaleNormal="100" workbookViewId="0"/>
  </sheetViews>
  <sheetFormatPr baseColWidth="10" defaultColWidth="8.6640625" defaultRowHeight="15"/>
  <cols>
    <col min="1" max="1" width="13" customWidth="1"/>
    <col min="2" max="2" width="36" customWidth="1"/>
    <col min="3" max="3" width="11" customWidth="1"/>
    <col min="4" max="4" width="80" customWidth="1"/>
  </cols>
  <sheetData>
    <row r="1" spans="1:4" ht="23">
      <c r="A1" s="2" t="s">
        <v>31</v>
      </c>
    </row>
    <row r="2" spans="1:4">
      <c r="A2" s="3" t="s">
        <v>32</v>
      </c>
    </row>
    <row r="4" spans="1:4" ht="30" customHeight="1">
      <c r="A4" s="8" t="s">
        <v>33</v>
      </c>
      <c r="B4" s="8" t="s">
        <v>34</v>
      </c>
      <c r="C4" s="8" t="s">
        <v>35</v>
      </c>
      <c r="D4" s="8" t="s">
        <v>36</v>
      </c>
    </row>
    <row r="5" spans="1:4" ht="30" customHeight="1">
      <c r="A5" s="9" t="s">
        <v>37</v>
      </c>
      <c r="B5" s="10" t="s">
        <v>38</v>
      </c>
      <c r="C5" s="10" t="s">
        <v>39</v>
      </c>
      <c r="D5" s="10" t="s">
        <v>40</v>
      </c>
    </row>
    <row r="6" spans="1:4" ht="30" customHeight="1">
      <c r="A6" s="9" t="s">
        <v>41</v>
      </c>
      <c r="B6" s="10" t="s">
        <v>42</v>
      </c>
      <c r="C6" s="10" t="s">
        <v>39</v>
      </c>
      <c r="D6" s="10" t="s">
        <v>43</v>
      </c>
    </row>
    <row r="7" spans="1:4" ht="30" customHeight="1">
      <c r="A7" s="9" t="s">
        <v>44</v>
      </c>
      <c r="B7" s="10" t="s">
        <v>45</v>
      </c>
      <c r="C7" s="10" t="s">
        <v>39</v>
      </c>
      <c r="D7" s="10" t="s">
        <v>46</v>
      </c>
    </row>
    <row r="8" spans="1:4" ht="30" customHeight="1">
      <c r="A8" s="9" t="s">
        <v>47</v>
      </c>
      <c r="B8" s="10" t="s">
        <v>48</v>
      </c>
      <c r="C8" s="10" t="s">
        <v>39</v>
      </c>
      <c r="D8" s="10" t="s">
        <v>49</v>
      </c>
    </row>
    <row r="9" spans="1:4" ht="30" customHeight="1">
      <c r="A9" s="9" t="s">
        <v>50</v>
      </c>
      <c r="B9" s="10" t="s">
        <v>50</v>
      </c>
      <c r="C9" s="10" t="s">
        <v>39</v>
      </c>
      <c r="D9" s="10" t="s">
        <v>51</v>
      </c>
    </row>
    <row r="10" spans="1:4" ht="30" customHeight="1">
      <c r="A10" s="9" t="s">
        <v>52</v>
      </c>
      <c r="B10" s="10" t="s">
        <v>53</v>
      </c>
      <c r="C10" s="10" t="s">
        <v>54</v>
      </c>
      <c r="D10" s="10" t="s">
        <v>55</v>
      </c>
    </row>
    <row r="11" spans="1:4" ht="30" customHeight="1">
      <c r="A11" s="9" t="s">
        <v>56</v>
      </c>
      <c r="B11" s="10" t="s">
        <v>57</v>
      </c>
      <c r="C11" s="10" t="s">
        <v>54</v>
      </c>
      <c r="D11" s="10" t="s">
        <v>58</v>
      </c>
    </row>
    <row r="12" spans="1:4" ht="30" customHeight="1">
      <c r="A12" s="9" t="s">
        <v>59</v>
      </c>
      <c r="B12" s="10" t="s">
        <v>60</v>
      </c>
      <c r="C12" s="10" t="s">
        <v>54</v>
      </c>
      <c r="D12" s="10" t="s">
        <v>61</v>
      </c>
    </row>
    <row r="13" spans="1:4" ht="30" customHeight="1">
      <c r="A13" s="9" t="s">
        <v>62</v>
      </c>
      <c r="B13" s="10" t="s">
        <v>63</v>
      </c>
      <c r="C13" s="10" t="s">
        <v>54</v>
      </c>
      <c r="D13" s="10" t="s">
        <v>64</v>
      </c>
    </row>
    <row r="14" spans="1:4" ht="30" customHeight="1">
      <c r="A14" s="9" t="s">
        <v>65</v>
      </c>
      <c r="B14" s="10" t="s">
        <v>66</v>
      </c>
      <c r="C14" s="10" t="s">
        <v>54</v>
      </c>
      <c r="D14" s="10" t="s">
        <v>67</v>
      </c>
    </row>
    <row r="15" spans="1:4" ht="30" customHeight="1">
      <c r="A15" s="9" t="s">
        <v>68</v>
      </c>
      <c r="B15" s="10" t="s">
        <v>69</v>
      </c>
      <c r="C15" s="10" t="s">
        <v>54</v>
      </c>
      <c r="D15" s="10" t="s">
        <v>70</v>
      </c>
    </row>
    <row r="16" spans="1:4" ht="30" customHeight="1">
      <c r="A16" s="9" t="s">
        <v>71</v>
      </c>
      <c r="B16" s="10" t="s">
        <v>72</v>
      </c>
      <c r="C16" s="10" t="s">
        <v>54</v>
      </c>
      <c r="D16" s="10" t="s">
        <v>73</v>
      </c>
    </row>
    <row r="17" spans="1:4" ht="30" customHeight="1">
      <c r="A17" s="9" t="s">
        <v>74</v>
      </c>
      <c r="B17" s="10" t="s">
        <v>75</v>
      </c>
      <c r="C17" s="10" t="s">
        <v>76</v>
      </c>
      <c r="D17" s="10" t="s">
        <v>77</v>
      </c>
    </row>
    <row r="18" spans="1:4" ht="30" customHeight="1">
      <c r="A18" s="9" t="s">
        <v>78</v>
      </c>
      <c r="B18" s="10" t="s">
        <v>79</v>
      </c>
      <c r="C18" s="10" t="s">
        <v>76</v>
      </c>
      <c r="D18" s="10" t="s">
        <v>80</v>
      </c>
    </row>
    <row r="19" spans="1:4" ht="30" customHeight="1">
      <c r="A19" s="9" t="s">
        <v>81</v>
      </c>
      <c r="B19" s="10" t="s">
        <v>82</v>
      </c>
      <c r="C19" s="10" t="s">
        <v>76</v>
      </c>
      <c r="D19" s="10" t="s">
        <v>83</v>
      </c>
    </row>
    <row r="20" spans="1:4" ht="30" customHeight="1">
      <c r="A20" s="9" t="s">
        <v>84</v>
      </c>
      <c r="B20" s="10" t="s">
        <v>85</v>
      </c>
      <c r="C20" s="10" t="s">
        <v>76</v>
      </c>
      <c r="D20" s="10" t="s">
        <v>86</v>
      </c>
    </row>
    <row r="21" spans="1:4" ht="30" customHeight="1">
      <c r="A21" s="9" t="s">
        <v>87</v>
      </c>
      <c r="B21" s="10" t="s">
        <v>88</v>
      </c>
      <c r="C21" s="10" t="s">
        <v>76</v>
      </c>
      <c r="D21" s="10" t="s">
        <v>89</v>
      </c>
    </row>
    <row r="22" spans="1:4" ht="30" customHeight="1">
      <c r="A22" s="9" t="s">
        <v>90</v>
      </c>
      <c r="B22" s="10" t="s">
        <v>91</v>
      </c>
      <c r="C22" s="10" t="s">
        <v>76</v>
      </c>
      <c r="D22" s="10" t="s">
        <v>92</v>
      </c>
    </row>
    <row r="23" spans="1:4" ht="30" customHeight="1">
      <c r="A23" s="9" t="s">
        <v>93</v>
      </c>
      <c r="B23" s="10" t="s">
        <v>94</v>
      </c>
      <c r="C23" s="10" t="s">
        <v>76</v>
      </c>
      <c r="D23" s="10" t="s">
        <v>95</v>
      </c>
    </row>
    <row r="24" spans="1:4" ht="30" customHeight="1">
      <c r="A24" s="9" t="s">
        <v>96</v>
      </c>
      <c r="B24" s="10" t="s">
        <v>97</v>
      </c>
      <c r="C24" s="10" t="s">
        <v>76</v>
      </c>
      <c r="D24" s="10" t="s">
        <v>98</v>
      </c>
    </row>
  </sheetData>
  <dataValidations count="1">
    <dataValidation type="list" sqref="C5:C24" xr:uid="{00000000-0002-0000-0100-000000000000}">
      <formula1>"APHL,Veridian,Both"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tabSelected="1" zoomScaleNormal="100" workbookViewId="0">
      <selection activeCell="H22" sqref="H22"/>
    </sheetView>
  </sheetViews>
  <sheetFormatPr baseColWidth="10" defaultColWidth="8.6640625" defaultRowHeight="15"/>
  <cols>
    <col min="1" max="1" width="13" customWidth="1"/>
    <col min="2" max="2" width="36" customWidth="1"/>
    <col min="3" max="3" width="14" customWidth="1"/>
    <col min="4" max="4" width="24" customWidth="1"/>
    <col min="5" max="5" width="18" customWidth="1"/>
    <col min="6" max="6" width="24" customWidth="1"/>
    <col min="7" max="7" width="30.5" customWidth="1"/>
    <col min="8" max="8" width="40" customWidth="1"/>
  </cols>
  <sheetData>
    <row r="1" spans="1:8" ht="23">
      <c r="A1" s="2" t="s">
        <v>99</v>
      </c>
    </row>
    <row r="2" spans="1:8">
      <c r="A2" s="3" t="s">
        <v>100</v>
      </c>
    </row>
    <row r="4" spans="1:8" ht="31.5" customHeight="1">
      <c r="A4" s="8" t="s">
        <v>33</v>
      </c>
      <c r="B4" s="8" t="s">
        <v>34</v>
      </c>
      <c r="C4" s="8" t="s">
        <v>101</v>
      </c>
      <c r="D4" s="8" t="s">
        <v>102</v>
      </c>
      <c r="E4" s="8" t="s">
        <v>103</v>
      </c>
      <c r="F4" s="8" t="s">
        <v>104</v>
      </c>
      <c r="G4" s="8" t="s">
        <v>105</v>
      </c>
      <c r="H4" s="8" t="s">
        <v>106</v>
      </c>
    </row>
    <row r="5" spans="1:8" ht="25.5" customHeight="1">
      <c r="A5" s="29" t="s">
        <v>37</v>
      </c>
      <c r="B5" s="11" t="s">
        <v>38</v>
      </c>
      <c r="C5" s="27" t="s">
        <v>536</v>
      </c>
      <c r="D5" s="28" t="s">
        <v>536</v>
      </c>
      <c r="E5" s="27" t="s">
        <v>513</v>
      </c>
      <c r="F5" s="28" t="s">
        <v>514</v>
      </c>
      <c r="G5" s="29" t="s">
        <v>107</v>
      </c>
      <c r="H5" s="29" t="s">
        <v>107</v>
      </c>
    </row>
    <row r="6" spans="1:8" ht="25.5" customHeight="1">
      <c r="A6" s="29" t="s">
        <v>41</v>
      </c>
      <c r="B6" s="11" t="s">
        <v>42</v>
      </c>
      <c r="C6" s="27" t="s">
        <v>146</v>
      </c>
      <c r="D6" s="28" t="s">
        <v>147</v>
      </c>
      <c r="E6" s="27" t="s">
        <v>536</v>
      </c>
      <c r="F6" s="28" t="s">
        <v>536</v>
      </c>
      <c r="G6" s="29" t="s">
        <v>537</v>
      </c>
      <c r="H6" s="29"/>
    </row>
    <row r="7" spans="1:8" ht="25.5" customHeight="1">
      <c r="A7" s="29" t="s">
        <v>44</v>
      </c>
      <c r="B7" s="11" t="s">
        <v>45</v>
      </c>
      <c r="C7" s="27" t="s">
        <v>539</v>
      </c>
      <c r="D7" s="28" t="s">
        <v>503</v>
      </c>
      <c r="E7" s="27" t="s">
        <v>536</v>
      </c>
      <c r="F7" s="28" t="s">
        <v>539</v>
      </c>
      <c r="G7" s="29" t="s">
        <v>537</v>
      </c>
      <c r="H7" s="29"/>
    </row>
    <row r="8" spans="1:8" ht="25.5" customHeight="1">
      <c r="A8" s="29" t="s">
        <v>47</v>
      </c>
      <c r="B8" s="11" t="s">
        <v>48</v>
      </c>
      <c r="C8" s="27" t="s">
        <v>536</v>
      </c>
      <c r="D8" s="28" t="s">
        <v>536</v>
      </c>
      <c r="E8" s="27" t="s">
        <v>536</v>
      </c>
      <c r="F8" s="28" t="s">
        <v>536</v>
      </c>
      <c r="G8" s="29" t="s">
        <v>537</v>
      </c>
      <c r="H8" s="29"/>
    </row>
    <row r="9" spans="1:8" ht="25.5" customHeight="1">
      <c r="A9" s="29" t="s">
        <v>50</v>
      </c>
      <c r="B9" s="11" t="s">
        <v>50</v>
      </c>
      <c r="C9" s="27" t="s">
        <v>536</v>
      </c>
      <c r="D9" s="28" t="s">
        <v>536</v>
      </c>
      <c r="E9" s="27" t="s">
        <v>331</v>
      </c>
      <c r="F9" s="28" t="s">
        <v>332</v>
      </c>
      <c r="G9" s="29" t="s">
        <v>538</v>
      </c>
      <c r="H9" s="29"/>
    </row>
    <row r="10" spans="1:8" ht="25.5" customHeight="1">
      <c r="A10" s="29" t="s">
        <v>52</v>
      </c>
      <c r="B10" s="11" t="s">
        <v>53</v>
      </c>
      <c r="C10" s="27" t="s">
        <v>121</v>
      </c>
      <c r="D10" s="28" t="s">
        <v>122</v>
      </c>
      <c r="E10" s="27" t="s">
        <v>166</v>
      </c>
      <c r="F10" s="28" t="s">
        <v>167</v>
      </c>
      <c r="G10" s="29" t="s">
        <v>537</v>
      </c>
      <c r="H10" s="29"/>
    </row>
    <row r="11" spans="1:8" ht="25.5" customHeight="1">
      <c r="A11" s="29" t="s">
        <v>56</v>
      </c>
      <c r="B11" s="11" t="s">
        <v>57</v>
      </c>
      <c r="C11" s="27" t="s">
        <v>126</v>
      </c>
      <c r="D11" s="28" t="s">
        <v>127</v>
      </c>
      <c r="E11" s="27" t="s">
        <v>536</v>
      </c>
      <c r="F11" s="28" t="s">
        <v>536</v>
      </c>
      <c r="G11" s="29" t="s">
        <v>537</v>
      </c>
      <c r="H11" s="29"/>
    </row>
    <row r="12" spans="1:8" ht="25.5" customHeight="1">
      <c r="A12" s="29" t="s">
        <v>59</v>
      </c>
      <c r="B12" s="11" t="s">
        <v>60</v>
      </c>
      <c r="C12" s="27" t="s">
        <v>148</v>
      </c>
      <c r="D12" s="28" t="s">
        <v>149</v>
      </c>
      <c r="E12" s="27" t="s">
        <v>536</v>
      </c>
      <c r="F12" s="28" t="s">
        <v>536</v>
      </c>
      <c r="G12" s="29" t="s">
        <v>537</v>
      </c>
      <c r="H12" s="29"/>
    </row>
    <row r="13" spans="1:8" ht="25.5" customHeight="1">
      <c r="A13" s="29" t="s">
        <v>62</v>
      </c>
      <c r="B13" s="11" t="s">
        <v>63</v>
      </c>
      <c r="C13" s="27" t="s">
        <v>148</v>
      </c>
      <c r="D13" s="28" t="s">
        <v>149</v>
      </c>
      <c r="E13" s="27" t="s">
        <v>536</v>
      </c>
      <c r="F13" s="28" t="s">
        <v>536</v>
      </c>
      <c r="G13" s="29" t="s">
        <v>537</v>
      </c>
      <c r="H13" s="29"/>
    </row>
    <row r="14" spans="1:8" ht="25.5" customHeight="1">
      <c r="A14" s="29" t="s">
        <v>65</v>
      </c>
      <c r="B14" s="11" t="s">
        <v>66</v>
      </c>
      <c r="C14" s="27" t="s">
        <v>164</v>
      </c>
      <c r="D14" s="28" t="s">
        <v>165</v>
      </c>
      <c r="E14" s="27" t="s">
        <v>150</v>
      </c>
      <c r="F14" s="28" t="s">
        <v>151</v>
      </c>
      <c r="G14" s="29" t="s">
        <v>537</v>
      </c>
      <c r="H14" s="29"/>
    </row>
    <row r="15" spans="1:8" ht="25.5" customHeight="1">
      <c r="A15" s="29" t="s">
        <v>68</v>
      </c>
      <c r="B15" s="11" t="s">
        <v>69</v>
      </c>
      <c r="C15" s="27" t="s">
        <v>132</v>
      </c>
      <c r="D15" s="28" t="s">
        <v>133</v>
      </c>
      <c r="E15" s="27" t="s">
        <v>138</v>
      </c>
      <c r="F15" s="28" t="s">
        <v>139</v>
      </c>
      <c r="G15" s="29" t="s">
        <v>537</v>
      </c>
      <c r="H15" s="29"/>
    </row>
    <row r="16" spans="1:8" ht="25.5" customHeight="1">
      <c r="A16" s="29" t="s">
        <v>71</v>
      </c>
      <c r="B16" s="11" t="s">
        <v>72</v>
      </c>
      <c r="C16" s="27" t="s">
        <v>539</v>
      </c>
      <c r="D16" s="28" t="s">
        <v>503</v>
      </c>
      <c r="E16" s="27" t="s">
        <v>507</v>
      </c>
      <c r="F16" s="28" t="s">
        <v>508</v>
      </c>
      <c r="G16" s="29" t="s">
        <v>537</v>
      </c>
      <c r="H16" s="29"/>
    </row>
    <row r="17" spans="1:8" ht="25.5" customHeight="1">
      <c r="A17" s="29" t="s">
        <v>74</v>
      </c>
      <c r="B17" s="11" t="s">
        <v>75</v>
      </c>
      <c r="C17" s="27" t="s">
        <v>221</v>
      </c>
      <c r="D17" s="28" t="s">
        <v>222</v>
      </c>
      <c r="E17" s="27" t="s">
        <v>536</v>
      </c>
      <c r="F17" s="28" t="s">
        <v>536</v>
      </c>
      <c r="G17" s="29" t="s">
        <v>537</v>
      </c>
      <c r="H17" s="29"/>
    </row>
    <row r="18" spans="1:8" ht="25.5" customHeight="1">
      <c r="A18" s="29" t="s">
        <v>78</v>
      </c>
      <c r="B18" s="11" t="s">
        <v>79</v>
      </c>
      <c r="C18" s="27" t="s">
        <v>536</v>
      </c>
      <c r="D18" s="28" t="s">
        <v>536</v>
      </c>
      <c r="E18" s="27" t="s">
        <v>364</v>
      </c>
      <c r="F18" s="28" t="s">
        <v>365</v>
      </c>
      <c r="G18" s="29" t="s">
        <v>538</v>
      </c>
      <c r="H18" s="29"/>
    </row>
    <row r="19" spans="1:8" ht="25.5" customHeight="1">
      <c r="A19" s="29" t="s">
        <v>81</v>
      </c>
      <c r="B19" s="11" t="s">
        <v>82</v>
      </c>
      <c r="C19" s="27" t="s">
        <v>364</v>
      </c>
      <c r="D19" s="28" t="s">
        <v>365</v>
      </c>
      <c r="E19" s="27" t="s">
        <v>511</v>
      </c>
      <c r="F19" s="28" t="s">
        <v>512</v>
      </c>
      <c r="G19" s="29" t="s">
        <v>538</v>
      </c>
      <c r="H19" s="29"/>
    </row>
    <row r="20" spans="1:8" ht="25.5" customHeight="1">
      <c r="A20" s="29" t="s">
        <v>84</v>
      </c>
      <c r="B20" s="11" t="s">
        <v>85</v>
      </c>
      <c r="C20" s="27" t="s">
        <v>221</v>
      </c>
      <c r="D20" s="28" t="s">
        <v>222</v>
      </c>
      <c r="E20" s="27" t="s">
        <v>536</v>
      </c>
      <c r="F20" s="28" t="s">
        <v>536</v>
      </c>
      <c r="G20" s="29" t="s">
        <v>107</v>
      </c>
      <c r="H20" s="29"/>
    </row>
    <row r="21" spans="1:8" ht="25.5" customHeight="1">
      <c r="A21" s="29" t="s">
        <v>87</v>
      </c>
      <c r="B21" s="11" t="s">
        <v>88</v>
      </c>
      <c r="C21" s="27" t="s">
        <v>221</v>
      </c>
      <c r="D21" s="28" t="s">
        <v>222</v>
      </c>
      <c r="E21" s="27" t="s">
        <v>536</v>
      </c>
      <c r="F21" s="28" t="s">
        <v>536</v>
      </c>
      <c r="G21" s="29" t="s">
        <v>538</v>
      </c>
      <c r="H21" s="29"/>
    </row>
    <row r="22" spans="1:8" ht="25.5" customHeight="1">
      <c r="A22" s="29" t="s">
        <v>90</v>
      </c>
      <c r="B22" s="11" t="s">
        <v>91</v>
      </c>
      <c r="C22" s="27" t="s">
        <v>126</v>
      </c>
      <c r="D22" s="28" t="s">
        <v>127</v>
      </c>
      <c r="E22" s="27" t="s">
        <v>536</v>
      </c>
      <c r="F22" s="28" t="s">
        <v>536</v>
      </c>
      <c r="G22" s="29" t="s">
        <v>538</v>
      </c>
      <c r="H22" s="29"/>
    </row>
    <row r="23" spans="1:8" ht="25.5" customHeight="1">
      <c r="A23" s="29" t="s">
        <v>93</v>
      </c>
      <c r="B23" s="11" t="s">
        <v>94</v>
      </c>
      <c r="C23" s="27" t="s">
        <v>190</v>
      </c>
      <c r="D23" s="28" t="s">
        <v>191</v>
      </c>
      <c r="E23" s="27" t="s">
        <v>536</v>
      </c>
      <c r="F23" s="28" t="s">
        <v>536</v>
      </c>
      <c r="G23" s="29" t="s">
        <v>538</v>
      </c>
      <c r="H23" s="29"/>
    </row>
    <row r="24" spans="1:8" ht="25.5" customHeight="1">
      <c r="A24" s="29" t="s">
        <v>96</v>
      </c>
      <c r="B24" s="11" t="s">
        <v>97</v>
      </c>
      <c r="C24" s="27" t="s">
        <v>539</v>
      </c>
      <c r="D24" s="28" t="s">
        <v>503</v>
      </c>
      <c r="E24" s="27" t="s">
        <v>129</v>
      </c>
      <c r="F24" s="28" t="s">
        <v>130</v>
      </c>
      <c r="G24" s="29" t="s">
        <v>537</v>
      </c>
      <c r="H24" s="29"/>
    </row>
  </sheetData>
  <conditionalFormatting sqref="C10:D10">
    <cfRule type="expression" dxfId="19" priority="20">
      <formula>$K10="Exited"</formula>
    </cfRule>
  </conditionalFormatting>
  <conditionalFormatting sqref="E10:F10">
    <cfRule type="expression" dxfId="18" priority="19">
      <formula>$K10="Exited"</formula>
    </cfRule>
  </conditionalFormatting>
  <conditionalFormatting sqref="C11:D11">
    <cfRule type="expression" dxfId="17" priority="18">
      <formula>$K11="Exited"</formula>
    </cfRule>
  </conditionalFormatting>
  <conditionalFormatting sqref="E9:F9">
    <cfRule type="expression" dxfId="16" priority="17">
      <formula>$K9="Exited"</formula>
    </cfRule>
  </conditionalFormatting>
  <conditionalFormatting sqref="C17:D17">
    <cfRule type="expression" dxfId="15" priority="16">
      <formula>$K17="Exited"</formula>
    </cfRule>
  </conditionalFormatting>
  <conditionalFormatting sqref="C19:D19">
    <cfRule type="expression" dxfId="14" priority="15">
      <formula>$K19="Exited"</formula>
    </cfRule>
  </conditionalFormatting>
  <conditionalFormatting sqref="C20:D20">
    <cfRule type="expression" dxfId="13" priority="14">
      <formula>$K20="Exited"</formula>
    </cfRule>
  </conditionalFormatting>
  <conditionalFormatting sqref="C21:D21">
    <cfRule type="expression" dxfId="12" priority="13">
      <formula>$K21="Exited"</formula>
    </cfRule>
  </conditionalFormatting>
  <conditionalFormatting sqref="C22:D22">
    <cfRule type="expression" dxfId="11" priority="12">
      <formula>$K22="Exited"</formula>
    </cfRule>
  </conditionalFormatting>
  <conditionalFormatting sqref="C23:D23">
    <cfRule type="expression" dxfId="10" priority="11">
      <formula>$K23="Exited"</formula>
    </cfRule>
  </conditionalFormatting>
  <conditionalFormatting sqref="E5:F13 E17:F17 E20:F24">
    <cfRule type="expression" dxfId="9" priority="10">
      <formula>$K5="Exited"</formula>
    </cfRule>
  </conditionalFormatting>
  <conditionalFormatting sqref="E24:F24">
    <cfRule type="expression" dxfId="8" priority="9">
      <formula>$K24="Exited"</formula>
    </cfRule>
  </conditionalFormatting>
  <conditionalFormatting sqref="E14:F14">
    <cfRule type="expression" dxfId="6" priority="7">
      <formula>$K14="Exited"</formula>
    </cfRule>
  </conditionalFormatting>
  <conditionalFormatting sqref="E15:F16">
    <cfRule type="expression" dxfId="4" priority="5">
      <formula>$K15="Exited"</formula>
    </cfRule>
  </conditionalFormatting>
  <conditionalFormatting sqref="E16:F16">
    <cfRule type="expression" dxfId="3" priority="4">
      <formula>$K16="Exited"</formula>
    </cfRule>
  </conditionalFormatting>
  <conditionalFormatting sqref="E18:F18">
    <cfRule type="expression" dxfId="2" priority="3">
      <formula>$K18="Exited"</formula>
    </cfRule>
  </conditionalFormatting>
  <conditionalFormatting sqref="E19:F19">
    <cfRule type="expression" dxfId="0" priority="1">
      <formula>$K19="Exited"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1"/>
  <sheetViews>
    <sheetView zoomScaleNormal="100" workbookViewId="0">
      <pane ySplit="4" topLeftCell="A106" activePane="bottomLeft" state="frozen"/>
      <selection pane="bottomLeft" activeCell="A130" sqref="A130:B130"/>
    </sheetView>
  </sheetViews>
  <sheetFormatPr baseColWidth="10" defaultColWidth="8.6640625" defaultRowHeight="15"/>
  <cols>
    <col min="1" max="1" width="12" customWidth="1"/>
    <col min="2" max="2" width="31.33203125" bestFit="1" customWidth="1"/>
    <col min="3" max="3" width="8" bestFit="1" customWidth="1"/>
    <col min="4" max="4" width="28.6640625" bestFit="1" customWidth="1"/>
    <col min="5" max="5" width="12" bestFit="1" customWidth="1"/>
    <col min="6" max="6" width="28.83203125" bestFit="1" customWidth="1"/>
    <col min="7" max="7" width="17.6640625" bestFit="1" customWidth="1"/>
    <col min="8" max="8" width="21.33203125" bestFit="1" customWidth="1"/>
    <col min="9" max="9" width="21.1640625" bestFit="1" customWidth="1"/>
    <col min="10" max="10" width="17.33203125" bestFit="1" customWidth="1"/>
    <col min="11" max="11" width="10" customWidth="1"/>
  </cols>
  <sheetData>
    <row r="1" spans="1:11" ht="23">
      <c r="A1" s="2" t="s">
        <v>108</v>
      </c>
    </row>
    <row r="2" spans="1:11">
      <c r="A2" s="3" t="s">
        <v>109</v>
      </c>
    </row>
    <row r="4" spans="1:11" ht="36" customHeight="1">
      <c r="A4" s="8" t="s">
        <v>110</v>
      </c>
      <c r="B4" s="8" t="s">
        <v>111</v>
      </c>
      <c r="C4" s="8" t="s">
        <v>112</v>
      </c>
      <c r="D4" s="8" t="s">
        <v>113</v>
      </c>
      <c r="E4" s="8" t="s">
        <v>114</v>
      </c>
      <c r="F4" s="8" t="s">
        <v>115</v>
      </c>
      <c r="G4" s="8" t="s">
        <v>116</v>
      </c>
      <c r="H4" s="8" t="s">
        <v>117</v>
      </c>
      <c r="I4" s="8" t="s">
        <v>118</v>
      </c>
      <c r="J4" s="8" t="s">
        <v>119</v>
      </c>
      <c r="K4" s="8" t="s">
        <v>120</v>
      </c>
    </row>
    <row r="5" spans="1:11">
      <c r="A5" s="13" t="s">
        <v>121</v>
      </c>
      <c r="B5" s="14" t="s">
        <v>122</v>
      </c>
      <c r="C5" s="14" t="s">
        <v>54</v>
      </c>
      <c r="D5" s="14" t="s">
        <v>123</v>
      </c>
      <c r="E5" s="12" t="s">
        <v>52</v>
      </c>
      <c r="F5" s="14" t="str">
        <f>IFERROR(VLOOKUP(E5,Verticals!A:B,2,FALSE()),"")</f>
        <v>Programme Management Services</v>
      </c>
      <c r="G5" s="12" t="s">
        <v>502</v>
      </c>
      <c r="H5" s="14" t="str">
        <f>IFERROR(VLOOKUP(G5,Reference!A:B,2,FALSE()),"")</f>
        <v/>
      </c>
      <c r="I5" s="12"/>
      <c r="J5" s="14" t="s">
        <v>124</v>
      </c>
      <c r="K5" s="14" t="s">
        <v>125</v>
      </c>
    </row>
    <row r="6" spans="1:11">
      <c r="A6" s="13" t="s">
        <v>126</v>
      </c>
      <c r="B6" s="14" t="s">
        <v>127</v>
      </c>
      <c r="C6" s="14" t="s">
        <v>54</v>
      </c>
      <c r="D6" s="14" t="s">
        <v>128</v>
      </c>
      <c r="E6" s="12" t="s">
        <v>56</v>
      </c>
      <c r="F6" s="14" t="str">
        <f>IFERROR(VLOOKUP(E6,Verticals!A:B,2,FALSE()),"")</f>
        <v>Research &amp; Development (APHL)</v>
      </c>
      <c r="G6" s="12" t="s">
        <v>502</v>
      </c>
      <c r="H6" s="14" t="str">
        <f>IFERROR(VLOOKUP(G6,Reference!A:B,2,FALSE()),"")</f>
        <v/>
      </c>
      <c r="I6" s="12"/>
      <c r="J6" s="14" t="s">
        <v>124</v>
      </c>
      <c r="K6" s="14" t="s">
        <v>125</v>
      </c>
    </row>
    <row r="7" spans="1:11">
      <c r="A7" s="13" t="s">
        <v>129</v>
      </c>
      <c r="B7" s="14" t="s">
        <v>130</v>
      </c>
      <c r="C7" s="14" t="s">
        <v>54</v>
      </c>
      <c r="D7" s="14" t="s">
        <v>131</v>
      </c>
      <c r="E7" s="12" t="s">
        <v>71</v>
      </c>
      <c r="F7" s="14" t="str">
        <f>IFERROR(VLOOKUP(E7,Verticals!A:B,2,FALSE()),"")</f>
        <v>Accounting Office — APHL</v>
      </c>
      <c r="G7" s="12" t="s">
        <v>503</v>
      </c>
      <c r="H7" s="14" t="str">
        <f>IFERROR(VLOOKUP(G7,Reference!A:B,2,FALSE()),"")</f>
        <v/>
      </c>
      <c r="I7" s="12"/>
      <c r="J7" s="14" t="s">
        <v>124</v>
      </c>
      <c r="K7" s="14" t="s">
        <v>125</v>
      </c>
    </row>
    <row r="8" spans="1:11">
      <c r="A8" s="13" t="s">
        <v>132</v>
      </c>
      <c r="B8" s="14" t="s">
        <v>133</v>
      </c>
      <c r="C8" s="14" t="s">
        <v>54</v>
      </c>
      <c r="D8" s="14" t="s">
        <v>134</v>
      </c>
      <c r="E8" s="12" t="s">
        <v>68</v>
      </c>
      <c r="F8" s="14" t="str">
        <f>IFERROR(VLOOKUP(E8,Verticals!A:B,2,FALSE()),"")</f>
        <v>Manufacturing Services</v>
      </c>
      <c r="G8" s="12" t="s">
        <v>502</v>
      </c>
      <c r="H8" s="14" t="str">
        <f>IFERROR(VLOOKUP(G8,Reference!A:B,2,FALSE()),"")</f>
        <v/>
      </c>
      <c r="I8" s="12"/>
      <c r="J8" s="14" t="s">
        <v>124</v>
      </c>
      <c r="K8" s="14" t="s">
        <v>125</v>
      </c>
    </row>
    <row r="9" spans="1:11">
      <c r="A9" s="13" t="s">
        <v>135</v>
      </c>
      <c r="B9" s="14" t="s">
        <v>136</v>
      </c>
      <c r="C9" s="14" t="s">
        <v>54</v>
      </c>
      <c r="D9" s="14" t="s">
        <v>137</v>
      </c>
      <c r="E9" s="12" t="s">
        <v>47</v>
      </c>
      <c r="F9" s="14" t="str">
        <f>IFERROR(VLOOKUP(E9,Verticals!A:B,2,FALSE()),"")</f>
        <v>Administrative Services</v>
      </c>
      <c r="G9" s="12" t="s">
        <v>141</v>
      </c>
      <c r="H9" s="14" t="str">
        <f>IFERROR(VLOOKUP(G9,Reference!A:B,2,FALSE()),"")</f>
        <v/>
      </c>
      <c r="I9" s="12"/>
      <c r="J9" s="14" t="s">
        <v>124</v>
      </c>
      <c r="K9" s="14" t="s">
        <v>125</v>
      </c>
    </row>
    <row r="10" spans="1:11">
      <c r="A10" s="13" t="s">
        <v>138</v>
      </c>
      <c r="B10" s="14" t="s">
        <v>139</v>
      </c>
      <c r="C10" s="14" t="s">
        <v>54</v>
      </c>
      <c r="D10" s="14" t="s">
        <v>134</v>
      </c>
      <c r="E10" s="12" t="s">
        <v>68</v>
      </c>
      <c r="F10" s="14" t="str">
        <f>IFERROR(VLOOKUP(E10,Verticals!A:B,2,FALSE()),"")</f>
        <v>Manufacturing Services</v>
      </c>
      <c r="G10" s="12" t="s">
        <v>502</v>
      </c>
      <c r="H10" s="14" t="str">
        <f>IFERROR(VLOOKUP(G10,Reference!A:B,2,FALSE()),"")</f>
        <v/>
      </c>
      <c r="I10" s="12"/>
      <c r="J10" s="14" t="s">
        <v>124</v>
      </c>
      <c r="K10" s="14" t="s">
        <v>125</v>
      </c>
    </row>
    <row r="11" spans="1:11">
      <c r="A11" s="13" t="s">
        <v>140</v>
      </c>
      <c r="B11" s="14" t="s">
        <v>141</v>
      </c>
      <c r="C11" s="14" t="s">
        <v>54</v>
      </c>
      <c r="D11" s="14" t="s">
        <v>137</v>
      </c>
      <c r="E11" s="12" t="s">
        <v>47</v>
      </c>
      <c r="F11" s="14" t="str">
        <f>IFERROR(VLOOKUP(E11,Verticals!A:B,2,FALSE()),"")</f>
        <v>Administrative Services</v>
      </c>
      <c r="G11" s="12" t="s">
        <v>502</v>
      </c>
      <c r="H11" s="14" t="str">
        <f>IFERROR(VLOOKUP(G11,Reference!A:B,2,FALSE()),"")</f>
        <v/>
      </c>
      <c r="I11" s="12"/>
      <c r="J11" s="14" t="s">
        <v>124</v>
      </c>
      <c r="K11" s="14" t="s">
        <v>125</v>
      </c>
    </row>
    <row r="12" spans="1:11">
      <c r="A12" s="13" t="s">
        <v>142</v>
      </c>
      <c r="B12" s="14" t="s">
        <v>143</v>
      </c>
      <c r="C12" s="14" t="s">
        <v>54</v>
      </c>
      <c r="D12" s="14" t="s">
        <v>60</v>
      </c>
      <c r="E12" s="12" t="s">
        <v>59</v>
      </c>
      <c r="F12" s="14" t="str">
        <f>IFERROR(VLOOKUP(E12,Verticals!A:B,2,FALSE()),"")</f>
        <v>Quality Control &amp; Assurance</v>
      </c>
      <c r="G12" s="12" t="s">
        <v>149</v>
      </c>
      <c r="H12" s="14" t="str">
        <f>IFERROR(VLOOKUP(G12,Reference!A:B,2,FALSE()),"")</f>
        <v/>
      </c>
      <c r="I12" s="12"/>
      <c r="J12" s="14" t="s">
        <v>124</v>
      </c>
      <c r="K12" s="14" t="s">
        <v>125</v>
      </c>
    </row>
    <row r="13" spans="1:11">
      <c r="A13" s="13" t="s">
        <v>144</v>
      </c>
      <c r="B13" s="14" t="s">
        <v>145</v>
      </c>
      <c r="C13" s="14" t="s">
        <v>54</v>
      </c>
      <c r="D13" s="14" t="s">
        <v>60</v>
      </c>
      <c r="E13" s="12" t="s">
        <v>59</v>
      </c>
      <c r="F13" s="14" t="str">
        <f>IFERROR(VLOOKUP(E13,Verticals!A:B,2,FALSE()),"")</f>
        <v>Quality Control &amp; Assurance</v>
      </c>
      <c r="G13" s="12" t="s">
        <v>149</v>
      </c>
      <c r="H13" s="14" t="str">
        <f>IFERROR(VLOOKUP(G13,Reference!A:B,2,FALSE()),"")</f>
        <v/>
      </c>
      <c r="I13" s="12"/>
      <c r="J13" s="14" t="s">
        <v>124</v>
      </c>
      <c r="K13" s="14" t="s">
        <v>125</v>
      </c>
    </row>
    <row r="14" spans="1:11">
      <c r="A14" s="13" t="s">
        <v>146</v>
      </c>
      <c r="B14" s="14" t="s">
        <v>147</v>
      </c>
      <c r="C14" s="14" t="s">
        <v>54</v>
      </c>
      <c r="D14" s="14" t="s">
        <v>42</v>
      </c>
      <c r="E14" s="12" t="s">
        <v>41</v>
      </c>
      <c r="F14" s="14" t="str">
        <f>IFERROR(VLOOKUP(E14,Verticals!A:B,2,FALSE()),"")</f>
        <v>Data &amp; MIS</v>
      </c>
      <c r="G14" s="12" t="s">
        <v>502</v>
      </c>
      <c r="H14" s="14" t="str">
        <f>IFERROR(VLOOKUP(G14,Reference!A:B,2,FALSE()),"")</f>
        <v/>
      </c>
      <c r="I14" s="12"/>
      <c r="J14" s="14" t="s">
        <v>124</v>
      </c>
      <c r="K14" s="14" t="s">
        <v>125</v>
      </c>
    </row>
    <row r="15" spans="1:11">
      <c r="A15" s="13" t="s">
        <v>148</v>
      </c>
      <c r="B15" s="14" t="s">
        <v>149</v>
      </c>
      <c r="C15" s="14" t="s">
        <v>54</v>
      </c>
      <c r="D15" s="14" t="s">
        <v>60</v>
      </c>
      <c r="E15" s="12" t="s">
        <v>59</v>
      </c>
      <c r="F15" s="14" t="str">
        <f>IFERROR(VLOOKUP(E15,Verticals!A:B,2,FALSE()),"")</f>
        <v>Quality Control &amp; Assurance</v>
      </c>
      <c r="G15" s="12" t="s">
        <v>502</v>
      </c>
      <c r="H15" s="14" t="str">
        <f>IFERROR(VLOOKUP(G15,Reference!A:B,2,FALSE()),"")</f>
        <v/>
      </c>
      <c r="I15" s="12"/>
      <c r="J15" s="14" t="s">
        <v>124</v>
      </c>
      <c r="K15" s="14" t="s">
        <v>125</v>
      </c>
    </row>
    <row r="16" spans="1:11">
      <c r="A16" s="13" t="s">
        <v>150</v>
      </c>
      <c r="B16" s="14" t="s">
        <v>151</v>
      </c>
      <c r="C16" s="14" t="s">
        <v>54</v>
      </c>
      <c r="D16" s="14" t="s">
        <v>152</v>
      </c>
      <c r="E16" s="12" t="s">
        <v>62</v>
      </c>
      <c r="F16" s="14" t="str">
        <f>IFERROR(VLOOKUP(E16,Verticals!A:B,2,FALSE()),"")</f>
        <v>Procurement Services</v>
      </c>
      <c r="G16" s="12" t="s">
        <v>504</v>
      </c>
      <c r="H16" s="14" t="str">
        <f>IFERROR(VLOOKUP(G16,Reference!A:B,2,FALSE()),"")</f>
        <v/>
      </c>
      <c r="I16" s="12"/>
      <c r="J16" s="14" t="s">
        <v>124</v>
      </c>
      <c r="K16" s="14" t="s">
        <v>125</v>
      </c>
    </row>
    <row r="17" spans="1:11">
      <c r="A17" s="13" t="s">
        <v>153</v>
      </c>
      <c r="B17" s="14" t="s">
        <v>154</v>
      </c>
      <c r="C17" s="14" t="s">
        <v>54</v>
      </c>
      <c r="D17" s="14" t="s">
        <v>131</v>
      </c>
      <c r="E17" s="12" t="s">
        <v>71</v>
      </c>
      <c r="F17" s="14" t="str">
        <f>IFERROR(VLOOKUP(E17,Verticals!A:B,2,FALSE()),"")</f>
        <v>Accounting Office — APHL</v>
      </c>
      <c r="G17" s="12" t="s">
        <v>130</v>
      </c>
      <c r="H17" s="14" t="str">
        <f>IFERROR(VLOOKUP(G17,Reference!A:B,2,FALSE()),"")</f>
        <v/>
      </c>
      <c r="I17" s="12"/>
      <c r="J17" s="14" t="s">
        <v>124</v>
      </c>
      <c r="K17" s="14" t="s">
        <v>125</v>
      </c>
    </row>
    <row r="18" spans="1:11">
      <c r="A18" s="13" t="s">
        <v>155</v>
      </c>
      <c r="B18" s="14" t="s">
        <v>156</v>
      </c>
      <c r="C18" s="14" t="s">
        <v>54</v>
      </c>
      <c r="D18" s="14" t="s">
        <v>137</v>
      </c>
      <c r="E18" s="12" t="s">
        <v>47</v>
      </c>
      <c r="F18" s="14" t="str">
        <f>IFERROR(VLOOKUP(E18,Verticals!A:B,2,FALSE()),"")</f>
        <v>Administrative Services</v>
      </c>
      <c r="G18" s="12" t="s">
        <v>136</v>
      </c>
      <c r="H18" s="14" t="str">
        <f>IFERROR(VLOOKUP(G18,Reference!A:B,2,FALSE()),"")</f>
        <v/>
      </c>
      <c r="I18" s="12"/>
      <c r="J18" s="14" t="s">
        <v>124</v>
      </c>
      <c r="K18" s="14" t="s">
        <v>125</v>
      </c>
    </row>
    <row r="19" spans="1:11">
      <c r="A19" s="13" t="s">
        <v>157</v>
      </c>
      <c r="B19" s="14" t="s">
        <v>158</v>
      </c>
      <c r="C19" s="14" t="s">
        <v>54</v>
      </c>
      <c r="D19" s="14" t="s">
        <v>123</v>
      </c>
      <c r="E19" s="12" t="s">
        <v>52</v>
      </c>
      <c r="F19" s="14" t="str">
        <f>IFERROR(VLOOKUP(E19,Verticals!A:B,2,FALSE()),"")</f>
        <v>Programme Management Services</v>
      </c>
      <c r="G19" s="12" t="s">
        <v>502</v>
      </c>
      <c r="H19" s="14" t="str">
        <f>IFERROR(VLOOKUP(G19,Reference!A:B,2,FALSE()),"")</f>
        <v/>
      </c>
      <c r="I19" s="12"/>
      <c r="J19" s="14" t="s">
        <v>124</v>
      </c>
      <c r="K19" s="14" t="s">
        <v>125</v>
      </c>
    </row>
    <row r="20" spans="1:11">
      <c r="A20" s="13" t="s">
        <v>159</v>
      </c>
      <c r="B20" s="14" t="s">
        <v>160</v>
      </c>
      <c r="C20" s="14" t="s">
        <v>54</v>
      </c>
      <c r="D20" s="14" t="s">
        <v>137</v>
      </c>
      <c r="E20" s="12" t="s">
        <v>47</v>
      </c>
      <c r="F20" s="14" t="str">
        <f>IFERROR(VLOOKUP(E20,Verticals!A:B,2,FALSE()),"")</f>
        <v>Administrative Services</v>
      </c>
      <c r="G20" s="12" t="s">
        <v>136</v>
      </c>
      <c r="H20" s="14" t="str">
        <f>IFERROR(VLOOKUP(G20,Reference!A:B,2,FALSE()),"")</f>
        <v/>
      </c>
      <c r="I20" s="12"/>
      <c r="J20" s="14" t="s">
        <v>124</v>
      </c>
      <c r="K20" s="14" t="s">
        <v>125</v>
      </c>
    </row>
    <row r="21" spans="1:11">
      <c r="A21" s="13" t="s">
        <v>161</v>
      </c>
      <c r="B21" s="14" t="s">
        <v>162</v>
      </c>
      <c r="C21" s="14" t="s">
        <v>54</v>
      </c>
      <c r="D21" s="14" t="s">
        <v>128</v>
      </c>
      <c r="E21" s="12" t="s">
        <v>56</v>
      </c>
      <c r="F21" s="14" t="str">
        <f>IFERROR(VLOOKUP(E21,Verticals!A:B,2,FALSE()),"")</f>
        <v>Research &amp; Development (APHL)</v>
      </c>
      <c r="G21" s="12" t="s">
        <v>127</v>
      </c>
      <c r="H21" s="14" t="str">
        <f>IFERROR(VLOOKUP(G21,Reference!A:B,2,FALSE()),"")</f>
        <v/>
      </c>
      <c r="I21" s="12"/>
      <c r="J21" s="14" t="s">
        <v>124</v>
      </c>
      <c r="K21" s="14" t="s">
        <v>163</v>
      </c>
    </row>
    <row r="22" spans="1:11">
      <c r="A22" s="13" t="s">
        <v>164</v>
      </c>
      <c r="B22" s="14" t="s">
        <v>165</v>
      </c>
      <c r="C22" s="14" t="s">
        <v>54</v>
      </c>
      <c r="D22" s="14" t="s">
        <v>152</v>
      </c>
      <c r="E22" s="12" t="s">
        <v>62</v>
      </c>
      <c r="F22" s="14" t="str">
        <f>IFERROR(VLOOKUP(E22,Verticals!A:B,2,FALSE()),"")</f>
        <v>Procurement Services</v>
      </c>
      <c r="G22" s="12" t="s">
        <v>502</v>
      </c>
      <c r="H22" s="14" t="str">
        <f>IFERROR(VLOOKUP(G22,Reference!A:B,2,FALSE()),"")</f>
        <v/>
      </c>
      <c r="I22" s="12"/>
      <c r="J22" s="14" t="s">
        <v>124</v>
      </c>
      <c r="K22" s="14" t="s">
        <v>125</v>
      </c>
    </row>
    <row r="23" spans="1:11">
      <c r="A23" s="13" t="s">
        <v>166</v>
      </c>
      <c r="B23" s="14" t="s">
        <v>167</v>
      </c>
      <c r="C23" s="14" t="s">
        <v>54</v>
      </c>
      <c r="D23" s="14" t="s">
        <v>123</v>
      </c>
      <c r="E23" s="12" t="s">
        <v>52</v>
      </c>
      <c r="F23" s="14" t="str">
        <f>IFERROR(VLOOKUP(E23,Verticals!A:B,2,FALSE()),"")</f>
        <v>Programme Management Services</v>
      </c>
      <c r="G23" s="12" t="s">
        <v>122</v>
      </c>
      <c r="H23" s="14" t="str">
        <f>IFERROR(VLOOKUP(G23,Reference!A:B,2,FALSE()),"")</f>
        <v/>
      </c>
      <c r="I23" s="12"/>
      <c r="J23" s="14" t="s">
        <v>124</v>
      </c>
      <c r="K23" s="14" t="s">
        <v>125</v>
      </c>
    </row>
    <row r="24" spans="1:11" ht="28">
      <c r="A24" s="13" t="s">
        <v>168</v>
      </c>
      <c r="B24" s="14" t="s">
        <v>169</v>
      </c>
      <c r="C24" s="14" t="s">
        <v>54</v>
      </c>
      <c r="D24" s="14" t="s">
        <v>134</v>
      </c>
      <c r="E24" s="12" t="s">
        <v>68</v>
      </c>
      <c r="F24" s="14" t="str">
        <f>IFERROR(VLOOKUP(E24,Verticals!A:B,2,FALSE()),"")</f>
        <v>Manufacturing Services</v>
      </c>
      <c r="G24" s="12" t="s">
        <v>139</v>
      </c>
      <c r="H24" s="14" t="str">
        <f>IFERROR(VLOOKUP(G24,Reference!A:B,2,FALSE()),"")</f>
        <v/>
      </c>
      <c r="I24" s="12"/>
      <c r="J24" s="14" t="s">
        <v>124</v>
      </c>
      <c r="K24" s="14" t="s">
        <v>125</v>
      </c>
    </row>
    <row r="25" spans="1:11">
      <c r="A25" s="13" t="s">
        <v>170</v>
      </c>
      <c r="B25" s="14" t="s">
        <v>171</v>
      </c>
      <c r="C25" s="14" t="s">
        <v>54</v>
      </c>
      <c r="D25" s="14" t="s">
        <v>134</v>
      </c>
      <c r="E25" s="12" t="s">
        <v>68</v>
      </c>
      <c r="F25" s="14" t="str">
        <f>IFERROR(VLOOKUP(E25,Verticals!A:B,2,FALSE()),"")</f>
        <v>Manufacturing Services</v>
      </c>
      <c r="G25" s="12" t="s">
        <v>133</v>
      </c>
      <c r="H25" s="14" t="str">
        <f>IFERROR(VLOOKUP(G25,Reference!A:B,2,FALSE()),"")</f>
        <v/>
      </c>
      <c r="I25" s="12"/>
      <c r="J25" s="14" t="s">
        <v>124</v>
      </c>
      <c r="K25" s="14" t="s">
        <v>125</v>
      </c>
    </row>
    <row r="26" spans="1:11" ht="28">
      <c r="A26" s="13" t="s">
        <v>172</v>
      </c>
      <c r="B26" s="14" t="s">
        <v>173</v>
      </c>
      <c r="C26" s="14" t="s">
        <v>54</v>
      </c>
      <c r="D26" s="14" t="s">
        <v>134</v>
      </c>
      <c r="E26" s="12" t="s">
        <v>68</v>
      </c>
      <c r="F26" s="14" t="str">
        <f>IFERROR(VLOOKUP(E26,Verticals!A:B,2,FALSE()),"")</f>
        <v>Manufacturing Services</v>
      </c>
      <c r="G26" s="12" t="s">
        <v>139</v>
      </c>
      <c r="H26" s="14" t="str">
        <f>IFERROR(VLOOKUP(G26,Reference!A:B,2,FALSE()),"")</f>
        <v/>
      </c>
      <c r="I26" s="12"/>
      <c r="J26" s="14" t="s">
        <v>124</v>
      </c>
      <c r="K26" s="14" t="s">
        <v>163</v>
      </c>
    </row>
    <row r="27" spans="1:11" ht="28">
      <c r="A27" s="13" t="s">
        <v>174</v>
      </c>
      <c r="B27" s="14" t="s">
        <v>175</v>
      </c>
      <c r="C27" s="14" t="s">
        <v>54</v>
      </c>
      <c r="D27" s="14" t="s">
        <v>134</v>
      </c>
      <c r="E27" s="12" t="s">
        <v>68</v>
      </c>
      <c r="F27" s="14" t="str">
        <f>IFERROR(VLOOKUP(E27,Verticals!A:B,2,FALSE()),"")</f>
        <v>Manufacturing Services</v>
      </c>
      <c r="G27" s="12" t="s">
        <v>139</v>
      </c>
      <c r="H27" s="14" t="str">
        <f>IFERROR(VLOOKUP(G27,Reference!A:B,2,FALSE()),"")</f>
        <v/>
      </c>
      <c r="I27" s="12"/>
      <c r="J27" s="14" t="s">
        <v>124</v>
      </c>
      <c r="K27" s="14" t="s">
        <v>125</v>
      </c>
    </row>
    <row r="28" spans="1:11" ht="28">
      <c r="A28" s="13" t="s">
        <v>176</v>
      </c>
      <c r="B28" s="14" t="s">
        <v>177</v>
      </c>
      <c r="C28" s="14" t="s">
        <v>54</v>
      </c>
      <c r="D28" s="14" t="s">
        <v>134</v>
      </c>
      <c r="E28" s="12" t="s">
        <v>68</v>
      </c>
      <c r="F28" s="14" t="str">
        <f>IFERROR(VLOOKUP(E28,Verticals!A:B,2,FALSE()),"")</f>
        <v>Manufacturing Services</v>
      </c>
      <c r="G28" s="12" t="s">
        <v>139</v>
      </c>
      <c r="H28" s="14" t="str">
        <f>IFERROR(VLOOKUP(G28,Reference!A:B,2,FALSE()),"")</f>
        <v/>
      </c>
      <c r="I28" s="12"/>
      <c r="J28" s="14" t="s">
        <v>124</v>
      </c>
      <c r="K28" s="14" t="s">
        <v>125</v>
      </c>
    </row>
    <row r="29" spans="1:11" ht="28">
      <c r="A29" s="13" t="s">
        <v>178</v>
      </c>
      <c r="B29" s="14" t="s">
        <v>179</v>
      </c>
      <c r="C29" s="14" t="s">
        <v>54</v>
      </c>
      <c r="D29" s="14" t="s">
        <v>134</v>
      </c>
      <c r="E29" s="12" t="s">
        <v>68</v>
      </c>
      <c r="F29" s="14" t="str">
        <f>IFERROR(VLOOKUP(E29,Verticals!A:B,2,FALSE()),"")</f>
        <v>Manufacturing Services</v>
      </c>
      <c r="G29" s="12" t="s">
        <v>139</v>
      </c>
      <c r="H29" s="14" t="str">
        <f>IFERROR(VLOOKUP(G29,Reference!A:B,2,FALSE()),"")</f>
        <v/>
      </c>
      <c r="I29" s="12"/>
      <c r="J29" s="14" t="s">
        <v>124</v>
      </c>
      <c r="K29" s="14" t="s">
        <v>125</v>
      </c>
    </row>
    <row r="30" spans="1:11">
      <c r="A30" s="13" t="s">
        <v>180</v>
      </c>
      <c r="B30" s="14" t="s">
        <v>181</v>
      </c>
      <c r="C30" s="14" t="s">
        <v>54</v>
      </c>
      <c r="D30" s="14" t="s">
        <v>128</v>
      </c>
      <c r="E30" s="12" t="s">
        <v>56</v>
      </c>
      <c r="F30" s="14" t="str">
        <f>IFERROR(VLOOKUP(E30,Verticals!A:B,2,FALSE()),"")</f>
        <v>Research &amp; Development (APHL)</v>
      </c>
      <c r="G30" s="12" t="s">
        <v>127</v>
      </c>
      <c r="H30" s="14" t="str">
        <f>IFERROR(VLOOKUP(G30,Reference!A:B,2,FALSE()),"")</f>
        <v/>
      </c>
      <c r="I30" s="12"/>
      <c r="J30" s="14" t="s">
        <v>124</v>
      </c>
      <c r="K30" s="14" t="s">
        <v>125</v>
      </c>
    </row>
    <row r="31" spans="1:11">
      <c r="A31" s="13" t="s">
        <v>182</v>
      </c>
      <c r="B31" s="14" t="s">
        <v>183</v>
      </c>
      <c r="C31" s="14" t="s">
        <v>54</v>
      </c>
      <c r="D31" s="14" t="s">
        <v>137</v>
      </c>
      <c r="E31" s="12" t="s">
        <v>47</v>
      </c>
      <c r="F31" s="14" t="str">
        <f>IFERROR(VLOOKUP(E31,Verticals!A:B,2,FALSE()),"")</f>
        <v>Administrative Services</v>
      </c>
      <c r="G31" s="12" t="s">
        <v>141</v>
      </c>
      <c r="H31" s="14" t="str">
        <f>IFERROR(VLOOKUP(G31,Reference!A:B,2,FALSE()),"")</f>
        <v/>
      </c>
      <c r="I31" s="12"/>
      <c r="J31" s="14" t="s">
        <v>124</v>
      </c>
      <c r="K31" s="14" t="s">
        <v>125</v>
      </c>
    </row>
    <row r="32" spans="1:11">
      <c r="A32" s="13" t="s">
        <v>184</v>
      </c>
      <c r="B32" s="14" t="s">
        <v>185</v>
      </c>
      <c r="C32" s="14" t="s">
        <v>54</v>
      </c>
      <c r="D32" s="14" t="s">
        <v>134</v>
      </c>
      <c r="E32" s="12" t="s">
        <v>68</v>
      </c>
      <c r="F32" s="14" t="str">
        <f>IFERROR(VLOOKUP(E32,Verticals!A:B,2,FALSE()),"")</f>
        <v>Manufacturing Services</v>
      </c>
      <c r="G32" s="12" t="s">
        <v>502</v>
      </c>
      <c r="H32" s="14" t="str">
        <f>IFERROR(VLOOKUP(G32,Reference!A:B,2,FALSE()),"")</f>
        <v/>
      </c>
      <c r="I32" s="12"/>
      <c r="J32" s="14" t="s">
        <v>124</v>
      </c>
      <c r="K32" s="14" t="s">
        <v>125</v>
      </c>
    </row>
    <row r="33" spans="1:11">
      <c r="A33" s="13" t="s">
        <v>186</v>
      </c>
      <c r="B33" s="14" t="s">
        <v>187</v>
      </c>
      <c r="C33" s="14" t="s">
        <v>54</v>
      </c>
      <c r="D33" s="14" t="s">
        <v>137</v>
      </c>
      <c r="E33" s="12" t="s">
        <v>47</v>
      </c>
      <c r="F33" s="14" t="str">
        <f>IFERROR(VLOOKUP(E33,Verticals!A:B,2,FALSE()),"")</f>
        <v>Administrative Services</v>
      </c>
      <c r="G33" s="12" t="s">
        <v>502</v>
      </c>
      <c r="H33" s="14" t="str">
        <f>IFERROR(VLOOKUP(G33,Reference!A:B,2,FALSE()),"")</f>
        <v/>
      </c>
      <c r="I33" s="12"/>
      <c r="J33" s="14" t="s">
        <v>124</v>
      </c>
      <c r="K33" s="14" t="s">
        <v>125</v>
      </c>
    </row>
    <row r="34" spans="1:11">
      <c r="A34" s="13" t="s">
        <v>188</v>
      </c>
      <c r="B34" s="14" t="s">
        <v>189</v>
      </c>
      <c r="C34" s="14" t="s">
        <v>54</v>
      </c>
      <c r="D34" s="14" t="s">
        <v>137</v>
      </c>
      <c r="E34" s="12" t="s">
        <v>47</v>
      </c>
      <c r="F34" s="14" t="str">
        <f>IFERROR(VLOOKUP(E34,Verticals!A:B,2,FALSE()),"")</f>
        <v>Administrative Services</v>
      </c>
      <c r="G34" s="12" t="s">
        <v>502</v>
      </c>
      <c r="H34" s="14" t="str">
        <f>IFERROR(VLOOKUP(G34,Reference!A:B,2,FALSE()),"")</f>
        <v/>
      </c>
      <c r="I34" s="12"/>
      <c r="J34" s="14" t="s">
        <v>124</v>
      </c>
      <c r="K34" s="14" t="s">
        <v>125</v>
      </c>
    </row>
    <row r="35" spans="1:11" s="23" customFormat="1">
      <c r="A35" s="20" t="s">
        <v>190</v>
      </c>
      <c r="B35" s="21" t="s">
        <v>191</v>
      </c>
      <c r="C35" s="21" t="s">
        <v>76</v>
      </c>
      <c r="D35" s="21" t="s">
        <v>192</v>
      </c>
      <c r="E35" s="22" t="s">
        <v>47</v>
      </c>
      <c r="F35" s="21" t="str">
        <f>IFERROR(VLOOKUP(E35,Verticals!A:B,2,FALSE()),"")</f>
        <v>Administrative Services</v>
      </c>
      <c r="G35" s="22" t="s">
        <v>505</v>
      </c>
      <c r="H35" s="21" t="str">
        <f>IFERROR(VLOOKUP(G35,Reference!A:B,2,FALSE()),"")</f>
        <v/>
      </c>
      <c r="I35" s="22"/>
      <c r="J35" s="21" t="s">
        <v>124</v>
      </c>
      <c r="K35" s="21" t="s">
        <v>125</v>
      </c>
    </row>
    <row r="36" spans="1:11">
      <c r="A36" s="13" t="s">
        <v>193</v>
      </c>
      <c r="B36" s="14" t="s">
        <v>194</v>
      </c>
      <c r="C36" s="14" t="s">
        <v>76</v>
      </c>
      <c r="D36" s="14" t="s">
        <v>195</v>
      </c>
      <c r="E36" s="12" t="s">
        <v>84</v>
      </c>
      <c r="F36" s="14" t="str">
        <f>IFERROR(VLOOKUP(E36,Verticals!A:B,2,FALSE()),"")</f>
        <v>Offline Sales Team</v>
      </c>
      <c r="G36" s="12" t="s">
        <v>222</v>
      </c>
      <c r="H36" s="14" t="str">
        <f>IFERROR(VLOOKUP(G36,Reference!A:B,2,FALSE()),"")</f>
        <v/>
      </c>
      <c r="I36" s="12"/>
      <c r="J36" s="14" t="s">
        <v>196</v>
      </c>
      <c r="K36" s="14" t="s">
        <v>125</v>
      </c>
    </row>
    <row r="37" spans="1:11">
      <c r="A37" s="13" t="s">
        <v>197</v>
      </c>
      <c r="B37" s="14" t="s">
        <v>198</v>
      </c>
      <c r="C37" s="14" t="s">
        <v>76</v>
      </c>
      <c r="D37" s="14" t="s">
        <v>195</v>
      </c>
      <c r="E37" s="12" t="s">
        <v>84</v>
      </c>
      <c r="F37" s="14" t="str">
        <f>IFERROR(VLOOKUP(E37,Verticals!A:B,2,FALSE()),"")</f>
        <v>Offline Sales Team</v>
      </c>
      <c r="G37" s="12" t="s">
        <v>194</v>
      </c>
      <c r="H37" s="14" t="str">
        <f>IFERROR(VLOOKUP(G37,Reference!A:B,2,FALSE()),"")</f>
        <v/>
      </c>
      <c r="I37" s="12"/>
      <c r="J37" s="14" t="s">
        <v>199</v>
      </c>
      <c r="K37" s="14" t="s">
        <v>125</v>
      </c>
    </row>
    <row r="38" spans="1:11">
      <c r="A38" s="13" t="s">
        <v>200</v>
      </c>
      <c r="B38" s="14" t="s">
        <v>201</v>
      </c>
      <c r="C38" s="14" t="s">
        <v>76</v>
      </c>
      <c r="D38" s="14" t="s">
        <v>195</v>
      </c>
      <c r="E38" s="12" t="s">
        <v>84</v>
      </c>
      <c r="F38" s="14" t="str">
        <f>IFERROR(VLOOKUP(E38,Verticals!A:B,2,FALSE()),"")</f>
        <v>Offline Sales Team</v>
      </c>
      <c r="G38" s="12" t="s">
        <v>194</v>
      </c>
      <c r="H38" s="14" t="str">
        <f>IFERROR(VLOOKUP(G38,Reference!A:B,2,FALSE()),"")</f>
        <v/>
      </c>
      <c r="I38" s="12"/>
      <c r="J38" s="14" t="s">
        <v>196</v>
      </c>
      <c r="K38" s="14" t="s">
        <v>125</v>
      </c>
    </row>
    <row r="39" spans="1:11">
      <c r="A39" s="13" t="s">
        <v>202</v>
      </c>
      <c r="B39" s="14" t="s">
        <v>203</v>
      </c>
      <c r="C39" s="14" t="s">
        <v>76</v>
      </c>
      <c r="D39" s="14" t="s">
        <v>131</v>
      </c>
      <c r="E39" s="12" t="s">
        <v>96</v>
      </c>
      <c r="F39" s="14" t="str">
        <f>IFERROR(VLOOKUP(E39,Verticals!A:B,2,FALSE()),"")</f>
        <v>Accounting Office — Veridian</v>
      </c>
      <c r="G39" s="12" t="s">
        <v>503</v>
      </c>
      <c r="H39" s="14" t="str">
        <f>IFERROR(VLOOKUP(G39,Reference!A:B,2,FALSE()),"")</f>
        <v/>
      </c>
      <c r="I39" s="12"/>
      <c r="J39" s="14" t="s">
        <v>124</v>
      </c>
      <c r="K39" s="14" t="s">
        <v>163</v>
      </c>
    </row>
    <row r="40" spans="1:11">
      <c r="A40" s="13" t="s">
        <v>204</v>
      </c>
      <c r="B40" s="14" t="s">
        <v>205</v>
      </c>
      <c r="C40" s="14" t="s">
        <v>76</v>
      </c>
      <c r="D40" s="14" t="s">
        <v>195</v>
      </c>
      <c r="E40" s="12" t="s">
        <v>84</v>
      </c>
      <c r="F40" s="14" t="str">
        <f>IFERROR(VLOOKUP(E40,Verticals!A:B,2,FALSE()),"")</f>
        <v>Offline Sales Team</v>
      </c>
      <c r="G40" s="12" t="s">
        <v>250</v>
      </c>
      <c r="H40" s="14" t="str">
        <f>IFERROR(VLOOKUP(G40,Reference!A:B,2,FALSE()),"")</f>
        <v/>
      </c>
      <c r="I40" s="12"/>
      <c r="J40" s="14" t="s">
        <v>206</v>
      </c>
      <c r="K40" s="14" t="s">
        <v>125</v>
      </c>
    </row>
    <row r="41" spans="1:11">
      <c r="A41" s="13" t="s">
        <v>207</v>
      </c>
      <c r="B41" s="14" t="s">
        <v>208</v>
      </c>
      <c r="C41" s="14" t="s">
        <v>76</v>
      </c>
      <c r="D41" s="14" t="s">
        <v>195</v>
      </c>
      <c r="E41" s="12" t="s">
        <v>84</v>
      </c>
      <c r="F41" s="14" t="str">
        <f>IFERROR(VLOOKUP(E41,Verticals!A:B,2,FALSE()),"")</f>
        <v>Offline Sales Team</v>
      </c>
      <c r="G41" s="12" t="s">
        <v>222</v>
      </c>
      <c r="H41" s="14" t="str">
        <f>IFERROR(VLOOKUP(G41,Reference!A:B,2,FALSE()),"")</f>
        <v/>
      </c>
      <c r="I41" s="12"/>
      <c r="J41" s="14" t="s">
        <v>209</v>
      </c>
      <c r="K41" s="14" t="s">
        <v>125</v>
      </c>
    </row>
    <row r="42" spans="1:11">
      <c r="A42" s="13" t="s">
        <v>210</v>
      </c>
      <c r="B42" s="14" t="s">
        <v>211</v>
      </c>
      <c r="C42" s="14" t="s">
        <v>76</v>
      </c>
      <c r="D42" s="14" t="s">
        <v>195</v>
      </c>
      <c r="E42" s="12" t="s">
        <v>84</v>
      </c>
      <c r="F42" s="14" t="str">
        <f>IFERROR(VLOOKUP(E42,Verticals!A:B,2,FALSE()),"")</f>
        <v>Offline Sales Team</v>
      </c>
      <c r="G42" s="12" t="s">
        <v>222</v>
      </c>
      <c r="H42" s="14" t="str">
        <f>IFERROR(VLOOKUP(G42,Reference!A:B,2,FALSE()),"")</f>
        <v/>
      </c>
      <c r="I42" s="12"/>
      <c r="J42" s="14" t="s">
        <v>212</v>
      </c>
      <c r="K42" s="14" t="s">
        <v>125</v>
      </c>
    </row>
    <row r="43" spans="1:11">
      <c r="A43" s="13" t="s">
        <v>213</v>
      </c>
      <c r="B43" s="14" t="s">
        <v>214</v>
      </c>
      <c r="C43" s="14" t="s">
        <v>76</v>
      </c>
      <c r="D43" s="14" t="s">
        <v>195</v>
      </c>
      <c r="E43" s="12" t="s">
        <v>84</v>
      </c>
      <c r="F43" s="14" t="str">
        <f>IFERROR(VLOOKUP(E43,Verticals!A:B,2,FALSE()),"")</f>
        <v>Offline Sales Team</v>
      </c>
      <c r="G43" s="12" t="s">
        <v>208</v>
      </c>
      <c r="H43" s="14" t="str">
        <f>IFERROR(VLOOKUP(G43,Reference!A:B,2,FALSE()),"")</f>
        <v/>
      </c>
      <c r="I43" s="12"/>
      <c r="J43" s="14" t="s">
        <v>215</v>
      </c>
      <c r="K43" s="14" t="s">
        <v>125</v>
      </c>
    </row>
    <row r="44" spans="1:11">
      <c r="A44" s="13" t="s">
        <v>216</v>
      </c>
      <c r="B44" s="14" t="s">
        <v>217</v>
      </c>
      <c r="C44" s="14" t="s">
        <v>76</v>
      </c>
      <c r="D44" s="14" t="s">
        <v>195</v>
      </c>
      <c r="E44" s="12" t="s">
        <v>84</v>
      </c>
      <c r="F44" s="14" t="str">
        <f>IFERROR(VLOOKUP(E44,Verticals!A:B,2,FALSE()),"")</f>
        <v>Offline Sales Team</v>
      </c>
      <c r="G44" s="12" t="s">
        <v>194</v>
      </c>
      <c r="H44" s="14" t="str">
        <f>IFERROR(VLOOKUP(G44,Reference!A:B,2,FALSE()),"")</f>
        <v/>
      </c>
      <c r="I44" s="12"/>
      <c r="J44" s="14" t="s">
        <v>196</v>
      </c>
      <c r="K44" s="14" t="s">
        <v>125</v>
      </c>
    </row>
    <row r="45" spans="1:11">
      <c r="A45" s="13" t="s">
        <v>218</v>
      </c>
      <c r="B45" s="14" t="s">
        <v>219</v>
      </c>
      <c r="C45" s="14" t="s">
        <v>76</v>
      </c>
      <c r="D45" s="14" t="s">
        <v>195</v>
      </c>
      <c r="E45" s="12" t="s">
        <v>84</v>
      </c>
      <c r="F45" s="14" t="str">
        <f>IFERROR(VLOOKUP(E45,Verticals!A:B,2,FALSE()),"")</f>
        <v>Offline Sales Team</v>
      </c>
      <c r="G45" s="12" t="s">
        <v>222</v>
      </c>
      <c r="H45" s="14" t="str">
        <f>IFERROR(VLOOKUP(G45,Reference!A:B,2,FALSE()),"")</f>
        <v/>
      </c>
      <c r="I45" s="12"/>
      <c r="J45" s="14" t="s">
        <v>220</v>
      </c>
      <c r="K45" s="14" t="s">
        <v>125</v>
      </c>
    </row>
    <row r="46" spans="1:11">
      <c r="A46" s="13" t="s">
        <v>221</v>
      </c>
      <c r="B46" s="14" t="s">
        <v>222</v>
      </c>
      <c r="C46" s="14" t="s">
        <v>76</v>
      </c>
      <c r="D46" s="14" t="s">
        <v>74</v>
      </c>
      <c r="E46" s="12" t="s">
        <v>74</v>
      </c>
      <c r="F46" s="14" t="str">
        <f>IFERROR(VLOOKUP(E46,Verticals!A:B,2,FALSE()),"")</f>
        <v>Sales Operations &amp; Planning</v>
      </c>
      <c r="G46" s="12" t="s">
        <v>502</v>
      </c>
      <c r="H46" s="14" t="str">
        <f>IFERROR(VLOOKUP(G46,Reference!A:B,2,FALSE()),"")</f>
        <v/>
      </c>
      <c r="I46" s="12"/>
      <c r="J46" s="14" t="s">
        <v>124</v>
      </c>
      <c r="K46" s="14" t="s">
        <v>125</v>
      </c>
    </row>
    <row r="47" spans="1:11">
      <c r="A47" s="13" t="s">
        <v>223</v>
      </c>
      <c r="B47" s="14" t="s">
        <v>224</v>
      </c>
      <c r="C47" s="14" t="s">
        <v>76</v>
      </c>
      <c r="D47" s="14" t="s">
        <v>195</v>
      </c>
      <c r="E47" s="12" t="s">
        <v>84</v>
      </c>
      <c r="F47" s="14" t="str">
        <f>IFERROR(VLOOKUP(E47,Verticals!A:B,2,FALSE()),"")</f>
        <v>Offline Sales Team</v>
      </c>
      <c r="G47" s="12" t="s">
        <v>222</v>
      </c>
      <c r="H47" s="14" t="str">
        <f>IFERROR(VLOOKUP(G47,Reference!A:B,2,FALSE()),"")</f>
        <v/>
      </c>
      <c r="I47" s="12"/>
      <c r="J47" s="14" t="s">
        <v>225</v>
      </c>
      <c r="K47" s="14" t="s">
        <v>125</v>
      </c>
    </row>
    <row r="48" spans="1:11">
      <c r="A48" s="13" t="s">
        <v>226</v>
      </c>
      <c r="B48" s="14" t="s">
        <v>227</v>
      </c>
      <c r="C48" s="14" t="s">
        <v>76</v>
      </c>
      <c r="D48" s="14" t="s">
        <v>195</v>
      </c>
      <c r="E48" s="12" t="s">
        <v>84</v>
      </c>
      <c r="F48" s="14" t="str">
        <f>IFERROR(VLOOKUP(E48,Verticals!A:B,2,FALSE()),"")</f>
        <v>Offline Sales Team</v>
      </c>
      <c r="G48" s="12" t="s">
        <v>222</v>
      </c>
      <c r="H48" s="14" t="str">
        <f>IFERROR(VLOOKUP(G48,Reference!A:B,2,FALSE()),"")</f>
        <v/>
      </c>
      <c r="I48" s="12"/>
      <c r="J48" s="14" t="s">
        <v>228</v>
      </c>
      <c r="K48" s="14" t="s">
        <v>125</v>
      </c>
    </row>
    <row r="49" spans="1:11">
      <c r="A49" s="13" t="s">
        <v>229</v>
      </c>
      <c r="B49" s="14" t="s">
        <v>230</v>
      </c>
      <c r="C49" s="14" t="s">
        <v>76</v>
      </c>
      <c r="D49" s="14" t="s">
        <v>195</v>
      </c>
      <c r="E49" s="12" t="s">
        <v>84</v>
      </c>
      <c r="F49" s="14" t="str">
        <f>IFERROR(VLOOKUP(E49,Verticals!A:B,2,FALSE()),"")</f>
        <v>Offline Sales Team</v>
      </c>
      <c r="G49" s="12" t="s">
        <v>222</v>
      </c>
      <c r="H49" s="14" t="str">
        <f>IFERROR(VLOOKUP(G49,Reference!A:B,2,FALSE()),"")</f>
        <v/>
      </c>
      <c r="I49" s="12"/>
      <c r="J49" s="14" t="s">
        <v>231</v>
      </c>
      <c r="K49" s="14" t="s">
        <v>125</v>
      </c>
    </row>
    <row r="50" spans="1:11">
      <c r="A50" s="13" t="s">
        <v>232</v>
      </c>
      <c r="B50" s="14" t="s">
        <v>233</v>
      </c>
      <c r="C50" s="14" t="s">
        <v>76</v>
      </c>
      <c r="D50" s="14" t="s">
        <v>195</v>
      </c>
      <c r="E50" s="12" t="s">
        <v>84</v>
      </c>
      <c r="F50" s="14" t="str">
        <f>IFERROR(VLOOKUP(E50,Verticals!A:B,2,FALSE()),"")</f>
        <v>Offline Sales Team</v>
      </c>
      <c r="G50" s="12" t="s">
        <v>208</v>
      </c>
      <c r="H50" s="14" t="str">
        <f>IFERROR(VLOOKUP(G50,Reference!A:B,2,FALSE()),"")</f>
        <v/>
      </c>
      <c r="I50" s="12"/>
      <c r="J50" s="14" t="s">
        <v>209</v>
      </c>
      <c r="K50" s="14" t="s">
        <v>125</v>
      </c>
    </row>
    <row r="51" spans="1:11">
      <c r="A51" s="13" t="s">
        <v>234</v>
      </c>
      <c r="B51" s="14" t="s">
        <v>235</v>
      </c>
      <c r="C51" s="14" t="s">
        <v>76</v>
      </c>
      <c r="D51" s="14" t="s">
        <v>195</v>
      </c>
      <c r="E51" s="12" t="s">
        <v>84</v>
      </c>
      <c r="F51" s="14" t="str">
        <f>IFERROR(VLOOKUP(E51,Verticals!A:B,2,FALSE()),"")</f>
        <v>Offline Sales Team</v>
      </c>
      <c r="G51" s="12" t="s">
        <v>222</v>
      </c>
      <c r="H51" s="14" t="str">
        <f>IFERROR(VLOOKUP(G51,Reference!A:B,2,FALSE()),"")</f>
        <v/>
      </c>
      <c r="I51" s="12"/>
      <c r="J51" s="14" t="s">
        <v>236</v>
      </c>
      <c r="K51" s="14" t="s">
        <v>125</v>
      </c>
    </row>
    <row r="52" spans="1:11">
      <c r="A52" s="13" t="s">
        <v>237</v>
      </c>
      <c r="B52" s="14" t="s">
        <v>238</v>
      </c>
      <c r="C52" s="14" t="s">
        <v>76</v>
      </c>
      <c r="D52" s="14" t="s">
        <v>195</v>
      </c>
      <c r="E52" s="12" t="s">
        <v>84</v>
      </c>
      <c r="F52" s="14" t="str">
        <f>IFERROR(VLOOKUP(E52,Verticals!A:B,2,FALSE()),"")</f>
        <v>Offline Sales Team</v>
      </c>
      <c r="G52" s="12" t="s">
        <v>222</v>
      </c>
      <c r="H52" s="14" t="str">
        <f>IFERROR(VLOOKUP(G52,Reference!A:B,2,FALSE()),"")</f>
        <v/>
      </c>
      <c r="I52" s="12"/>
      <c r="J52" s="14" t="s">
        <v>239</v>
      </c>
      <c r="K52" s="14" t="s">
        <v>163</v>
      </c>
    </row>
    <row r="53" spans="1:11">
      <c r="A53" s="13" t="s">
        <v>240</v>
      </c>
      <c r="B53" s="14" t="s">
        <v>241</v>
      </c>
      <c r="C53" s="14" t="s">
        <v>76</v>
      </c>
      <c r="D53" s="14" t="s">
        <v>195</v>
      </c>
      <c r="E53" s="12" t="s">
        <v>84</v>
      </c>
      <c r="F53" s="14" t="str">
        <f>IFERROR(VLOOKUP(E53,Verticals!A:B,2,FALSE()),"")</f>
        <v>Offline Sales Team</v>
      </c>
      <c r="G53" s="12" t="s">
        <v>222</v>
      </c>
      <c r="H53" s="14" t="str">
        <f>IFERROR(VLOOKUP(G53,Reference!A:B,2,FALSE()),"")</f>
        <v/>
      </c>
      <c r="I53" s="12"/>
      <c r="J53" s="14" t="s">
        <v>242</v>
      </c>
      <c r="K53" s="14" t="s">
        <v>125</v>
      </c>
    </row>
    <row r="54" spans="1:11">
      <c r="A54" s="13" t="s">
        <v>243</v>
      </c>
      <c r="B54" s="14" t="s">
        <v>244</v>
      </c>
      <c r="C54" s="14" t="s">
        <v>76</v>
      </c>
      <c r="D54" s="14" t="s">
        <v>195</v>
      </c>
      <c r="E54" s="12" t="s">
        <v>84</v>
      </c>
      <c r="F54" s="14" t="str">
        <f>IFERROR(VLOOKUP(E54,Verticals!A:B,2,FALSE()),"")</f>
        <v>Offline Sales Team</v>
      </c>
      <c r="G54" s="12" t="s">
        <v>241</v>
      </c>
      <c r="H54" s="14" t="str">
        <f>IFERROR(VLOOKUP(G54,Reference!A:B,2,FALSE()),"")</f>
        <v/>
      </c>
      <c r="I54" s="12"/>
      <c r="J54" s="14" t="s">
        <v>245</v>
      </c>
      <c r="K54" s="14" t="s">
        <v>125</v>
      </c>
    </row>
    <row r="55" spans="1:11">
      <c r="A55" s="13" t="s">
        <v>246</v>
      </c>
      <c r="B55" s="14" t="s">
        <v>247</v>
      </c>
      <c r="C55" s="14" t="s">
        <v>76</v>
      </c>
      <c r="D55" s="14" t="s">
        <v>195</v>
      </c>
      <c r="E55" s="12" t="s">
        <v>84</v>
      </c>
      <c r="F55" s="14" t="str">
        <f>IFERROR(VLOOKUP(E55,Verticals!A:B,2,FALSE()),"")</f>
        <v>Offline Sales Team</v>
      </c>
      <c r="G55" s="12" t="s">
        <v>506</v>
      </c>
      <c r="H55" s="14" t="str">
        <f>IFERROR(VLOOKUP(G55,Reference!A:B,2,FALSE()),"")</f>
        <v/>
      </c>
      <c r="I55" s="12"/>
      <c r="J55" s="14" t="s">
        <v>248</v>
      </c>
      <c r="K55" s="14" t="s">
        <v>125</v>
      </c>
    </row>
    <row r="56" spans="1:11">
      <c r="A56" s="13" t="s">
        <v>249</v>
      </c>
      <c r="B56" s="14" t="s">
        <v>250</v>
      </c>
      <c r="C56" s="14" t="s">
        <v>76</v>
      </c>
      <c r="D56" s="14" t="s">
        <v>195</v>
      </c>
      <c r="E56" s="12" t="s">
        <v>84</v>
      </c>
      <c r="F56" s="14" t="str">
        <f>IFERROR(VLOOKUP(E56,Verticals!A:B,2,FALSE()),"")</f>
        <v>Offline Sales Team</v>
      </c>
      <c r="G56" s="12" t="s">
        <v>222</v>
      </c>
      <c r="H56" s="14" t="str">
        <f>IFERROR(VLOOKUP(G56,Reference!A:B,2,FALSE()),"")</f>
        <v/>
      </c>
      <c r="I56" s="12"/>
      <c r="J56" s="14" t="s">
        <v>206</v>
      </c>
      <c r="K56" s="14" t="s">
        <v>125</v>
      </c>
    </row>
    <row r="57" spans="1:11">
      <c r="A57" s="13" t="s">
        <v>251</v>
      </c>
      <c r="B57" s="14" t="s">
        <v>252</v>
      </c>
      <c r="C57" s="14" t="s">
        <v>76</v>
      </c>
      <c r="D57" s="14" t="s">
        <v>195</v>
      </c>
      <c r="E57" s="12" t="s">
        <v>84</v>
      </c>
      <c r="F57" s="14" t="str">
        <f>IFERROR(VLOOKUP(E57,Verticals!A:B,2,FALSE()),"")</f>
        <v>Offline Sales Team</v>
      </c>
      <c r="G57" s="12" t="s">
        <v>505</v>
      </c>
      <c r="H57" s="14" t="str">
        <f>IFERROR(VLOOKUP(G57,Reference!A:B,2,FALSE()),"")</f>
        <v/>
      </c>
      <c r="I57" s="12"/>
      <c r="J57" s="14" t="s">
        <v>124</v>
      </c>
      <c r="K57" s="14" t="s">
        <v>163</v>
      </c>
    </row>
    <row r="58" spans="1:11">
      <c r="A58" s="13" t="s">
        <v>253</v>
      </c>
      <c r="B58" s="14" t="s">
        <v>254</v>
      </c>
      <c r="C58" s="14" t="s">
        <v>76</v>
      </c>
      <c r="D58" s="14" t="s">
        <v>255</v>
      </c>
      <c r="E58" s="12" t="s">
        <v>81</v>
      </c>
      <c r="F58" s="14" t="str">
        <f>IFERROR(VLOOKUP(E58,Verticals!A:B,2,FALSE()),"")</f>
        <v>Marketing</v>
      </c>
      <c r="G58" s="12" t="s">
        <v>505</v>
      </c>
      <c r="H58" s="14" t="str">
        <f>IFERROR(VLOOKUP(G58,Reference!A:B,2,FALSE()),"")</f>
        <v/>
      </c>
      <c r="I58" s="12"/>
      <c r="J58" s="14" t="s">
        <v>124</v>
      </c>
      <c r="K58" s="14" t="s">
        <v>125</v>
      </c>
    </row>
    <row r="59" spans="1:11">
      <c r="A59" s="13" t="s">
        <v>256</v>
      </c>
      <c r="B59" s="14" t="s">
        <v>257</v>
      </c>
      <c r="C59" s="14" t="s">
        <v>76</v>
      </c>
      <c r="D59" s="14" t="s">
        <v>195</v>
      </c>
      <c r="E59" s="12" t="s">
        <v>84</v>
      </c>
      <c r="F59" s="14" t="str">
        <f>IFERROR(VLOOKUP(E59,Verticals!A:B,2,FALSE()),"")</f>
        <v>Offline Sales Team</v>
      </c>
      <c r="G59" s="12" t="s">
        <v>208</v>
      </c>
      <c r="H59" s="14" t="str">
        <f>IFERROR(VLOOKUP(G59,Reference!A:B,2,FALSE()),"")</f>
        <v/>
      </c>
      <c r="I59" s="12"/>
      <c r="J59" s="14" t="s">
        <v>209</v>
      </c>
      <c r="K59" s="14" t="s">
        <v>125</v>
      </c>
    </row>
    <row r="60" spans="1:11">
      <c r="A60" s="13" t="s">
        <v>258</v>
      </c>
      <c r="B60" s="14" t="s">
        <v>259</v>
      </c>
      <c r="C60" s="14" t="s">
        <v>76</v>
      </c>
      <c r="D60" s="14" t="s">
        <v>137</v>
      </c>
      <c r="E60" s="12" t="s">
        <v>47</v>
      </c>
      <c r="F60" s="14" t="str">
        <f>IFERROR(VLOOKUP(E60,Verticals!A:B,2,FALSE()),"")</f>
        <v>Administrative Services</v>
      </c>
      <c r="G60" s="12" t="s">
        <v>502</v>
      </c>
      <c r="H60" s="14" t="str">
        <f>IFERROR(VLOOKUP(G60,Reference!A:B,2,FALSE()),"")</f>
        <v/>
      </c>
      <c r="I60" s="12"/>
      <c r="J60" s="14" t="s">
        <v>124</v>
      </c>
      <c r="K60" s="14" t="s">
        <v>163</v>
      </c>
    </row>
    <row r="61" spans="1:11">
      <c r="A61" s="13" t="s">
        <v>260</v>
      </c>
      <c r="B61" s="14" t="s">
        <v>261</v>
      </c>
      <c r="C61" s="14" t="s">
        <v>76</v>
      </c>
      <c r="D61" s="14" t="s">
        <v>195</v>
      </c>
      <c r="E61" s="12" t="s">
        <v>84</v>
      </c>
      <c r="F61" s="14" t="str">
        <f>IFERROR(VLOOKUP(E61,Verticals!A:B,2,FALSE()),"")</f>
        <v>Offline Sales Team</v>
      </c>
      <c r="G61" s="12" t="s">
        <v>222</v>
      </c>
      <c r="H61" s="14" t="str">
        <f>IFERROR(VLOOKUP(G61,Reference!A:B,2,FALSE()),"")</f>
        <v/>
      </c>
      <c r="I61" s="12"/>
      <c r="J61" s="14" t="s">
        <v>262</v>
      </c>
      <c r="K61" s="14" t="s">
        <v>125</v>
      </c>
    </row>
    <row r="62" spans="1:11">
      <c r="A62" s="13" t="s">
        <v>263</v>
      </c>
      <c r="B62" s="14" t="s">
        <v>264</v>
      </c>
      <c r="C62" s="14" t="s">
        <v>76</v>
      </c>
      <c r="D62" s="14" t="s">
        <v>195</v>
      </c>
      <c r="E62" s="12" t="s">
        <v>84</v>
      </c>
      <c r="F62" s="14" t="str">
        <f>IFERROR(VLOOKUP(E62,Verticals!A:B,2,FALSE()),"")</f>
        <v>Offline Sales Team</v>
      </c>
      <c r="G62" s="12" t="s">
        <v>222</v>
      </c>
      <c r="H62" s="14" t="str">
        <f>IFERROR(VLOOKUP(G62,Reference!A:B,2,FALSE()),"")</f>
        <v/>
      </c>
      <c r="I62" s="12"/>
      <c r="J62" s="14" t="s">
        <v>265</v>
      </c>
      <c r="K62" s="14" t="s">
        <v>125</v>
      </c>
    </row>
    <row r="63" spans="1:11">
      <c r="A63" s="13" t="s">
        <v>266</v>
      </c>
      <c r="B63" s="14" t="s">
        <v>267</v>
      </c>
      <c r="C63" s="14" t="s">
        <v>76</v>
      </c>
      <c r="D63" s="14" t="s">
        <v>195</v>
      </c>
      <c r="E63" s="12" t="s">
        <v>84</v>
      </c>
      <c r="F63" s="14" t="str">
        <f>IFERROR(VLOOKUP(E63,Verticals!A:B,2,FALSE()),"")</f>
        <v>Offline Sales Team</v>
      </c>
      <c r="G63" s="12" t="s">
        <v>222</v>
      </c>
      <c r="H63" s="14" t="str">
        <f>IFERROR(VLOOKUP(G63,Reference!A:B,2,FALSE()),"")</f>
        <v/>
      </c>
      <c r="I63" s="12"/>
      <c r="J63" s="14" t="s">
        <v>239</v>
      </c>
      <c r="K63" s="14" t="s">
        <v>125</v>
      </c>
    </row>
    <row r="64" spans="1:11">
      <c r="A64" s="13" t="s">
        <v>268</v>
      </c>
      <c r="B64" s="14" t="s">
        <v>269</v>
      </c>
      <c r="C64" s="14" t="s">
        <v>76</v>
      </c>
      <c r="D64" s="14" t="s">
        <v>195</v>
      </c>
      <c r="E64" s="12" t="s">
        <v>84</v>
      </c>
      <c r="F64" s="14" t="str">
        <f>IFERROR(VLOOKUP(E64,Verticals!A:B,2,FALSE()),"")</f>
        <v>Offline Sales Team</v>
      </c>
      <c r="G64" s="12" t="s">
        <v>222</v>
      </c>
      <c r="H64" s="14" t="str">
        <f>IFERROR(VLOOKUP(G64,Reference!A:B,2,FALSE()),"")</f>
        <v/>
      </c>
      <c r="I64" s="12"/>
      <c r="J64" s="14" t="s">
        <v>236</v>
      </c>
      <c r="K64" s="14" t="s">
        <v>125</v>
      </c>
    </row>
    <row r="65" spans="1:11">
      <c r="A65" s="13" t="s">
        <v>270</v>
      </c>
      <c r="B65" s="14" t="s">
        <v>271</v>
      </c>
      <c r="C65" s="14" t="s">
        <v>76</v>
      </c>
      <c r="D65" s="14" t="s">
        <v>195</v>
      </c>
      <c r="E65" s="12" t="s">
        <v>84</v>
      </c>
      <c r="F65" s="14" t="str">
        <f>IFERROR(VLOOKUP(E65,Verticals!A:B,2,FALSE()),"")</f>
        <v>Offline Sales Team</v>
      </c>
      <c r="G65" s="12" t="s">
        <v>208</v>
      </c>
      <c r="H65" s="14" t="str">
        <f>IFERROR(VLOOKUP(G65,Reference!A:B,2,FALSE()),"")</f>
        <v/>
      </c>
      <c r="I65" s="12"/>
      <c r="J65" s="14" t="s">
        <v>209</v>
      </c>
      <c r="K65" s="14" t="s">
        <v>125</v>
      </c>
    </row>
    <row r="66" spans="1:11">
      <c r="A66" s="13" t="s">
        <v>272</v>
      </c>
      <c r="B66" s="14" t="s">
        <v>273</v>
      </c>
      <c r="C66" s="14" t="s">
        <v>76</v>
      </c>
      <c r="D66" s="14" t="s">
        <v>195</v>
      </c>
      <c r="E66" s="12" t="s">
        <v>84</v>
      </c>
      <c r="F66" s="14" t="str">
        <f>IFERROR(VLOOKUP(E66,Verticals!A:B,2,FALSE()),"")</f>
        <v>Offline Sales Team</v>
      </c>
      <c r="G66" s="12" t="s">
        <v>219</v>
      </c>
      <c r="H66" s="14" t="str">
        <f>IFERROR(VLOOKUP(G66,Reference!A:B,2,FALSE()),"")</f>
        <v/>
      </c>
      <c r="I66" s="12"/>
      <c r="J66" s="14" t="s">
        <v>220</v>
      </c>
      <c r="K66" s="14" t="s">
        <v>125</v>
      </c>
    </row>
    <row r="67" spans="1:11">
      <c r="A67" s="13" t="s">
        <v>274</v>
      </c>
      <c r="B67" s="14" t="s">
        <v>275</v>
      </c>
      <c r="C67" s="14" t="s">
        <v>76</v>
      </c>
      <c r="D67" s="14" t="s">
        <v>195</v>
      </c>
      <c r="E67" s="12" t="s">
        <v>84</v>
      </c>
      <c r="F67" s="14" t="str">
        <f>IFERROR(VLOOKUP(E67,Verticals!A:B,2,FALSE()),"")</f>
        <v>Offline Sales Team</v>
      </c>
      <c r="G67" s="12" t="s">
        <v>208</v>
      </c>
      <c r="H67" s="14" t="str">
        <f>IFERROR(VLOOKUP(G67,Reference!A:B,2,FALSE()),"")</f>
        <v/>
      </c>
      <c r="I67" s="12"/>
      <c r="J67" s="14" t="s">
        <v>209</v>
      </c>
      <c r="K67" s="14" t="s">
        <v>125</v>
      </c>
    </row>
    <row r="68" spans="1:11">
      <c r="A68" s="13" t="s">
        <v>276</v>
      </c>
      <c r="B68" s="14" t="s">
        <v>277</v>
      </c>
      <c r="C68" s="14" t="s">
        <v>76</v>
      </c>
      <c r="D68" s="14" t="s">
        <v>195</v>
      </c>
      <c r="E68" s="12" t="s">
        <v>84</v>
      </c>
      <c r="F68" s="14" t="str">
        <f>IFERROR(VLOOKUP(E68,Verticals!A:B,2,FALSE()),"")</f>
        <v>Offline Sales Team</v>
      </c>
      <c r="G68" s="12" t="s">
        <v>211</v>
      </c>
      <c r="H68" s="14" t="str">
        <f>IFERROR(VLOOKUP(G68,Reference!A:B,2,FALSE()),"")</f>
        <v/>
      </c>
      <c r="I68" s="12"/>
      <c r="J68" s="14" t="s">
        <v>212</v>
      </c>
      <c r="K68" s="14" t="s">
        <v>125</v>
      </c>
    </row>
    <row r="69" spans="1:11">
      <c r="A69" s="13" t="s">
        <v>278</v>
      </c>
      <c r="B69" s="14" t="s">
        <v>279</v>
      </c>
      <c r="C69" s="14" t="s">
        <v>76</v>
      </c>
      <c r="D69" s="14" t="s">
        <v>195</v>
      </c>
      <c r="E69" s="12" t="s">
        <v>84</v>
      </c>
      <c r="F69" s="14" t="str">
        <f>IFERROR(VLOOKUP(E69,Verticals!A:B,2,FALSE()),"")</f>
        <v>Offline Sales Team</v>
      </c>
      <c r="G69" s="12" t="s">
        <v>222</v>
      </c>
      <c r="H69" s="14" t="str">
        <f>IFERROR(VLOOKUP(G69,Reference!A:B,2,FALSE()),"")</f>
        <v/>
      </c>
      <c r="I69" s="12"/>
      <c r="J69" s="14" t="s">
        <v>280</v>
      </c>
      <c r="K69" s="14" t="s">
        <v>125</v>
      </c>
    </row>
    <row r="70" spans="1:11">
      <c r="A70" s="13" t="s">
        <v>281</v>
      </c>
      <c r="B70" s="14" t="s">
        <v>282</v>
      </c>
      <c r="C70" s="14" t="s">
        <v>76</v>
      </c>
      <c r="D70" s="14" t="s">
        <v>195</v>
      </c>
      <c r="E70" s="12" t="s">
        <v>84</v>
      </c>
      <c r="F70" s="14" t="str">
        <f>IFERROR(VLOOKUP(E70,Verticals!A:B,2,FALSE()),"")</f>
        <v>Offline Sales Team</v>
      </c>
      <c r="G70" s="12" t="s">
        <v>241</v>
      </c>
      <c r="H70" s="14" t="str">
        <f>IFERROR(VLOOKUP(G70,Reference!A:B,2,FALSE()),"")</f>
        <v/>
      </c>
      <c r="I70" s="12"/>
      <c r="J70" s="14" t="s">
        <v>283</v>
      </c>
      <c r="K70" s="14" t="s">
        <v>125</v>
      </c>
    </row>
    <row r="71" spans="1:11">
      <c r="A71" s="13" t="s">
        <v>284</v>
      </c>
      <c r="B71" s="14" t="s">
        <v>285</v>
      </c>
      <c r="C71" s="14" t="s">
        <v>76</v>
      </c>
      <c r="D71" s="14" t="s">
        <v>195</v>
      </c>
      <c r="E71" s="12" t="s">
        <v>84</v>
      </c>
      <c r="F71" s="14" t="str">
        <f>IFERROR(VLOOKUP(E71,Verticals!A:B,2,FALSE()),"")</f>
        <v>Offline Sales Team</v>
      </c>
      <c r="G71" s="12" t="s">
        <v>208</v>
      </c>
      <c r="H71" s="14" t="str">
        <f>IFERROR(VLOOKUP(G71,Reference!A:B,2,FALSE()),"")</f>
        <v/>
      </c>
      <c r="I71" s="12"/>
      <c r="J71" s="14" t="s">
        <v>286</v>
      </c>
      <c r="K71" s="14" t="s">
        <v>125</v>
      </c>
    </row>
    <row r="72" spans="1:11" ht="28">
      <c r="A72" s="13" t="s">
        <v>287</v>
      </c>
      <c r="B72" s="14" t="s">
        <v>288</v>
      </c>
      <c r="C72" s="14" t="s">
        <v>76</v>
      </c>
      <c r="D72" s="14" t="s">
        <v>195</v>
      </c>
      <c r="E72" s="12" t="s">
        <v>84</v>
      </c>
      <c r="F72" s="14" t="str">
        <f>IFERROR(VLOOKUP(E72,Verticals!A:B,2,FALSE()),"")</f>
        <v>Offline Sales Team</v>
      </c>
      <c r="G72" s="12" t="s">
        <v>261</v>
      </c>
      <c r="H72" s="14" t="str">
        <f>IFERROR(VLOOKUP(G72,Reference!A:B,2,FALSE()),"")</f>
        <v/>
      </c>
      <c r="I72" s="12"/>
      <c r="J72" s="14" t="s">
        <v>262</v>
      </c>
      <c r="K72" s="14" t="s">
        <v>125</v>
      </c>
    </row>
    <row r="73" spans="1:11">
      <c r="A73" s="13" t="s">
        <v>289</v>
      </c>
      <c r="B73" s="14" t="s">
        <v>290</v>
      </c>
      <c r="C73" s="14" t="s">
        <v>76</v>
      </c>
      <c r="D73" s="14" t="s">
        <v>195</v>
      </c>
      <c r="E73" s="12" t="s">
        <v>84</v>
      </c>
      <c r="F73" s="14" t="str">
        <f>IFERROR(VLOOKUP(E73,Verticals!A:B,2,FALSE()),"")</f>
        <v>Offline Sales Team</v>
      </c>
      <c r="G73" s="12" t="s">
        <v>211</v>
      </c>
      <c r="H73" s="14" t="str">
        <f>IFERROR(VLOOKUP(G73,Reference!A:B,2,FALSE()),"")</f>
        <v/>
      </c>
      <c r="I73" s="12"/>
      <c r="J73" s="14" t="s">
        <v>212</v>
      </c>
      <c r="K73" s="14" t="s">
        <v>125</v>
      </c>
    </row>
    <row r="74" spans="1:11">
      <c r="A74" s="13" t="s">
        <v>291</v>
      </c>
      <c r="B74" s="14" t="s">
        <v>292</v>
      </c>
      <c r="C74" s="14" t="s">
        <v>76</v>
      </c>
      <c r="D74" s="14" t="s">
        <v>74</v>
      </c>
      <c r="E74" s="12" t="s">
        <v>74</v>
      </c>
      <c r="F74" s="14" t="str">
        <f>IFERROR(VLOOKUP(E74,Verticals!A:B,2,FALSE()),"")</f>
        <v>Sales Operations &amp; Planning</v>
      </c>
      <c r="G74" s="12" t="s">
        <v>222</v>
      </c>
      <c r="H74" s="14" t="str">
        <f>IFERROR(VLOOKUP(G74,Reference!A:B,2,FALSE()),"")</f>
        <v/>
      </c>
      <c r="I74" s="12"/>
      <c r="J74" s="14" t="s">
        <v>124</v>
      </c>
      <c r="K74" s="14" t="s">
        <v>125</v>
      </c>
    </row>
    <row r="75" spans="1:11">
      <c r="A75" s="13" t="s">
        <v>293</v>
      </c>
      <c r="B75" s="14" t="s">
        <v>294</v>
      </c>
      <c r="C75" s="14" t="s">
        <v>76</v>
      </c>
      <c r="D75" s="14" t="s">
        <v>195</v>
      </c>
      <c r="E75" s="12" t="s">
        <v>84</v>
      </c>
      <c r="F75" s="14" t="str">
        <f>IFERROR(VLOOKUP(E75,Verticals!A:B,2,FALSE()),"")</f>
        <v>Offline Sales Team</v>
      </c>
      <c r="G75" s="12" t="s">
        <v>194</v>
      </c>
      <c r="H75" s="14" t="str">
        <f>IFERROR(VLOOKUP(G75,Reference!A:B,2,FALSE()),"")</f>
        <v/>
      </c>
      <c r="I75" s="12"/>
      <c r="J75" s="14" t="s">
        <v>295</v>
      </c>
      <c r="K75" s="14" t="s">
        <v>125</v>
      </c>
    </row>
    <row r="76" spans="1:11">
      <c r="A76" s="13" t="s">
        <v>296</v>
      </c>
      <c r="B76" s="14" t="s">
        <v>297</v>
      </c>
      <c r="C76" s="14" t="s">
        <v>76</v>
      </c>
      <c r="D76" s="14" t="s">
        <v>195</v>
      </c>
      <c r="E76" s="12" t="s">
        <v>84</v>
      </c>
      <c r="F76" s="14" t="str">
        <f>IFERROR(VLOOKUP(E76,Verticals!A:B,2,FALSE()),"")</f>
        <v>Offline Sales Team</v>
      </c>
      <c r="G76" s="12" t="s">
        <v>506</v>
      </c>
      <c r="H76" s="14" t="str">
        <f>IFERROR(VLOOKUP(G76,Reference!A:B,2,FALSE()),"")</f>
        <v/>
      </c>
      <c r="I76" s="12"/>
      <c r="J76" s="14" t="s">
        <v>248</v>
      </c>
      <c r="K76" s="14" t="s">
        <v>125</v>
      </c>
    </row>
    <row r="77" spans="1:11">
      <c r="A77" s="13" t="s">
        <v>298</v>
      </c>
      <c r="B77" s="14" t="s">
        <v>299</v>
      </c>
      <c r="C77" s="14" t="s">
        <v>76</v>
      </c>
      <c r="D77" s="14" t="s">
        <v>195</v>
      </c>
      <c r="E77" s="12" t="s">
        <v>84</v>
      </c>
      <c r="F77" s="14" t="str">
        <f>IFERROR(VLOOKUP(E77,Verticals!A:B,2,FALSE()),"")</f>
        <v>Offline Sales Team</v>
      </c>
      <c r="G77" s="12" t="s">
        <v>211</v>
      </c>
      <c r="H77" s="14" t="str">
        <f>IFERROR(VLOOKUP(G77,Reference!A:B,2,FALSE()),"")</f>
        <v/>
      </c>
      <c r="I77" s="12"/>
      <c r="J77" s="14" t="s">
        <v>212</v>
      </c>
      <c r="K77" s="14" t="s">
        <v>125</v>
      </c>
    </row>
    <row r="78" spans="1:11">
      <c r="A78" s="13" t="s">
        <v>300</v>
      </c>
      <c r="B78" s="14" t="s">
        <v>301</v>
      </c>
      <c r="C78" s="14" t="s">
        <v>76</v>
      </c>
      <c r="D78" s="14" t="s">
        <v>195</v>
      </c>
      <c r="E78" s="12" t="s">
        <v>84</v>
      </c>
      <c r="F78" s="14" t="str">
        <f>IFERROR(VLOOKUP(E78,Verticals!A:B,2,FALSE()),"")</f>
        <v>Offline Sales Team</v>
      </c>
      <c r="G78" s="12" t="s">
        <v>208</v>
      </c>
      <c r="H78" s="14" t="str">
        <f>IFERROR(VLOOKUP(G78,Reference!A:B,2,FALSE()),"")</f>
        <v/>
      </c>
      <c r="I78" s="12"/>
      <c r="J78" s="14" t="s">
        <v>209</v>
      </c>
      <c r="K78" s="14" t="s">
        <v>125</v>
      </c>
    </row>
    <row r="79" spans="1:11">
      <c r="A79" s="13" t="s">
        <v>302</v>
      </c>
      <c r="B79" s="14" t="s">
        <v>303</v>
      </c>
      <c r="C79" s="14" t="s">
        <v>76</v>
      </c>
      <c r="D79" s="14" t="s">
        <v>131</v>
      </c>
      <c r="E79" s="12" t="s">
        <v>96</v>
      </c>
      <c r="F79" s="14" t="str">
        <f>IFERROR(VLOOKUP(E79,Verticals!A:B,2,FALSE()),"")</f>
        <v>Accounting Office — Veridian</v>
      </c>
      <c r="G79" s="12" t="s">
        <v>203</v>
      </c>
      <c r="H79" s="14" t="str">
        <f>IFERROR(VLOOKUP(G79,Reference!A:B,2,FALSE()),"")</f>
        <v/>
      </c>
      <c r="I79" s="12"/>
      <c r="J79" s="14" t="s">
        <v>124</v>
      </c>
      <c r="K79" s="14" t="s">
        <v>125</v>
      </c>
    </row>
    <row r="80" spans="1:11">
      <c r="A80" s="13" t="s">
        <v>304</v>
      </c>
      <c r="B80" s="14" t="s">
        <v>305</v>
      </c>
      <c r="C80" s="14" t="s">
        <v>76</v>
      </c>
      <c r="D80" s="14" t="s">
        <v>195</v>
      </c>
      <c r="E80" s="12" t="s">
        <v>84</v>
      </c>
      <c r="F80" s="14" t="str">
        <f>IFERROR(VLOOKUP(E80,Verticals!A:B,2,FALSE()),"")</f>
        <v>Offline Sales Team</v>
      </c>
      <c r="G80" s="12" t="s">
        <v>279</v>
      </c>
      <c r="H80" s="14" t="str">
        <f>IFERROR(VLOOKUP(G80,Reference!A:B,2,FALSE()),"")</f>
        <v/>
      </c>
      <c r="I80" s="12"/>
      <c r="J80" s="14" t="s">
        <v>280</v>
      </c>
      <c r="K80" s="14" t="s">
        <v>125</v>
      </c>
    </row>
    <row r="81" spans="1:11">
      <c r="A81" s="13" t="s">
        <v>306</v>
      </c>
      <c r="B81" s="14" t="s">
        <v>307</v>
      </c>
      <c r="C81" s="14" t="s">
        <v>76</v>
      </c>
      <c r="D81" s="14" t="s">
        <v>195</v>
      </c>
      <c r="E81" s="12" t="s">
        <v>84</v>
      </c>
      <c r="F81" s="14" t="str">
        <f>IFERROR(VLOOKUP(E81,Verticals!A:B,2,FALSE()),"")</f>
        <v>Offline Sales Team</v>
      </c>
      <c r="G81" s="12" t="s">
        <v>506</v>
      </c>
      <c r="H81" s="14" t="str">
        <f>IFERROR(VLOOKUP(G81,Reference!A:B,2,FALSE()),"")</f>
        <v/>
      </c>
      <c r="I81" s="12"/>
      <c r="J81" s="14" t="s">
        <v>308</v>
      </c>
      <c r="K81" s="14" t="s">
        <v>163</v>
      </c>
    </row>
    <row r="82" spans="1:11">
      <c r="A82" s="13" t="s">
        <v>309</v>
      </c>
      <c r="B82" s="14" t="s">
        <v>310</v>
      </c>
      <c r="C82" s="14" t="s">
        <v>76</v>
      </c>
      <c r="D82" s="14" t="s">
        <v>195</v>
      </c>
      <c r="E82" s="12" t="s">
        <v>84</v>
      </c>
      <c r="F82" s="14" t="str">
        <f>IFERROR(VLOOKUP(E82,Verticals!A:B,2,FALSE()),"")</f>
        <v>Offline Sales Team</v>
      </c>
      <c r="G82" s="12" t="s">
        <v>194</v>
      </c>
      <c r="H82" s="14" t="str">
        <f>IFERROR(VLOOKUP(G82,Reference!A:B,2,FALSE()),"")</f>
        <v/>
      </c>
      <c r="I82" s="12"/>
      <c r="J82" s="14" t="s">
        <v>199</v>
      </c>
      <c r="K82" s="14" t="s">
        <v>125</v>
      </c>
    </row>
    <row r="83" spans="1:11">
      <c r="A83" s="13" t="s">
        <v>311</v>
      </c>
      <c r="B83" s="14" t="s">
        <v>312</v>
      </c>
      <c r="C83" s="14" t="s">
        <v>76</v>
      </c>
      <c r="D83" s="14" t="s">
        <v>195</v>
      </c>
      <c r="E83" s="12" t="s">
        <v>84</v>
      </c>
      <c r="F83" s="14" t="str">
        <f>IFERROR(VLOOKUP(E83,Verticals!A:B,2,FALSE()),"")</f>
        <v>Offline Sales Team</v>
      </c>
      <c r="G83" s="12" t="s">
        <v>222</v>
      </c>
      <c r="H83" s="14" t="str">
        <f>IFERROR(VLOOKUP(G83,Reference!A:B,2,FALSE()),"")</f>
        <v/>
      </c>
      <c r="I83" s="12"/>
      <c r="J83" s="14" t="s">
        <v>313</v>
      </c>
      <c r="K83" s="14" t="s">
        <v>125</v>
      </c>
    </row>
    <row r="84" spans="1:11">
      <c r="A84" s="13" t="s">
        <v>314</v>
      </c>
      <c r="B84" s="14" t="s">
        <v>315</v>
      </c>
      <c r="C84" s="14" t="s">
        <v>76</v>
      </c>
      <c r="D84" s="14" t="s">
        <v>195</v>
      </c>
      <c r="E84" s="12" t="s">
        <v>84</v>
      </c>
      <c r="F84" s="14" t="str">
        <f>IFERROR(VLOOKUP(E84,Verticals!A:B,2,FALSE()),"")</f>
        <v>Offline Sales Team</v>
      </c>
      <c r="G84" s="12" t="s">
        <v>222</v>
      </c>
      <c r="H84" s="14" t="str">
        <f>IFERROR(VLOOKUP(G84,Reference!A:B,2,FALSE()),"")</f>
        <v/>
      </c>
      <c r="I84" s="12"/>
      <c r="J84" s="14" t="s">
        <v>316</v>
      </c>
      <c r="K84" s="14" t="s">
        <v>125</v>
      </c>
    </row>
    <row r="85" spans="1:11">
      <c r="A85" s="13" t="s">
        <v>317</v>
      </c>
      <c r="B85" s="14" t="s">
        <v>318</v>
      </c>
      <c r="C85" s="14" t="s">
        <v>76</v>
      </c>
      <c r="D85" s="14" t="s">
        <v>195</v>
      </c>
      <c r="E85" s="12" t="s">
        <v>84</v>
      </c>
      <c r="F85" s="14" t="str">
        <f>IFERROR(VLOOKUP(E85,Verticals!A:B,2,FALSE()),"")</f>
        <v>Offline Sales Team</v>
      </c>
      <c r="G85" s="12" t="s">
        <v>315</v>
      </c>
      <c r="H85" s="14" t="str">
        <f>IFERROR(VLOOKUP(G85,Reference!A:B,2,FALSE()),"")</f>
        <v/>
      </c>
      <c r="I85" s="12"/>
      <c r="J85" s="14" t="s">
        <v>316</v>
      </c>
      <c r="K85" s="14" t="s">
        <v>125</v>
      </c>
    </row>
    <row r="86" spans="1:11">
      <c r="A86" s="13" t="s">
        <v>319</v>
      </c>
      <c r="B86" s="14" t="s">
        <v>320</v>
      </c>
      <c r="C86" s="14" t="s">
        <v>76</v>
      </c>
      <c r="D86" s="14" t="s">
        <v>195</v>
      </c>
      <c r="E86" s="12" t="s">
        <v>84</v>
      </c>
      <c r="F86" s="14" t="str">
        <f>IFERROR(VLOOKUP(E86,Verticals!A:B,2,FALSE()),"")</f>
        <v>Offline Sales Team</v>
      </c>
      <c r="G86" s="12" t="s">
        <v>222</v>
      </c>
      <c r="H86" s="14" t="str">
        <f>IFERROR(VLOOKUP(G86,Reference!A:B,2,FALSE()),"")</f>
        <v/>
      </c>
      <c r="I86" s="12"/>
      <c r="J86" s="14" t="s">
        <v>321</v>
      </c>
      <c r="K86" s="14" t="s">
        <v>125</v>
      </c>
    </row>
    <row r="87" spans="1:11">
      <c r="A87" s="13" t="s">
        <v>322</v>
      </c>
      <c r="B87" s="14" t="s">
        <v>323</v>
      </c>
      <c r="C87" s="14" t="s">
        <v>76</v>
      </c>
      <c r="D87" s="14" t="s">
        <v>195</v>
      </c>
      <c r="E87" s="12" t="s">
        <v>84</v>
      </c>
      <c r="F87" s="14" t="str">
        <f>IFERROR(VLOOKUP(E87,Verticals!A:B,2,FALSE()),"")</f>
        <v>Offline Sales Team</v>
      </c>
      <c r="G87" s="12" t="s">
        <v>194</v>
      </c>
      <c r="H87" s="14" t="str">
        <f>IFERROR(VLOOKUP(G87,Reference!A:B,2,FALSE()),"")</f>
        <v/>
      </c>
      <c r="I87" s="12"/>
      <c r="J87" s="14" t="s">
        <v>196</v>
      </c>
      <c r="K87" s="14" t="s">
        <v>125</v>
      </c>
    </row>
    <row r="88" spans="1:11" ht="28">
      <c r="A88" s="13" t="s">
        <v>324</v>
      </c>
      <c r="B88" s="14" t="s">
        <v>325</v>
      </c>
      <c r="C88" s="14" t="s">
        <v>76</v>
      </c>
      <c r="D88" s="14" t="s">
        <v>195</v>
      </c>
      <c r="E88" s="12" t="s">
        <v>84</v>
      </c>
      <c r="F88" s="14" t="str">
        <f>IFERROR(VLOOKUP(E88,Verticals!A:B,2,FALSE()),"")</f>
        <v>Offline Sales Team</v>
      </c>
      <c r="G88" s="12" t="s">
        <v>264</v>
      </c>
      <c r="H88" s="14" t="str">
        <f>IFERROR(VLOOKUP(G88,Reference!A:B,2,FALSE()),"")</f>
        <v/>
      </c>
      <c r="I88" s="12"/>
      <c r="J88" s="14" t="s">
        <v>265</v>
      </c>
      <c r="K88" s="14" t="s">
        <v>125</v>
      </c>
    </row>
    <row r="89" spans="1:11">
      <c r="A89" s="13" t="s">
        <v>326</v>
      </c>
      <c r="B89" s="14" t="s">
        <v>327</v>
      </c>
      <c r="C89" s="14" t="s">
        <v>76</v>
      </c>
      <c r="D89" s="14" t="s">
        <v>195</v>
      </c>
      <c r="E89" s="12" t="s">
        <v>84</v>
      </c>
      <c r="F89" s="14" t="str">
        <f>IFERROR(VLOOKUP(E89,Verticals!A:B,2,FALSE()),"")</f>
        <v>Offline Sales Team</v>
      </c>
      <c r="G89" s="12" t="s">
        <v>279</v>
      </c>
      <c r="H89" s="14" t="str">
        <f>IFERROR(VLOOKUP(G89,Reference!A:B,2,FALSE()),"")</f>
        <v/>
      </c>
      <c r="I89" s="12"/>
      <c r="J89" s="14" t="s">
        <v>328</v>
      </c>
      <c r="K89" s="14" t="s">
        <v>125</v>
      </c>
    </row>
    <row r="90" spans="1:11">
      <c r="A90" s="13" t="s">
        <v>329</v>
      </c>
      <c r="B90" s="14" t="s">
        <v>330</v>
      </c>
      <c r="C90" s="14" t="s">
        <v>76</v>
      </c>
      <c r="D90" s="14" t="s">
        <v>195</v>
      </c>
      <c r="E90" s="12" t="s">
        <v>84</v>
      </c>
      <c r="F90" s="14" t="str">
        <f>IFERROR(VLOOKUP(E90,Verticals!A:B,2,FALSE()),"")</f>
        <v>Offline Sales Team</v>
      </c>
      <c r="G90" s="12" t="s">
        <v>250</v>
      </c>
      <c r="H90" s="14" t="str">
        <f>IFERROR(VLOOKUP(G90,Reference!A:B,2,FALSE()),"")</f>
        <v/>
      </c>
      <c r="I90" s="12"/>
      <c r="J90" s="14" t="s">
        <v>206</v>
      </c>
      <c r="K90" s="14" t="s">
        <v>125</v>
      </c>
    </row>
    <row r="91" spans="1:11">
      <c r="A91" s="13" t="s">
        <v>331</v>
      </c>
      <c r="B91" s="14" t="s">
        <v>332</v>
      </c>
      <c r="C91" s="14" t="s">
        <v>76</v>
      </c>
      <c r="D91" s="14" t="s">
        <v>74</v>
      </c>
      <c r="E91" s="12" t="s">
        <v>74</v>
      </c>
      <c r="F91" s="14" t="str">
        <f>IFERROR(VLOOKUP(E91,Verticals!A:B,2,FALSE()),"")</f>
        <v>Sales Operations &amp; Planning</v>
      </c>
      <c r="G91" s="12" t="s">
        <v>222</v>
      </c>
      <c r="H91" s="14" t="str">
        <f>IFERROR(VLOOKUP(G91,Reference!A:B,2,FALSE()),"")</f>
        <v/>
      </c>
      <c r="I91" s="12"/>
      <c r="J91" s="14" t="s">
        <v>124</v>
      </c>
      <c r="K91" s="14" t="s">
        <v>125</v>
      </c>
    </row>
    <row r="92" spans="1:11" ht="28">
      <c r="A92" s="13" t="s">
        <v>333</v>
      </c>
      <c r="B92" s="14" t="s">
        <v>334</v>
      </c>
      <c r="C92" s="14" t="s">
        <v>76</v>
      </c>
      <c r="D92" s="14" t="s">
        <v>195</v>
      </c>
      <c r="E92" s="12" t="s">
        <v>84</v>
      </c>
      <c r="F92" s="14" t="str">
        <f>IFERROR(VLOOKUP(E92,Verticals!A:B,2,FALSE()),"")</f>
        <v>Offline Sales Team</v>
      </c>
      <c r="G92" s="12" t="s">
        <v>264</v>
      </c>
      <c r="H92" s="14" t="str">
        <f>IFERROR(VLOOKUP(G92,Reference!A:B,2,FALSE()),"")</f>
        <v/>
      </c>
      <c r="I92" s="12"/>
      <c r="J92" s="14" t="s">
        <v>335</v>
      </c>
      <c r="K92" s="14" t="s">
        <v>125</v>
      </c>
    </row>
    <row r="93" spans="1:11">
      <c r="A93" s="13" t="s">
        <v>336</v>
      </c>
      <c r="B93" s="14" t="s">
        <v>337</v>
      </c>
      <c r="C93" s="14" t="s">
        <v>76</v>
      </c>
      <c r="D93" s="14" t="s">
        <v>195</v>
      </c>
      <c r="E93" s="12" t="s">
        <v>84</v>
      </c>
      <c r="F93" s="14" t="str">
        <f>IFERROR(VLOOKUP(E93,Verticals!A:B,2,FALSE()),"")</f>
        <v>Offline Sales Team</v>
      </c>
      <c r="G93" s="12" t="s">
        <v>222</v>
      </c>
      <c r="H93" s="14" t="str">
        <f>IFERROR(VLOOKUP(G93,Reference!A:B,2,FALSE()),"")</f>
        <v/>
      </c>
      <c r="I93" s="12"/>
      <c r="J93" s="14" t="s">
        <v>220</v>
      </c>
      <c r="K93" s="14" t="s">
        <v>125</v>
      </c>
    </row>
    <row r="94" spans="1:11">
      <c r="A94" s="13" t="s">
        <v>338</v>
      </c>
      <c r="B94" s="14" t="s">
        <v>339</v>
      </c>
      <c r="C94" s="14" t="s">
        <v>76</v>
      </c>
      <c r="D94" s="14" t="s">
        <v>195</v>
      </c>
      <c r="E94" s="12" t="s">
        <v>84</v>
      </c>
      <c r="F94" s="14" t="str">
        <f>IFERROR(VLOOKUP(E94,Verticals!A:B,2,FALSE()),"")</f>
        <v>Offline Sales Team</v>
      </c>
      <c r="G94" s="12" t="s">
        <v>222</v>
      </c>
      <c r="H94" s="14" t="str">
        <f>IFERROR(VLOOKUP(G94,Reference!A:B,2,FALSE()),"")</f>
        <v/>
      </c>
      <c r="I94" s="12"/>
      <c r="J94" s="14" t="s">
        <v>220</v>
      </c>
      <c r="K94" s="14" t="s">
        <v>125</v>
      </c>
    </row>
    <row r="95" spans="1:11" ht="28">
      <c r="A95" s="13" t="s">
        <v>340</v>
      </c>
      <c r="B95" s="14" t="s">
        <v>341</v>
      </c>
      <c r="C95" s="14" t="s">
        <v>76</v>
      </c>
      <c r="D95" s="14" t="s">
        <v>195</v>
      </c>
      <c r="E95" s="12" t="s">
        <v>84</v>
      </c>
      <c r="F95" s="14" t="str">
        <f>IFERROR(VLOOKUP(E95,Verticals!A:B,2,FALSE()),"")</f>
        <v>Offline Sales Team</v>
      </c>
      <c r="G95" s="12" t="s">
        <v>261</v>
      </c>
      <c r="H95" s="14" t="str">
        <f>IFERROR(VLOOKUP(G95,Reference!A:B,2,FALSE()),"")</f>
        <v/>
      </c>
      <c r="I95" s="12"/>
      <c r="J95" s="14" t="s">
        <v>342</v>
      </c>
      <c r="K95" s="14" t="s">
        <v>125</v>
      </c>
    </row>
    <row r="96" spans="1:11">
      <c r="A96" s="13" t="s">
        <v>343</v>
      </c>
      <c r="B96" s="14" t="s">
        <v>344</v>
      </c>
      <c r="C96" s="14" t="s">
        <v>76</v>
      </c>
      <c r="D96" s="14" t="s">
        <v>195</v>
      </c>
      <c r="E96" s="12" t="s">
        <v>84</v>
      </c>
      <c r="F96" s="14" t="str">
        <f>IFERROR(VLOOKUP(E96,Verticals!A:B,2,FALSE()),"")</f>
        <v>Offline Sales Team</v>
      </c>
      <c r="G96" s="12" t="s">
        <v>315</v>
      </c>
      <c r="H96" s="14" t="str">
        <f>IFERROR(VLOOKUP(G96,Reference!A:B,2,FALSE()),"")</f>
        <v/>
      </c>
      <c r="I96" s="12"/>
      <c r="J96" s="14" t="s">
        <v>316</v>
      </c>
      <c r="K96" s="14" t="s">
        <v>125</v>
      </c>
    </row>
    <row r="97" spans="1:11">
      <c r="A97" s="13" t="s">
        <v>345</v>
      </c>
      <c r="B97" s="14" t="s">
        <v>346</v>
      </c>
      <c r="C97" s="14" t="s">
        <v>76</v>
      </c>
      <c r="D97" s="14" t="s">
        <v>195</v>
      </c>
      <c r="E97" s="12" t="s">
        <v>84</v>
      </c>
      <c r="F97" s="14" t="str">
        <f>IFERROR(VLOOKUP(E97,Verticals!A:B,2,FALSE()),"")</f>
        <v>Offline Sales Team</v>
      </c>
      <c r="G97" s="12" t="s">
        <v>279</v>
      </c>
      <c r="H97" s="14" t="str">
        <f>IFERROR(VLOOKUP(G97,Reference!A:B,2,FALSE()),"")</f>
        <v/>
      </c>
      <c r="I97" s="12"/>
      <c r="J97" s="14" t="s">
        <v>347</v>
      </c>
      <c r="K97" s="14" t="s">
        <v>125</v>
      </c>
    </row>
    <row r="98" spans="1:11">
      <c r="A98" s="13" t="s">
        <v>348</v>
      </c>
      <c r="B98" s="14" t="s">
        <v>349</v>
      </c>
      <c r="C98" s="14" t="s">
        <v>76</v>
      </c>
      <c r="D98" s="14" t="s">
        <v>195</v>
      </c>
      <c r="E98" s="12" t="s">
        <v>84</v>
      </c>
      <c r="F98" s="14" t="str">
        <f>IFERROR(VLOOKUP(E98,Verticals!A:B,2,FALSE()),"")</f>
        <v>Offline Sales Team</v>
      </c>
      <c r="G98" s="12" t="s">
        <v>250</v>
      </c>
      <c r="H98" s="14" t="str">
        <f>IFERROR(VLOOKUP(G98,Reference!A:B,2,FALSE()),"")</f>
        <v/>
      </c>
      <c r="I98" s="12"/>
      <c r="J98" s="14" t="s">
        <v>350</v>
      </c>
      <c r="K98" s="14" t="s">
        <v>125</v>
      </c>
    </row>
    <row r="99" spans="1:11">
      <c r="A99" s="13" t="s">
        <v>351</v>
      </c>
      <c r="B99" s="14" t="s">
        <v>352</v>
      </c>
      <c r="C99" s="14" t="s">
        <v>76</v>
      </c>
      <c r="D99" s="14" t="s">
        <v>195</v>
      </c>
      <c r="E99" s="12" t="s">
        <v>84</v>
      </c>
      <c r="F99" s="14" t="str">
        <f>IFERROR(VLOOKUP(E99,Verticals!A:B,2,FALSE()),"")</f>
        <v>Offline Sales Team</v>
      </c>
      <c r="G99" s="12" t="s">
        <v>211</v>
      </c>
      <c r="H99" s="14" t="str">
        <f>IFERROR(VLOOKUP(G99,Reference!A:B,2,FALSE()),"")</f>
        <v/>
      </c>
      <c r="I99" s="12"/>
      <c r="J99" s="14" t="s">
        <v>212</v>
      </c>
      <c r="K99" s="14" t="s">
        <v>125</v>
      </c>
    </row>
    <row r="100" spans="1:11">
      <c r="A100" s="13" t="s">
        <v>353</v>
      </c>
      <c r="B100" s="14" t="s">
        <v>354</v>
      </c>
      <c r="C100" s="14" t="s">
        <v>76</v>
      </c>
      <c r="D100" s="14" t="s">
        <v>195</v>
      </c>
      <c r="E100" s="12" t="s">
        <v>84</v>
      </c>
      <c r="F100" s="14" t="str">
        <f>IFERROR(VLOOKUP(E100,Verticals!A:B,2,FALSE()),"")</f>
        <v>Offline Sales Team</v>
      </c>
      <c r="G100" s="12" t="s">
        <v>506</v>
      </c>
      <c r="H100" s="14" t="str">
        <f>IFERROR(VLOOKUP(G100,Reference!A:B,2,FALSE()),"")</f>
        <v/>
      </c>
      <c r="I100" s="12"/>
      <c r="J100" s="14" t="s">
        <v>355</v>
      </c>
      <c r="K100" s="14" t="s">
        <v>163</v>
      </c>
    </row>
    <row r="101" spans="1:11">
      <c r="A101" s="13" t="s">
        <v>356</v>
      </c>
      <c r="B101" s="14" t="s">
        <v>357</v>
      </c>
      <c r="C101" s="14" t="s">
        <v>76</v>
      </c>
      <c r="D101" s="14" t="s">
        <v>195</v>
      </c>
      <c r="E101" s="12" t="s">
        <v>84</v>
      </c>
      <c r="F101" s="14" t="str">
        <f>IFERROR(VLOOKUP(E101,Verticals!A:B,2,FALSE()),"")</f>
        <v>Offline Sales Team</v>
      </c>
      <c r="G101" s="12" t="s">
        <v>506</v>
      </c>
      <c r="H101" s="14" t="str">
        <f>IFERROR(VLOOKUP(G101,Reference!A:B,2,FALSE()),"")</f>
        <v/>
      </c>
      <c r="I101" s="12"/>
      <c r="J101" s="14" t="s">
        <v>358</v>
      </c>
      <c r="K101" s="14" t="s">
        <v>125</v>
      </c>
    </row>
    <row r="102" spans="1:11" ht="28">
      <c r="A102" s="13" t="s">
        <v>359</v>
      </c>
      <c r="B102" s="14" t="s">
        <v>360</v>
      </c>
      <c r="C102" s="14" t="s">
        <v>76</v>
      </c>
      <c r="D102" s="14" t="s">
        <v>195</v>
      </c>
      <c r="E102" s="12" t="s">
        <v>84</v>
      </c>
      <c r="F102" s="14" t="str">
        <f>IFERROR(VLOOKUP(E102,Verticals!A:B,2,FALSE()),"")</f>
        <v>Offline Sales Team</v>
      </c>
      <c r="G102" s="12" t="s">
        <v>264</v>
      </c>
      <c r="H102" s="14" t="str">
        <f>IFERROR(VLOOKUP(G102,Reference!A:B,2,FALSE()),"")</f>
        <v/>
      </c>
      <c r="I102" s="12"/>
      <c r="J102" s="14" t="s">
        <v>265</v>
      </c>
      <c r="K102" s="14" t="s">
        <v>125</v>
      </c>
    </row>
    <row r="103" spans="1:11" ht="28">
      <c r="A103" s="13" t="s">
        <v>361</v>
      </c>
      <c r="B103" s="14" t="s">
        <v>362</v>
      </c>
      <c r="C103" s="14" t="s">
        <v>76</v>
      </c>
      <c r="D103" s="14" t="s">
        <v>195</v>
      </c>
      <c r="E103" s="12" t="s">
        <v>84</v>
      </c>
      <c r="F103" s="14" t="str">
        <f>IFERROR(VLOOKUP(E103,Verticals!A:B,2,FALSE()),"")</f>
        <v>Offline Sales Team</v>
      </c>
      <c r="G103" s="12" t="s">
        <v>224</v>
      </c>
      <c r="H103" s="14" t="str">
        <f>IFERROR(VLOOKUP(G103,Reference!A:B,2,FALSE()),"")</f>
        <v/>
      </c>
      <c r="I103" s="12"/>
      <c r="J103" s="14" t="s">
        <v>363</v>
      </c>
      <c r="K103" s="14" t="s">
        <v>125</v>
      </c>
    </row>
    <row r="104" spans="1:11">
      <c r="A104" s="13" t="s">
        <v>364</v>
      </c>
      <c r="B104" s="14" t="s">
        <v>365</v>
      </c>
      <c r="C104" s="14" t="s">
        <v>76</v>
      </c>
      <c r="D104" s="14" t="s">
        <v>255</v>
      </c>
      <c r="E104" s="12" t="s">
        <v>81</v>
      </c>
      <c r="F104" s="14" t="str">
        <f>IFERROR(VLOOKUP(E104,Verticals!A:B,2,FALSE()),"")</f>
        <v>Marketing</v>
      </c>
      <c r="G104" s="12" t="s">
        <v>505</v>
      </c>
      <c r="H104" s="14" t="str">
        <f>IFERROR(VLOOKUP(G104,Reference!A:B,2,FALSE()),"")</f>
        <v/>
      </c>
      <c r="I104" s="12"/>
      <c r="J104" s="14" t="s">
        <v>124</v>
      </c>
      <c r="K104" s="14" t="s">
        <v>125</v>
      </c>
    </row>
    <row r="105" spans="1:11">
      <c r="A105" s="13" t="s">
        <v>366</v>
      </c>
      <c r="B105" s="14" t="s">
        <v>367</v>
      </c>
      <c r="C105" s="14" t="s">
        <v>76</v>
      </c>
      <c r="D105" s="14" t="s">
        <v>195</v>
      </c>
      <c r="E105" s="12" t="s">
        <v>84</v>
      </c>
      <c r="F105" s="14" t="str">
        <f>IFERROR(VLOOKUP(E105,Verticals!A:B,2,FALSE()),"")</f>
        <v>Offline Sales Team</v>
      </c>
      <c r="G105" s="12" t="s">
        <v>279</v>
      </c>
      <c r="H105" s="14" t="str">
        <f>IFERROR(VLOOKUP(G105,Reference!A:B,2,FALSE()),"")</f>
        <v/>
      </c>
      <c r="I105" s="12"/>
      <c r="J105" s="14" t="s">
        <v>368</v>
      </c>
      <c r="K105" s="14" t="s">
        <v>125</v>
      </c>
    </row>
    <row r="106" spans="1:11">
      <c r="A106" s="13" t="s">
        <v>369</v>
      </c>
      <c r="B106" s="14" t="s">
        <v>370</v>
      </c>
      <c r="C106" s="14" t="s">
        <v>76</v>
      </c>
      <c r="D106" s="14" t="s">
        <v>195</v>
      </c>
      <c r="E106" s="12" t="s">
        <v>84</v>
      </c>
      <c r="F106" s="14" t="str">
        <f>IFERROR(VLOOKUP(E106,Verticals!A:B,2,FALSE()),"")</f>
        <v>Offline Sales Team</v>
      </c>
      <c r="G106" s="12" t="s">
        <v>279</v>
      </c>
      <c r="H106" s="14" t="str">
        <f>IFERROR(VLOOKUP(G106,Reference!A:B,2,FALSE()),"")</f>
        <v/>
      </c>
      <c r="I106" s="12"/>
      <c r="J106" s="14" t="s">
        <v>371</v>
      </c>
      <c r="K106" s="14" t="s">
        <v>125</v>
      </c>
    </row>
    <row r="107" spans="1:11">
      <c r="A107" s="13" t="s">
        <v>372</v>
      </c>
      <c r="B107" s="14" t="s">
        <v>373</v>
      </c>
      <c r="C107" s="14" t="s">
        <v>76</v>
      </c>
      <c r="D107" s="14" t="s">
        <v>195</v>
      </c>
      <c r="E107" s="12" t="s">
        <v>84</v>
      </c>
      <c r="F107" s="14" t="str">
        <f>IFERROR(VLOOKUP(E107,Verticals!A:B,2,FALSE()),"")</f>
        <v>Offline Sales Team</v>
      </c>
      <c r="G107" s="12" t="s">
        <v>241</v>
      </c>
      <c r="H107" s="14" t="str">
        <f>IFERROR(VLOOKUP(G107,Reference!A:B,2,FALSE()),"")</f>
        <v/>
      </c>
      <c r="I107" s="12"/>
      <c r="J107" s="14" t="s">
        <v>374</v>
      </c>
      <c r="K107" s="14" t="s">
        <v>125</v>
      </c>
    </row>
    <row r="108" spans="1:11">
      <c r="A108" s="13" t="s">
        <v>375</v>
      </c>
      <c r="B108" s="14" t="s">
        <v>376</v>
      </c>
      <c r="C108" s="14" t="s">
        <v>76</v>
      </c>
      <c r="D108" s="14" t="s">
        <v>195</v>
      </c>
      <c r="E108" s="12" t="s">
        <v>84</v>
      </c>
      <c r="F108" s="14" t="str">
        <f>IFERROR(VLOOKUP(E108,Verticals!A:B,2,FALSE()),"")</f>
        <v>Offline Sales Team</v>
      </c>
      <c r="G108" s="12" t="s">
        <v>315</v>
      </c>
      <c r="H108" s="14" t="str">
        <f>IFERROR(VLOOKUP(G108,Reference!A:B,2,FALSE()),"")</f>
        <v/>
      </c>
      <c r="I108" s="12"/>
      <c r="J108" s="14" t="s">
        <v>316</v>
      </c>
      <c r="K108" s="14" t="s">
        <v>163</v>
      </c>
    </row>
    <row r="109" spans="1:11">
      <c r="A109" s="13" t="s">
        <v>377</v>
      </c>
      <c r="B109" s="14" t="s">
        <v>378</v>
      </c>
      <c r="C109" s="14" t="s">
        <v>76</v>
      </c>
      <c r="D109" s="14" t="s">
        <v>195</v>
      </c>
      <c r="E109" s="12" t="s">
        <v>84</v>
      </c>
      <c r="F109" s="14" t="str">
        <f>IFERROR(VLOOKUP(E109,Verticals!A:B,2,FALSE()),"")</f>
        <v>Offline Sales Team</v>
      </c>
      <c r="G109" s="12" t="s">
        <v>312</v>
      </c>
      <c r="H109" s="14" t="str">
        <f>IFERROR(VLOOKUP(G109,Reference!A:B,2,FALSE()),"")</f>
        <v/>
      </c>
      <c r="I109" s="12"/>
      <c r="J109" s="14" t="s">
        <v>379</v>
      </c>
      <c r="K109" s="14" t="s">
        <v>163</v>
      </c>
    </row>
    <row r="110" spans="1:11">
      <c r="A110" s="13" t="s">
        <v>380</v>
      </c>
      <c r="B110" s="14" t="s">
        <v>381</v>
      </c>
      <c r="C110" s="14" t="s">
        <v>76</v>
      </c>
      <c r="D110" s="14" t="s">
        <v>195</v>
      </c>
      <c r="E110" s="12" t="s">
        <v>84</v>
      </c>
      <c r="F110" s="14" t="str">
        <f>IFERROR(VLOOKUP(E110,Verticals!A:B,2,FALSE()),"")</f>
        <v>Offline Sales Team</v>
      </c>
      <c r="G110" s="12" t="s">
        <v>222</v>
      </c>
      <c r="H110" s="14" t="str">
        <f>IFERROR(VLOOKUP(G110,Reference!A:B,2,FALSE()),"")</f>
        <v/>
      </c>
      <c r="I110" s="12"/>
      <c r="J110" s="14" t="s">
        <v>382</v>
      </c>
      <c r="K110" s="14" t="s">
        <v>125</v>
      </c>
    </row>
    <row r="111" spans="1:11">
      <c r="A111" s="13" t="s">
        <v>383</v>
      </c>
      <c r="B111" s="14" t="s">
        <v>384</v>
      </c>
      <c r="C111" s="14" t="s">
        <v>76</v>
      </c>
      <c r="D111" s="14" t="s">
        <v>195</v>
      </c>
      <c r="E111" s="12" t="s">
        <v>84</v>
      </c>
      <c r="F111" s="14" t="str">
        <f>IFERROR(VLOOKUP(E111,Verticals!A:B,2,FALSE()),"")</f>
        <v>Offline Sales Team</v>
      </c>
      <c r="G111" s="12" t="s">
        <v>279</v>
      </c>
      <c r="H111" s="14" t="str">
        <f>IFERROR(VLOOKUP(G111,Reference!A:B,2,FALSE()),"")</f>
        <v/>
      </c>
      <c r="I111" s="12"/>
      <c r="J111" s="14" t="s">
        <v>347</v>
      </c>
      <c r="K111" s="14" t="s">
        <v>163</v>
      </c>
    </row>
    <row r="112" spans="1:11" ht="28">
      <c r="A112" s="13" t="s">
        <v>385</v>
      </c>
      <c r="B112" s="14" t="s">
        <v>386</v>
      </c>
      <c r="C112" s="14" t="s">
        <v>76</v>
      </c>
      <c r="D112" s="14" t="s">
        <v>195</v>
      </c>
      <c r="E112" s="12" t="s">
        <v>84</v>
      </c>
      <c r="F112" s="14" t="str">
        <f>IFERROR(VLOOKUP(E112,Verticals!A:B,2,FALSE()),"")</f>
        <v>Offline Sales Team</v>
      </c>
      <c r="G112" s="12" t="s">
        <v>224</v>
      </c>
      <c r="H112" s="14" t="str">
        <f>IFERROR(VLOOKUP(G112,Reference!A:B,2,FALSE()),"")</f>
        <v/>
      </c>
      <c r="I112" s="12"/>
      <c r="J112" s="14" t="s">
        <v>225</v>
      </c>
      <c r="K112" s="14" t="s">
        <v>125</v>
      </c>
    </row>
    <row r="113" spans="1:11">
      <c r="A113" s="13" t="s">
        <v>387</v>
      </c>
      <c r="B113" s="14" t="s">
        <v>388</v>
      </c>
      <c r="C113" s="14" t="s">
        <v>76</v>
      </c>
      <c r="D113" s="14" t="s">
        <v>195</v>
      </c>
      <c r="E113" s="12" t="s">
        <v>84</v>
      </c>
      <c r="F113" s="14" t="str">
        <f>IFERROR(VLOOKUP(E113,Verticals!A:B,2,FALSE()),"")</f>
        <v>Offline Sales Team</v>
      </c>
      <c r="G113" s="12" t="s">
        <v>250</v>
      </c>
      <c r="H113" s="14" t="str">
        <f>IFERROR(VLOOKUP(G113,Reference!A:B,2,FALSE()),"")</f>
        <v/>
      </c>
      <c r="I113" s="12"/>
      <c r="J113" s="14" t="s">
        <v>389</v>
      </c>
      <c r="K113" s="14" t="s">
        <v>125</v>
      </c>
    </row>
    <row r="114" spans="1:11">
      <c r="A114" s="13" t="s">
        <v>390</v>
      </c>
      <c r="B114" s="14" t="s">
        <v>391</v>
      </c>
      <c r="C114" s="14" t="s">
        <v>76</v>
      </c>
      <c r="D114" s="14" t="s">
        <v>195</v>
      </c>
      <c r="E114" s="12" t="s">
        <v>84</v>
      </c>
      <c r="F114" s="14" t="str">
        <f>IFERROR(VLOOKUP(E114,Verticals!A:B,2,FALSE()),"")</f>
        <v>Offline Sales Team</v>
      </c>
      <c r="G114" s="12" t="s">
        <v>502</v>
      </c>
      <c r="H114" s="14" t="str">
        <f>IFERROR(VLOOKUP(G114,Reference!A:B,2,FALSE()),"")</f>
        <v/>
      </c>
      <c r="I114" s="12"/>
      <c r="J114" s="14" t="s">
        <v>124</v>
      </c>
      <c r="K114" s="14" t="s">
        <v>125</v>
      </c>
    </row>
    <row r="115" spans="1:11" ht="28">
      <c r="A115" s="13" t="s">
        <v>392</v>
      </c>
      <c r="B115" s="14" t="s">
        <v>393</v>
      </c>
      <c r="C115" s="14" t="s">
        <v>76</v>
      </c>
      <c r="D115" s="14" t="s">
        <v>195</v>
      </c>
      <c r="E115" s="12" t="s">
        <v>84</v>
      </c>
      <c r="F115" s="14" t="str">
        <f>IFERROR(VLOOKUP(E115,Verticals!A:B,2,FALSE()),"")</f>
        <v>Offline Sales Team</v>
      </c>
      <c r="G115" s="12" t="s">
        <v>224</v>
      </c>
      <c r="H115" s="14" t="str">
        <f>IFERROR(VLOOKUP(G115,Reference!A:B,2,FALSE()),"")</f>
        <v/>
      </c>
      <c r="I115" s="12"/>
      <c r="J115" s="14" t="s">
        <v>394</v>
      </c>
      <c r="K115" s="14" t="s">
        <v>125</v>
      </c>
    </row>
    <row r="116" spans="1:11">
      <c r="A116" s="13" t="s">
        <v>395</v>
      </c>
      <c r="B116" s="14" t="s">
        <v>396</v>
      </c>
      <c r="C116" s="14" t="s">
        <v>76</v>
      </c>
      <c r="D116" s="14" t="s">
        <v>195</v>
      </c>
      <c r="E116" s="12" t="s">
        <v>84</v>
      </c>
      <c r="F116" s="14" t="str">
        <f>IFERROR(VLOOKUP(E116,Verticals!A:B,2,FALSE()),"")</f>
        <v>Offline Sales Team</v>
      </c>
      <c r="G116" s="12" t="s">
        <v>241</v>
      </c>
      <c r="H116" s="14" t="str">
        <f>IFERROR(VLOOKUP(G116,Reference!A:B,2,FALSE()),"")</f>
        <v/>
      </c>
      <c r="I116" s="12"/>
      <c r="J116" s="14" t="s">
        <v>242</v>
      </c>
      <c r="K116" s="14" t="s">
        <v>125</v>
      </c>
    </row>
    <row r="117" spans="1:11">
      <c r="A117" s="13" t="s">
        <v>397</v>
      </c>
      <c r="B117" s="14" t="s">
        <v>398</v>
      </c>
      <c r="C117" s="14" t="s">
        <v>76</v>
      </c>
      <c r="D117" s="14" t="s">
        <v>195</v>
      </c>
      <c r="E117" s="12" t="s">
        <v>84</v>
      </c>
      <c r="F117" s="14" t="str">
        <f>IFERROR(VLOOKUP(E117,Verticals!A:B,2,FALSE()),"")</f>
        <v>Offline Sales Team</v>
      </c>
      <c r="G117" s="12" t="s">
        <v>241</v>
      </c>
      <c r="H117" s="14" t="str">
        <f>IFERROR(VLOOKUP(G117,Reference!A:B,2,FALSE()),"")</f>
        <v/>
      </c>
      <c r="I117" s="12"/>
      <c r="J117" s="14" t="s">
        <v>242</v>
      </c>
      <c r="K117" s="14" t="s">
        <v>163</v>
      </c>
    </row>
    <row r="118" spans="1:11">
      <c r="A118" s="13" t="s">
        <v>399</v>
      </c>
      <c r="B118" s="14" t="s">
        <v>400</v>
      </c>
      <c r="C118" s="14" t="s">
        <v>76</v>
      </c>
      <c r="D118" s="14" t="s">
        <v>195</v>
      </c>
      <c r="E118" s="12" t="s">
        <v>84</v>
      </c>
      <c r="F118" s="14" t="str">
        <f>IFERROR(VLOOKUP(E118,Verticals!A:B,2,FALSE()),"")</f>
        <v>Offline Sales Team</v>
      </c>
      <c r="G118" s="12" t="s">
        <v>506</v>
      </c>
      <c r="H118" s="14" t="str">
        <f>IFERROR(VLOOKUP(G118,Reference!A:B,2,FALSE()),"")</f>
        <v/>
      </c>
      <c r="I118" s="12"/>
      <c r="J118" s="14" t="s">
        <v>401</v>
      </c>
      <c r="K118" s="14" t="s">
        <v>125</v>
      </c>
    </row>
    <row r="119" spans="1:11">
      <c r="A119" s="13" t="s">
        <v>402</v>
      </c>
      <c r="B119" s="14" t="s">
        <v>403</v>
      </c>
      <c r="C119" s="14" t="s">
        <v>76</v>
      </c>
      <c r="D119" s="14" t="s">
        <v>195</v>
      </c>
      <c r="E119" s="12" t="s">
        <v>84</v>
      </c>
      <c r="F119" s="14" t="str">
        <f>IFERROR(VLOOKUP(E119,Verticals!A:B,2,FALSE()),"")</f>
        <v>Offline Sales Team</v>
      </c>
      <c r="G119" s="12" t="s">
        <v>312</v>
      </c>
      <c r="H119" s="14" t="str">
        <f>IFERROR(VLOOKUP(G119,Reference!A:B,2,FALSE()),"")</f>
        <v/>
      </c>
      <c r="I119" s="12"/>
      <c r="J119" s="14" t="s">
        <v>313</v>
      </c>
      <c r="K119" s="14" t="s">
        <v>125</v>
      </c>
    </row>
    <row r="120" spans="1:11">
      <c r="A120" s="13" t="s">
        <v>404</v>
      </c>
      <c r="B120" s="14" t="s">
        <v>405</v>
      </c>
      <c r="C120" s="14" t="s">
        <v>76</v>
      </c>
      <c r="D120" s="14" t="s">
        <v>195</v>
      </c>
      <c r="E120" s="12" t="s">
        <v>84</v>
      </c>
      <c r="F120" s="14" t="str">
        <f>IFERROR(VLOOKUP(E120,Verticals!A:B,2,FALSE()),"")</f>
        <v>Offline Sales Team</v>
      </c>
      <c r="G120" s="12" t="s">
        <v>312</v>
      </c>
      <c r="H120" s="14" t="str">
        <f>IFERROR(VLOOKUP(G120,Reference!A:B,2,FALSE()),"")</f>
        <v/>
      </c>
      <c r="I120" s="12"/>
      <c r="J120" s="14" t="s">
        <v>313</v>
      </c>
      <c r="K120" s="14" t="s">
        <v>125</v>
      </c>
    </row>
    <row r="121" spans="1:11">
      <c r="A121" s="13" t="s">
        <v>406</v>
      </c>
      <c r="B121" s="14" t="s">
        <v>407</v>
      </c>
      <c r="C121" s="14" t="s">
        <v>76</v>
      </c>
      <c r="D121" s="14" t="s">
        <v>195</v>
      </c>
      <c r="E121" s="12" t="s">
        <v>84</v>
      </c>
      <c r="F121" s="14" t="str">
        <f>IFERROR(VLOOKUP(E121,Verticals!A:B,2,FALSE()),"")</f>
        <v>Offline Sales Team</v>
      </c>
      <c r="G121" s="12" t="s">
        <v>279</v>
      </c>
      <c r="H121" s="14" t="str">
        <f>IFERROR(VLOOKUP(G121,Reference!A:B,2,FALSE()),"")</f>
        <v/>
      </c>
      <c r="I121" s="12"/>
      <c r="J121" s="14" t="s">
        <v>408</v>
      </c>
      <c r="K121" s="14" t="s">
        <v>163</v>
      </c>
    </row>
    <row r="122" spans="1:11">
      <c r="A122" s="13" t="s">
        <v>409</v>
      </c>
      <c r="B122" s="14" t="s">
        <v>410</v>
      </c>
      <c r="C122" s="14" t="s">
        <v>76</v>
      </c>
      <c r="D122" s="14" t="s">
        <v>255</v>
      </c>
      <c r="E122" s="12" t="s">
        <v>81</v>
      </c>
      <c r="F122" s="14" t="str">
        <f>IFERROR(VLOOKUP(E122,Verticals!A:B,2,FALSE()),"")</f>
        <v>Marketing</v>
      </c>
      <c r="G122" s="12" t="s">
        <v>505</v>
      </c>
      <c r="H122" s="14" t="str">
        <f>IFERROR(VLOOKUP(G122,Reference!A:B,2,FALSE()),"")</f>
        <v/>
      </c>
      <c r="I122" s="12"/>
      <c r="J122" s="14" t="s">
        <v>209</v>
      </c>
      <c r="K122" s="14" t="s">
        <v>125</v>
      </c>
    </row>
    <row r="123" spans="1:11">
      <c r="A123" s="13" t="s">
        <v>411</v>
      </c>
      <c r="B123" s="14" t="s">
        <v>412</v>
      </c>
      <c r="C123" s="14" t="s">
        <v>76</v>
      </c>
      <c r="D123" s="14" t="s">
        <v>195</v>
      </c>
      <c r="E123" s="12" t="s">
        <v>84</v>
      </c>
      <c r="F123" s="14" t="str">
        <f>IFERROR(VLOOKUP(E123,Verticals!A:B,2,FALSE()),"")</f>
        <v>Offline Sales Team</v>
      </c>
      <c r="G123" s="12" t="s">
        <v>505</v>
      </c>
      <c r="H123" s="14" t="str">
        <f>IFERROR(VLOOKUP(G123,Reference!A:B,2,FALSE()),"")</f>
        <v/>
      </c>
      <c r="I123" s="12"/>
      <c r="J123" s="14" t="s">
        <v>209</v>
      </c>
      <c r="K123" s="14" t="s">
        <v>125</v>
      </c>
    </row>
    <row r="124" spans="1:11">
      <c r="A124" s="13" t="s">
        <v>413</v>
      </c>
      <c r="B124" s="14" t="s">
        <v>156</v>
      </c>
      <c r="C124" s="14" t="s">
        <v>76</v>
      </c>
      <c r="D124" s="14" t="s">
        <v>137</v>
      </c>
      <c r="E124" s="12" t="s">
        <v>47</v>
      </c>
      <c r="F124" s="14" t="str">
        <f>IFERROR(VLOOKUP(E124,Verticals!A:B,2,FALSE()),"")</f>
        <v>Administrative Services</v>
      </c>
      <c r="G124" s="12" t="s">
        <v>222</v>
      </c>
      <c r="H124" s="14" t="str">
        <f>IFERROR(VLOOKUP(G124,Reference!A:B,2,FALSE()),"")</f>
        <v/>
      </c>
      <c r="I124" s="12"/>
      <c r="J124" s="14" t="s">
        <v>124</v>
      </c>
      <c r="K124" s="14" t="s">
        <v>125</v>
      </c>
    </row>
    <row r="125" spans="1:11">
      <c r="A125" s="13" t="s">
        <v>414</v>
      </c>
      <c r="B125" s="14" t="s">
        <v>415</v>
      </c>
      <c r="C125" s="14" t="s">
        <v>76</v>
      </c>
      <c r="D125" s="14" t="s">
        <v>195</v>
      </c>
      <c r="E125" s="12" t="s">
        <v>84</v>
      </c>
      <c r="F125" s="14" t="str">
        <f>IFERROR(VLOOKUP(E125,Verticals!A:B,2,FALSE()),"")</f>
        <v>Offline Sales Team</v>
      </c>
      <c r="G125" s="12" t="s">
        <v>222</v>
      </c>
      <c r="H125" s="14" t="str">
        <f>IFERROR(VLOOKUP(G125,Reference!A:B,2,FALSE()),"")</f>
        <v/>
      </c>
      <c r="I125" s="12"/>
      <c r="J125" s="14" t="s">
        <v>124</v>
      </c>
      <c r="K125" s="14" t="s">
        <v>125</v>
      </c>
    </row>
    <row r="126" spans="1:11">
      <c r="A126" s="13" t="s">
        <v>416</v>
      </c>
      <c r="B126" s="14" t="s">
        <v>417</v>
      </c>
      <c r="C126" s="14" t="s">
        <v>76</v>
      </c>
      <c r="D126" s="14" t="s">
        <v>195</v>
      </c>
      <c r="E126" s="12" t="s">
        <v>84</v>
      </c>
      <c r="F126" s="14" t="str">
        <f>IFERROR(VLOOKUP(E126,Verticals!A:B,2,FALSE()),"")</f>
        <v>Offline Sales Team</v>
      </c>
      <c r="G126" s="12" t="s">
        <v>241</v>
      </c>
      <c r="H126" s="14" t="str">
        <f>IFERROR(VLOOKUP(G126,Reference!A:B,2,FALSE()),"")</f>
        <v/>
      </c>
      <c r="I126" s="12"/>
      <c r="J126" s="14" t="s">
        <v>418</v>
      </c>
      <c r="K126" s="14" t="s">
        <v>125</v>
      </c>
    </row>
    <row r="127" spans="1:11">
      <c r="A127" s="13" t="s">
        <v>419</v>
      </c>
      <c r="B127" s="14" t="s">
        <v>420</v>
      </c>
      <c r="C127" s="14" t="s">
        <v>76</v>
      </c>
      <c r="D127" s="14" t="s">
        <v>195</v>
      </c>
      <c r="E127" s="12" t="s">
        <v>84</v>
      </c>
      <c r="F127" s="14" t="str">
        <f>IFERROR(VLOOKUP(E127,Verticals!A:B,2,FALSE()),"")</f>
        <v>Offline Sales Team</v>
      </c>
      <c r="G127" s="12" t="s">
        <v>505</v>
      </c>
      <c r="H127" s="14" t="str">
        <f>IFERROR(VLOOKUP(G127,Reference!A:B,2,FALSE()),"")</f>
        <v/>
      </c>
      <c r="I127" s="12"/>
      <c r="J127" s="14" t="s">
        <v>209</v>
      </c>
      <c r="K127" s="14" t="s">
        <v>163</v>
      </c>
    </row>
    <row r="128" spans="1:11">
      <c r="A128" s="13" t="s">
        <v>507</v>
      </c>
      <c r="B128" s="14" t="s">
        <v>508</v>
      </c>
      <c r="C128" s="14" t="s">
        <v>54</v>
      </c>
      <c r="D128" s="14" t="s">
        <v>131</v>
      </c>
      <c r="E128" s="12" t="s">
        <v>71</v>
      </c>
      <c r="F128" s="14" t="str">
        <f>IFERROR(VLOOKUP(E128,Verticals!A:B,2,FALSE()),"")</f>
        <v>Accounting Office — APHL</v>
      </c>
      <c r="G128" s="12" t="s">
        <v>503</v>
      </c>
      <c r="H128" s="14" t="str">
        <f>IFERROR(VLOOKUP(G128,Reference!A:B,2,FALSE()),"")</f>
        <v/>
      </c>
      <c r="I128" s="12"/>
      <c r="J128" s="14" t="s">
        <v>124</v>
      </c>
      <c r="K128" s="14" t="s">
        <v>125</v>
      </c>
    </row>
    <row r="129" spans="1:11">
      <c r="A129" s="13" t="s">
        <v>509</v>
      </c>
      <c r="B129" s="14" t="s">
        <v>510</v>
      </c>
      <c r="C129" s="14" t="s">
        <v>54</v>
      </c>
      <c r="D129" s="14" t="s">
        <v>42</v>
      </c>
      <c r="E129" s="12" t="s">
        <v>41</v>
      </c>
      <c r="F129" s="14" t="str">
        <f>IFERROR(VLOOKUP(E129,Verticals!A:B,2,FALSE()),"")</f>
        <v>Data &amp; MIS</v>
      </c>
      <c r="G129" s="12" t="s">
        <v>147</v>
      </c>
      <c r="H129" s="14" t="str">
        <f>IFERROR(VLOOKUP(G129,Reference!A:B,2,FALSE()),"")</f>
        <v/>
      </c>
      <c r="I129" s="12"/>
      <c r="J129" s="14" t="s">
        <v>124</v>
      </c>
      <c r="K129" s="14" t="s">
        <v>163</v>
      </c>
    </row>
    <row r="130" spans="1:11">
      <c r="A130" s="13" t="s">
        <v>511</v>
      </c>
      <c r="B130" s="14" t="s">
        <v>512</v>
      </c>
      <c r="C130" s="14" t="s">
        <v>76</v>
      </c>
      <c r="D130" s="14" t="s">
        <v>255</v>
      </c>
      <c r="E130" s="12" t="s">
        <v>81</v>
      </c>
      <c r="F130" s="14" t="str">
        <f>IFERROR(VLOOKUP(E130,Verticals!A:B,2,FALSE()),"")</f>
        <v>Marketing</v>
      </c>
      <c r="G130" s="12" t="s">
        <v>505</v>
      </c>
      <c r="H130" s="14" t="str">
        <f>IFERROR(VLOOKUP(G130,Reference!A:B,2,FALSE()),"")</f>
        <v/>
      </c>
      <c r="I130" s="12"/>
      <c r="J130" s="14" t="s">
        <v>124</v>
      </c>
      <c r="K130" s="14" t="s">
        <v>125</v>
      </c>
    </row>
    <row r="131" spans="1:11">
      <c r="A131" s="13" t="s">
        <v>513</v>
      </c>
      <c r="B131" s="14" t="s">
        <v>514</v>
      </c>
      <c r="C131" s="14" t="s">
        <v>54</v>
      </c>
      <c r="D131" s="14" t="s">
        <v>123</v>
      </c>
      <c r="E131" s="12" t="s">
        <v>52</v>
      </c>
      <c r="F131" s="14" t="str">
        <f>IFERROR(VLOOKUP(E131,Verticals!A:B,2,FALSE()),"")</f>
        <v>Programme Management Services</v>
      </c>
      <c r="G131" s="12" t="s">
        <v>122</v>
      </c>
      <c r="H131" s="14" t="str">
        <f>IFERROR(VLOOKUP(G131,Reference!A:B,2,FALSE()),"")</f>
        <v/>
      </c>
      <c r="I131" s="12"/>
      <c r="J131" s="14" t="s">
        <v>124</v>
      </c>
      <c r="K131" s="14" t="s">
        <v>125</v>
      </c>
    </row>
    <row r="132" spans="1:11">
      <c r="A132" s="13" t="s">
        <v>515</v>
      </c>
      <c r="B132" s="14" t="s">
        <v>516</v>
      </c>
      <c r="C132" s="14" t="s">
        <v>76</v>
      </c>
      <c r="D132" s="14" t="s">
        <v>42</v>
      </c>
      <c r="E132" s="12" t="s">
        <v>41</v>
      </c>
      <c r="F132" s="14" t="str">
        <f>IFERROR(VLOOKUP(E132,Verticals!A:B,2,FALSE()),"")</f>
        <v>Data &amp; MIS</v>
      </c>
      <c r="G132" s="12" t="s">
        <v>222</v>
      </c>
      <c r="H132" s="14" t="str">
        <f>IFERROR(VLOOKUP(G132,Reference!A:B,2,FALSE()),"")</f>
        <v/>
      </c>
      <c r="I132" s="12"/>
      <c r="J132" s="14" t="s">
        <v>124</v>
      </c>
      <c r="K132" s="14" t="s">
        <v>125</v>
      </c>
    </row>
    <row r="133" spans="1:11">
      <c r="A133" s="13" t="s">
        <v>517</v>
      </c>
      <c r="B133" s="14" t="s">
        <v>518</v>
      </c>
      <c r="C133" s="14" t="s">
        <v>76</v>
      </c>
      <c r="D133" s="14" t="s">
        <v>195</v>
      </c>
      <c r="E133" s="12" t="s">
        <v>84</v>
      </c>
      <c r="F133" s="14" t="str">
        <f>IFERROR(VLOOKUP(E133,Verticals!A:B,2,FALSE()),"")</f>
        <v>Offline Sales Team</v>
      </c>
      <c r="G133" s="12" t="s">
        <v>250</v>
      </c>
      <c r="H133" s="14" t="str">
        <f>IFERROR(VLOOKUP(G133,Reference!A:B,2,FALSE()),"")</f>
        <v/>
      </c>
      <c r="I133" s="12"/>
      <c r="J133" s="14" t="s">
        <v>206</v>
      </c>
      <c r="K133" s="14" t="s">
        <v>125</v>
      </c>
    </row>
    <row r="134" spans="1:11">
      <c r="A134" s="13" t="s">
        <v>519</v>
      </c>
      <c r="B134" s="14" t="s">
        <v>520</v>
      </c>
      <c r="C134" s="14" t="s">
        <v>54</v>
      </c>
      <c r="D134" s="14" t="s">
        <v>42</v>
      </c>
      <c r="E134" s="12" t="s">
        <v>41</v>
      </c>
      <c r="F134" s="14" t="str">
        <f>IFERROR(VLOOKUP(E134,Verticals!A:B,2,FALSE()),"")</f>
        <v>Data &amp; MIS</v>
      </c>
      <c r="G134" s="12" t="s">
        <v>147</v>
      </c>
      <c r="H134" s="14" t="str">
        <f>IFERROR(VLOOKUP(G134,Reference!A:B,2,FALSE()),"")</f>
        <v/>
      </c>
      <c r="I134" s="12"/>
      <c r="J134" s="14" t="s">
        <v>124</v>
      </c>
      <c r="K134" s="14" t="s">
        <v>125</v>
      </c>
    </row>
    <row r="135" spans="1:11">
      <c r="A135" s="13" t="s">
        <v>521</v>
      </c>
      <c r="B135" s="14" t="s">
        <v>522</v>
      </c>
      <c r="C135" s="14" t="s">
        <v>76</v>
      </c>
      <c r="D135" s="14" t="s">
        <v>192</v>
      </c>
      <c r="E135" s="12" t="s">
        <v>47</v>
      </c>
      <c r="F135" s="14" t="str">
        <f>IFERROR(VLOOKUP(E135,Verticals!A:B,2,FALSE()),"")</f>
        <v>Administrative Services</v>
      </c>
      <c r="G135" s="12" t="s">
        <v>502</v>
      </c>
      <c r="H135" s="14"/>
      <c r="I135" s="12"/>
      <c r="J135" s="14" t="s">
        <v>124</v>
      </c>
      <c r="K135" s="14" t="s">
        <v>125</v>
      </c>
    </row>
    <row r="136" spans="1:11">
      <c r="A136" s="13" t="s">
        <v>523</v>
      </c>
      <c r="B136" s="14" t="s">
        <v>524</v>
      </c>
      <c r="C136" s="14" t="s">
        <v>76</v>
      </c>
      <c r="D136" s="14" t="s">
        <v>255</v>
      </c>
      <c r="E136" s="12" t="s">
        <v>81</v>
      </c>
      <c r="F136" s="14" t="str">
        <f>IFERROR(VLOOKUP(E136,Verticals!A:B,2,FALSE()),"")</f>
        <v>Marketing</v>
      </c>
      <c r="G136" s="12" t="s">
        <v>505</v>
      </c>
      <c r="H136" s="14"/>
      <c r="I136" s="12"/>
      <c r="J136" s="14" t="s">
        <v>124</v>
      </c>
      <c r="K136" s="14" t="s">
        <v>125</v>
      </c>
    </row>
    <row r="137" spans="1:11">
      <c r="A137" s="13" t="s">
        <v>525</v>
      </c>
      <c r="B137" s="14" t="s">
        <v>526</v>
      </c>
      <c r="C137" s="14" t="s">
        <v>76</v>
      </c>
      <c r="D137" s="14" t="s">
        <v>195</v>
      </c>
      <c r="E137" s="12" t="s">
        <v>84</v>
      </c>
      <c r="F137" s="14" t="str">
        <f>IFERROR(VLOOKUP(E137,Verticals!A:B,2,FALSE()),"")</f>
        <v>Offline Sales Team</v>
      </c>
      <c r="G137" s="25" t="s">
        <v>506</v>
      </c>
      <c r="H137" s="14"/>
      <c r="I137" s="12"/>
      <c r="J137" s="24" t="s">
        <v>215</v>
      </c>
      <c r="K137" s="14" t="s">
        <v>125</v>
      </c>
    </row>
    <row r="138" spans="1:11">
      <c r="A138" s="13" t="s">
        <v>527</v>
      </c>
      <c r="B138" s="14" t="s">
        <v>528</v>
      </c>
      <c r="C138" s="14" t="s">
        <v>76</v>
      </c>
      <c r="D138" s="14" t="s">
        <v>74</v>
      </c>
      <c r="E138" s="12" t="s">
        <v>74</v>
      </c>
      <c r="F138" s="14" t="str">
        <f>IFERROR(VLOOKUP(E138,Verticals!A:B,2,FALSE()),"")</f>
        <v>Sales Operations &amp; Planning</v>
      </c>
      <c r="G138" s="25" t="s">
        <v>222</v>
      </c>
      <c r="H138" s="14"/>
      <c r="I138" s="12"/>
      <c r="J138" s="24" t="s">
        <v>124</v>
      </c>
      <c r="K138" s="14" t="s">
        <v>125</v>
      </c>
    </row>
    <row r="139" spans="1:11">
      <c r="A139" s="13" t="s">
        <v>529</v>
      </c>
      <c r="B139" s="14" t="s">
        <v>530</v>
      </c>
      <c r="C139" s="14" t="s">
        <v>76</v>
      </c>
      <c r="D139" s="14" t="s">
        <v>195</v>
      </c>
      <c r="E139" s="12" t="s">
        <v>84</v>
      </c>
      <c r="F139" s="14" t="str">
        <f>IFERROR(VLOOKUP(E139,Verticals!A:B,2,FALSE()),"")</f>
        <v>Offline Sales Team</v>
      </c>
      <c r="G139" s="25" t="s">
        <v>315</v>
      </c>
      <c r="H139" s="14"/>
      <c r="I139" s="12"/>
      <c r="J139" s="24" t="s">
        <v>535</v>
      </c>
      <c r="K139" s="14" t="s">
        <v>125</v>
      </c>
    </row>
    <row r="140" spans="1:11" ht="28">
      <c r="A140" s="13" t="s">
        <v>531</v>
      </c>
      <c r="B140" s="14" t="s">
        <v>532</v>
      </c>
      <c r="C140" s="14" t="s">
        <v>76</v>
      </c>
      <c r="D140" s="14" t="s">
        <v>195</v>
      </c>
      <c r="E140" s="12" t="s">
        <v>84</v>
      </c>
      <c r="F140" s="14" t="str">
        <f>IFERROR(VLOOKUP(E140,Verticals!A:B,2,FALSE()),"")</f>
        <v>Offline Sales Team</v>
      </c>
      <c r="G140" s="25" t="s">
        <v>261</v>
      </c>
      <c r="H140" s="14"/>
      <c r="I140" s="12"/>
      <c r="J140" s="24" t="s">
        <v>262</v>
      </c>
      <c r="K140" s="14" t="s">
        <v>125</v>
      </c>
    </row>
    <row r="141" spans="1:11" ht="28">
      <c r="A141" s="13" t="s">
        <v>533</v>
      </c>
      <c r="B141" s="14" t="s">
        <v>534</v>
      </c>
      <c r="C141" s="14" t="s">
        <v>76</v>
      </c>
      <c r="D141" s="14" t="s">
        <v>195</v>
      </c>
      <c r="E141" s="12" t="s">
        <v>84</v>
      </c>
      <c r="F141" s="14" t="str">
        <f>IFERROR(VLOOKUP(E141,Verticals!A:B,2,FALSE()),"")</f>
        <v>Offline Sales Team</v>
      </c>
      <c r="G141" s="25" t="s">
        <v>224</v>
      </c>
      <c r="H141" s="14"/>
      <c r="I141" s="12"/>
      <c r="J141" s="24" t="s">
        <v>225</v>
      </c>
      <c r="K141" s="14" t="s">
        <v>125</v>
      </c>
    </row>
  </sheetData>
  <autoFilter ref="A4:K141" xr:uid="{00000000-0001-0000-0300-000000000000}"/>
  <conditionalFormatting sqref="A5:K141">
    <cfRule type="expression" dxfId="24" priority="26">
      <formula>$K5="Exited"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4"/>
  <sheetViews>
    <sheetView zoomScaleNormal="100" workbookViewId="0">
      <pane ySplit="1" topLeftCell="A2" activePane="bottomLeft" state="frozen"/>
      <selection pane="bottomLeft" activeCell="A5" sqref="A5:B5"/>
    </sheetView>
  </sheetViews>
  <sheetFormatPr baseColWidth="10" defaultColWidth="8.6640625" defaultRowHeight="15"/>
  <cols>
    <col min="1" max="1" width="12" customWidth="1"/>
    <col min="2" max="2" width="28" customWidth="1"/>
    <col min="3" max="3" width="10" customWidth="1"/>
    <col min="4" max="4" width="30" customWidth="1"/>
    <col min="5" max="5" width="3" customWidth="1"/>
    <col min="6" max="6" width="13" customWidth="1"/>
    <col min="7" max="7" width="36" customWidth="1"/>
    <col min="8" max="8" width="11" customWidth="1"/>
  </cols>
  <sheetData>
    <row r="1" spans="1:8" ht="24" customHeight="1">
      <c r="A1" s="8" t="s">
        <v>110</v>
      </c>
      <c r="B1" s="8" t="s">
        <v>421</v>
      </c>
      <c r="C1" s="8" t="s">
        <v>112</v>
      </c>
      <c r="D1" s="8" t="s">
        <v>422</v>
      </c>
      <c r="F1" s="8" t="s">
        <v>33</v>
      </c>
      <c r="G1" s="8" t="s">
        <v>34</v>
      </c>
      <c r="H1" s="8" t="s">
        <v>112</v>
      </c>
    </row>
    <row r="2" spans="1:8">
      <c r="A2" s="15" t="s">
        <v>121</v>
      </c>
      <c r="B2" s="16" t="s">
        <v>122</v>
      </c>
      <c r="C2" s="16" t="s">
        <v>54</v>
      </c>
      <c r="D2" s="16" t="s">
        <v>423</v>
      </c>
      <c r="F2" s="15" t="s">
        <v>37</v>
      </c>
      <c r="G2" s="16" t="s">
        <v>38</v>
      </c>
      <c r="H2" s="16" t="s">
        <v>39</v>
      </c>
    </row>
    <row r="3" spans="1:8">
      <c r="A3" s="15" t="s">
        <v>126</v>
      </c>
      <c r="B3" s="16" t="s">
        <v>127</v>
      </c>
      <c r="C3" s="16" t="s">
        <v>54</v>
      </c>
      <c r="D3" s="16" t="s">
        <v>424</v>
      </c>
      <c r="F3" s="15" t="s">
        <v>41</v>
      </c>
      <c r="G3" s="16" t="s">
        <v>42</v>
      </c>
      <c r="H3" s="16" t="s">
        <v>39</v>
      </c>
    </row>
    <row r="4" spans="1:8">
      <c r="A4" s="15" t="s">
        <v>129</v>
      </c>
      <c r="B4" s="16" t="s">
        <v>130</v>
      </c>
      <c r="C4" s="16" t="s">
        <v>54</v>
      </c>
      <c r="D4" s="16" t="s">
        <v>425</v>
      </c>
      <c r="F4" s="15" t="s">
        <v>44</v>
      </c>
      <c r="G4" s="16" t="s">
        <v>45</v>
      </c>
      <c r="H4" s="16" t="s">
        <v>39</v>
      </c>
    </row>
    <row r="5" spans="1:8">
      <c r="A5" s="15" t="s">
        <v>132</v>
      </c>
      <c r="B5" s="16" t="s">
        <v>133</v>
      </c>
      <c r="C5" s="16" t="s">
        <v>54</v>
      </c>
      <c r="D5" s="16" t="s">
        <v>426</v>
      </c>
      <c r="F5" s="15" t="s">
        <v>47</v>
      </c>
      <c r="G5" s="16" t="s">
        <v>48</v>
      </c>
      <c r="H5" s="16" t="s">
        <v>39</v>
      </c>
    </row>
    <row r="6" spans="1:8">
      <c r="A6" s="15" t="s">
        <v>135</v>
      </c>
      <c r="B6" s="16" t="s">
        <v>136</v>
      </c>
      <c r="C6" s="16" t="s">
        <v>54</v>
      </c>
      <c r="D6" s="16" t="s">
        <v>427</v>
      </c>
      <c r="F6" s="15" t="s">
        <v>50</v>
      </c>
      <c r="G6" s="16" t="s">
        <v>50</v>
      </c>
      <c r="H6" s="16" t="s">
        <v>39</v>
      </c>
    </row>
    <row r="7" spans="1:8">
      <c r="A7" s="15" t="s">
        <v>138</v>
      </c>
      <c r="B7" s="16" t="s">
        <v>139</v>
      </c>
      <c r="C7" s="16" t="s">
        <v>54</v>
      </c>
      <c r="D7" s="16" t="s">
        <v>428</v>
      </c>
      <c r="F7" s="15" t="s">
        <v>52</v>
      </c>
      <c r="G7" s="16" t="s">
        <v>53</v>
      </c>
      <c r="H7" s="16" t="s">
        <v>54</v>
      </c>
    </row>
    <row r="8" spans="1:8">
      <c r="A8" s="15" t="s">
        <v>140</v>
      </c>
      <c r="B8" s="16" t="s">
        <v>141</v>
      </c>
      <c r="C8" s="16" t="s">
        <v>54</v>
      </c>
      <c r="D8" s="16" t="s">
        <v>429</v>
      </c>
      <c r="F8" s="15" t="s">
        <v>56</v>
      </c>
      <c r="G8" s="16" t="s">
        <v>57</v>
      </c>
      <c r="H8" s="16" t="s">
        <v>54</v>
      </c>
    </row>
    <row r="9" spans="1:8">
      <c r="A9" s="15" t="s">
        <v>142</v>
      </c>
      <c r="B9" s="16" t="s">
        <v>143</v>
      </c>
      <c r="C9" s="16" t="s">
        <v>54</v>
      </c>
      <c r="D9" s="16" t="s">
        <v>430</v>
      </c>
      <c r="F9" s="15" t="s">
        <v>59</v>
      </c>
      <c r="G9" s="16" t="s">
        <v>60</v>
      </c>
      <c r="H9" s="16" t="s">
        <v>54</v>
      </c>
    </row>
    <row r="10" spans="1:8">
      <c r="A10" s="15" t="s">
        <v>144</v>
      </c>
      <c r="B10" s="16" t="s">
        <v>145</v>
      </c>
      <c r="C10" s="16" t="s">
        <v>54</v>
      </c>
      <c r="D10" s="16" t="s">
        <v>431</v>
      </c>
      <c r="F10" s="15" t="s">
        <v>62</v>
      </c>
      <c r="G10" s="16" t="s">
        <v>63</v>
      </c>
      <c r="H10" s="16" t="s">
        <v>54</v>
      </c>
    </row>
    <row r="11" spans="1:8">
      <c r="A11" s="15" t="s">
        <v>146</v>
      </c>
      <c r="B11" s="16" t="s">
        <v>147</v>
      </c>
      <c r="C11" s="16" t="s">
        <v>54</v>
      </c>
      <c r="D11" s="16" t="s">
        <v>432</v>
      </c>
      <c r="F11" s="15" t="s">
        <v>65</v>
      </c>
      <c r="G11" s="16" t="s">
        <v>66</v>
      </c>
      <c r="H11" s="16" t="s">
        <v>54</v>
      </c>
    </row>
    <row r="12" spans="1:8">
      <c r="A12" s="15" t="s">
        <v>148</v>
      </c>
      <c r="B12" s="16" t="s">
        <v>149</v>
      </c>
      <c r="C12" s="16" t="s">
        <v>54</v>
      </c>
      <c r="D12" s="16" t="s">
        <v>433</v>
      </c>
      <c r="F12" s="15" t="s">
        <v>68</v>
      </c>
      <c r="G12" s="16" t="s">
        <v>69</v>
      </c>
      <c r="H12" s="16" t="s">
        <v>54</v>
      </c>
    </row>
    <row r="13" spans="1:8">
      <c r="A13" s="15" t="s">
        <v>150</v>
      </c>
      <c r="B13" s="16" t="s">
        <v>151</v>
      </c>
      <c r="C13" s="16" t="s">
        <v>54</v>
      </c>
      <c r="D13" s="16" t="s">
        <v>434</v>
      </c>
      <c r="F13" s="15" t="s">
        <v>71</v>
      </c>
      <c r="G13" s="16" t="s">
        <v>72</v>
      </c>
      <c r="H13" s="16" t="s">
        <v>54</v>
      </c>
    </row>
    <row r="14" spans="1:8">
      <c r="A14" s="15" t="s">
        <v>153</v>
      </c>
      <c r="B14" s="16" t="s">
        <v>154</v>
      </c>
      <c r="C14" s="16" t="s">
        <v>54</v>
      </c>
      <c r="D14" s="16" t="s">
        <v>435</v>
      </c>
      <c r="F14" s="15" t="s">
        <v>74</v>
      </c>
      <c r="G14" s="16" t="s">
        <v>75</v>
      </c>
      <c r="H14" s="16" t="s">
        <v>76</v>
      </c>
    </row>
    <row r="15" spans="1:8">
      <c r="A15" s="15" t="s">
        <v>155</v>
      </c>
      <c r="B15" s="16" t="s">
        <v>156</v>
      </c>
      <c r="C15" s="16" t="s">
        <v>54</v>
      </c>
      <c r="D15" s="16" t="s">
        <v>436</v>
      </c>
      <c r="F15" s="15" t="s">
        <v>78</v>
      </c>
      <c r="G15" s="16" t="s">
        <v>79</v>
      </c>
      <c r="H15" s="16" t="s">
        <v>76</v>
      </c>
    </row>
    <row r="16" spans="1:8">
      <c r="A16" s="15" t="s">
        <v>157</v>
      </c>
      <c r="B16" s="16" t="s">
        <v>158</v>
      </c>
      <c r="C16" s="16" t="s">
        <v>54</v>
      </c>
      <c r="D16" s="16" t="s">
        <v>437</v>
      </c>
      <c r="F16" s="15" t="s">
        <v>81</v>
      </c>
      <c r="G16" s="16" t="s">
        <v>82</v>
      </c>
      <c r="H16" s="16" t="s">
        <v>76</v>
      </c>
    </row>
    <row r="17" spans="1:8">
      <c r="A17" s="15" t="s">
        <v>159</v>
      </c>
      <c r="B17" s="16" t="s">
        <v>160</v>
      </c>
      <c r="C17" s="16" t="s">
        <v>54</v>
      </c>
      <c r="D17" s="16" t="s">
        <v>438</v>
      </c>
      <c r="F17" s="15" t="s">
        <v>84</v>
      </c>
      <c r="G17" s="16" t="s">
        <v>85</v>
      </c>
      <c r="H17" s="16" t="s">
        <v>76</v>
      </c>
    </row>
    <row r="18" spans="1:8">
      <c r="A18" s="15" t="s">
        <v>161</v>
      </c>
      <c r="B18" s="16" t="s">
        <v>162</v>
      </c>
      <c r="C18" s="16" t="s">
        <v>54</v>
      </c>
      <c r="D18" s="16" t="s">
        <v>439</v>
      </c>
      <c r="F18" s="15" t="s">
        <v>87</v>
      </c>
      <c r="G18" s="16" t="s">
        <v>88</v>
      </c>
      <c r="H18" s="16" t="s">
        <v>76</v>
      </c>
    </row>
    <row r="19" spans="1:8">
      <c r="A19" s="15" t="s">
        <v>164</v>
      </c>
      <c r="B19" s="16" t="s">
        <v>165</v>
      </c>
      <c r="C19" s="16" t="s">
        <v>54</v>
      </c>
      <c r="D19" s="16" t="s">
        <v>440</v>
      </c>
      <c r="F19" s="15" t="s">
        <v>90</v>
      </c>
      <c r="G19" s="16" t="s">
        <v>91</v>
      </c>
      <c r="H19" s="16" t="s">
        <v>76</v>
      </c>
    </row>
    <row r="20" spans="1:8">
      <c r="A20" s="15" t="s">
        <v>166</v>
      </c>
      <c r="B20" s="16" t="s">
        <v>167</v>
      </c>
      <c r="C20" s="16" t="s">
        <v>54</v>
      </c>
      <c r="D20" s="16" t="s">
        <v>441</v>
      </c>
      <c r="F20" s="15" t="s">
        <v>93</v>
      </c>
      <c r="G20" s="16" t="s">
        <v>94</v>
      </c>
      <c r="H20" s="16" t="s">
        <v>76</v>
      </c>
    </row>
    <row r="21" spans="1:8">
      <c r="A21" s="15" t="s">
        <v>168</v>
      </c>
      <c r="B21" s="16" t="s">
        <v>169</v>
      </c>
      <c r="C21" s="16" t="s">
        <v>54</v>
      </c>
      <c r="D21" s="16" t="s">
        <v>442</v>
      </c>
      <c r="F21" s="15" t="s">
        <v>96</v>
      </c>
      <c r="G21" s="16" t="s">
        <v>97</v>
      </c>
      <c r="H21" s="16" t="s">
        <v>76</v>
      </c>
    </row>
    <row r="22" spans="1:8">
      <c r="A22" s="15" t="s">
        <v>170</v>
      </c>
      <c r="B22" s="16" t="s">
        <v>171</v>
      </c>
      <c r="C22" s="16" t="s">
        <v>54</v>
      </c>
      <c r="D22" s="16" t="s">
        <v>443</v>
      </c>
    </row>
    <row r="23" spans="1:8">
      <c r="A23" s="15" t="s">
        <v>172</v>
      </c>
      <c r="B23" s="16" t="s">
        <v>173</v>
      </c>
      <c r="C23" s="16" t="s">
        <v>54</v>
      </c>
      <c r="D23" s="16" t="s">
        <v>444</v>
      </c>
    </row>
    <row r="24" spans="1:8">
      <c r="A24" s="15" t="s">
        <v>174</v>
      </c>
      <c r="B24" s="16" t="s">
        <v>175</v>
      </c>
      <c r="C24" s="16" t="s">
        <v>54</v>
      </c>
      <c r="D24" s="16" t="s">
        <v>445</v>
      </c>
    </row>
    <row r="25" spans="1:8">
      <c r="A25" s="15" t="s">
        <v>176</v>
      </c>
      <c r="B25" s="16" t="s">
        <v>177</v>
      </c>
      <c r="C25" s="16" t="s">
        <v>54</v>
      </c>
      <c r="D25" s="16" t="s">
        <v>446</v>
      </c>
    </row>
    <row r="26" spans="1:8">
      <c r="A26" s="15" t="s">
        <v>178</v>
      </c>
      <c r="B26" s="16" t="s">
        <v>179</v>
      </c>
      <c r="C26" s="16" t="s">
        <v>54</v>
      </c>
      <c r="D26" s="16" t="s">
        <v>447</v>
      </c>
    </row>
    <row r="27" spans="1:8">
      <c r="A27" s="15" t="s">
        <v>180</v>
      </c>
      <c r="B27" s="16" t="s">
        <v>181</v>
      </c>
      <c r="C27" s="16" t="s">
        <v>54</v>
      </c>
      <c r="D27" s="16" t="s">
        <v>448</v>
      </c>
    </row>
    <row r="28" spans="1:8">
      <c r="A28" s="15" t="s">
        <v>182</v>
      </c>
      <c r="B28" s="16" t="s">
        <v>183</v>
      </c>
      <c r="C28" s="16" t="s">
        <v>54</v>
      </c>
      <c r="D28" s="16" t="s">
        <v>438</v>
      </c>
    </row>
    <row r="29" spans="1:8">
      <c r="A29" s="15" t="s">
        <v>184</v>
      </c>
      <c r="B29" s="16" t="s">
        <v>185</v>
      </c>
      <c r="C29" s="16" t="s">
        <v>54</v>
      </c>
      <c r="D29" s="16" t="s">
        <v>442</v>
      </c>
    </row>
    <row r="30" spans="1:8">
      <c r="A30" s="15" t="s">
        <v>186</v>
      </c>
      <c r="B30" s="16" t="s">
        <v>187</v>
      </c>
      <c r="C30" s="16" t="s">
        <v>54</v>
      </c>
      <c r="D30" s="16" t="s">
        <v>449</v>
      </c>
    </row>
    <row r="31" spans="1:8">
      <c r="A31" s="15" t="s">
        <v>188</v>
      </c>
      <c r="B31" s="16" t="s">
        <v>189</v>
      </c>
      <c r="C31" s="16" t="s">
        <v>54</v>
      </c>
      <c r="D31" s="16" t="s">
        <v>449</v>
      </c>
    </row>
    <row r="32" spans="1:8">
      <c r="A32" s="15" t="s">
        <v>190</v>
      </c>
      <c r="B32" s="16" t="s">
        <v>191</v>
      </c>
      <c r="C32" s="16" t="s">
        <v>76</v>
      </c>
      <c r="D32" s="16" t="s">
        <v>450</v>
      </c>
    </row>
    <row r="33" spans="1:4">
      <c r="A33" s="15" t="s">
        <v>193</v>
      </c>
      <c r="B33" s="16" t="s">
        <v>194</v>
      </c>
      <c r="C33" s="16" t="s">
        <v>76</v>
      </c>
      <c r="D33" s="16" t="s">
        <v>451</v>
      </c>
    </row>
    <row r="34" spans="1:4">
      <c r="A34" s="15" t="s">
        <v>197</v>
      </c>
      <c r="B34" s="16" t="s">
        <v>198</v>
      </c>
      <c r="C34" s="16" t="s">
        <v>76</v>
      </c>
      <c r="D34" s="16" t="s">
        <v>452</v>
      </c>
    </row>
    <row r="35" spans="1:4">
      <c r="A35" s="15" t="s">
        <v>200</v>
      </c>
      <c r="B35" s="16" t="s">
        <v>201</v>
      </c>
      <c r="C35" s="16" t="s">
        <v>76</v>
      </c>
      <c r="D35" s="16" t="s">
        <v>450</v>
      </c>
    </row>
    <row r="36" spans="1:4">
      <c r="A36" s="15" t="s">
        <v>202</v>
      </c>
      <c r="B36" s="16" t="s">
        <v>203</v>
      </c>
      <c r="C36" s="16" t="s">
        <v>76</v>
      </c>
      <c r="D36" s="16" t="s">
        <v>453</v>
      </c>
    </row>
    <row r="37" spans="1:4">
      <c r="A37" s="15" t="s">
        <v>204</v>
      </c>
      <c r="B37" s="16" t="s">
        <v>205</v>
      </c>
      <c r="C37" s="16" t="s">
        <v>76</v>
      </c>
      <c r="D37" s="16" t="s">
        <v>452</v>
      </c>
    </row>
    <row r="38" spans="1:4">
      <c r="A38" s="15" t="s">
        <v>207</v>
      </c>
      <c r="B38" s="16" t="s">
        <v>208</v>
      </c>
      <c r="C38" s="16" t="s">
        <v>76</v>
      </c>
      <c r="D38" s="16" t="s">
        <v>451</v>
      </c>
    </row>
    <row r="39" spans="1:4">
      <c r="A39" s="15" t="s">
        <v>210</v>
      </c>
      <c r="B39" s="16" t="s">
        <v>211</v>
      </c>
      <c r="C39" s="16" t="s">
        <v>76</v>
      </c>
      <c r="D39" s="16" t="s">
        <v>454</v>
      </c>
    </row>
    <row r="40" spans="1:4">
      <c r="A40" s="15" t="s">
        <v>213</v>
      </c>
      <c r="B40" s="16" t="s">
        <v>214</v>
      </c>
      <c r="C40" s="16" t="s">
        <v>76</v>
      </c>
      <c r="D40" s="16" t="s">
        <v>455</v>
      </c>
    </row>
    <row r="41" spans="1:4">
      <c r="A41" s="15" t="s">
        <v>216</v>
      </c>
      <c r="B41" s="16" t="s">
        <v>217</v>
      </c>
      <c r="C41" s="16" t="s">
        <v>76</v>
      </c>
      <c r="D41" s="16" t="s">
        <v>454</v>
      </c>
    </row>
    <row r="42" spans="1:4">
      <c r="A42" s="15" t="s">
        <v>218</v>
      </c>
      <c r="B42" s="16" t="s">
        <v>219</v>
      </c>
      <c r="C42" s="16" t="s">
        <v>76</v>
      </c>
      <c r="D42" s="16" t="s">
        <v>452</v>
      </c>
    </row>
    <row r="43" spans="1:4">
      <c r="A43" s="15" t="s">
        <v>221</v>
      </c>
      <c r="B43" s="16" t="s">
        <v>222</v>
      </c>
      <c r="C43" s="16" t="s">
        <v>76</v>
      </c>
      <c r="D43" s="16" t="s">
        <v>456</v>
      </c>
    </row>
    <row r="44" spans="1:4">
      <c r="A44" s="15" t="s">
        <v>223</v>
      </c>
      <c r="B44" s="16" t="s">
        <v>224</v>
      </c>
      <c r="C44" s="16" t="s">
        <v>76</v>
      </c>
      <c r="D44" s="16" t="s">
        <v>452</v>
      </c>
    </row>
    <row r="45" spans="1:4">
      <c r="A45" s="15" t="s">
        <v>226</v>
      </c>
      <c r="B45" s="16" t="s">
        <v>227</v>
      </c>
      <c r="C45" s="16" t="s">
        <v>76</v>
      </c>
      <c r="D45" s="16" t="s">
        <v>457</v>
      </c>
    </row>
    <row r="46" spans="1:4">
      <c r="A46" s="15" t="s">
        <v>229</v>
      </c>
      <c r="B46" s="16" t="s">
        <v>230</v>
      </c>
      <c r="C46" s="16" t="s">
        <v>76</v>
      </c>
      <c r="D46" s="16" t="s">
        <v>452</v>
      </c>
    </row>
    <row r="47" spans="1:4">
      <c r="A47" s="15" t="s">
        <v>232</v>
      </c>
      <c r="B47" s="16" t="s">
        <v>233</v>
      </c>
      <c r="C47" s="16" t="s">
        <v>76</v>
      </c>
      <c r="D47" s="16" t="s">
        <v>458</v>
      </c>
    </row>
    <row r="48" spans="1:4">
      <c r="A48" s="15" t="s">
        <v>234</v>
      </c>
      <c r="B48" s="16" t="s">
        <v>235</v>
      </c>
      <c r="C48" s="16" t="s">
        <v>76</v>
      </c>
      <c r="D48" s="16" t="s">
        <v>459</v>
      </c>
    </row>
    <row r="49" spans="1:4">
      <c r="A49" s="15" t="s">
        <v>237</v>
      </c>
      <c r="B49" s="16" t="s">
        <v>238</v>
      </c>
      <c r="C49" s="16" t="s">
        <v>76</v>
      </c>
      <c r="D49" s="16" t="s">
        <v>457</v>
      </c>
    </row>
    <row r="50" spans="1:4">
      <c r="A50" s="15" t="s">
        <v>240</v>
      </c>
      <c r="B50" s="16" t="s">
        <v>241</v>
      </c>
      <c r="C50" s="16" t="s">
        <v>76</v>
      </c>
      <c r="D50" s="16" t="s">
        <v>454</v>
      </c>
    </row>
    <row r="51" spans="1:4">
      <c r="A51" s="15" t="s">
        <v>243</v>
      </c>
      <c r="B51" s="16" t="s">
        <v>244</v>
      </c>
      <c r="C51" s="16" t="s">
        <v>76</v>
      </c>
      <c r="D51" s="16" t="s">
        <v>460</v>
      </c>
    </row>
    <row r="52" spans="1:4">
      <c r="A52" s="15" t="s">
        <v>246</v>
      </c>
      <c r="B52" s="16" t="s">
        <v>247</v>
      </c>
      <c r="C52" s="16" t="s">
        <v>76</v>
      </c>
      <c r="D52" s="16" t="s">
        <v>461</v>
      </c>
    </row>
    <row r="53" spans="1:4">
      <c r="A53" s="15" t="s">
        <v>249</v>
      </c>
      <c r="B53" s="16" t="s">
        <v>250</v>
      </c>
      <c r="C53" s="16" t="s">
        <v>76</v>
      </c>
      <c r="D53" s="16" t="s">
        <v>454</v>
      </c>
    </row>
    <row r="54" spans="1:4">
      <c r="A54" s="15" t="s">
        <v>251</v>
      </c>
      <c r="B54" s="16" t="s">
        <v>252</v>
      </c>
      <c r="C54" s="16" t="s">
        <v>76</v>
      </c>
      <c r="D54" s="16" t="s">
        <v>462</v>
      </c>
    </row>
    <row r="55" spans="1:4">
      <c r="A55" s="15" t="s">
        <v>253</v>
      </c>
      <c r="B55" s="16" t="s">
        <v>254</v>
      </c>
      <c r="C55" s="16" t="s">
        <v>76</v>
      </c>
      <c r="D55" s="16" t="s">
        <v>463</v>
      </c>
    </row>
    <row r="56" spans="1:4">
      <c r="A56" s="15" t="s">
        <v>256</v>
      </c>
      <c r="B56" s="16" t="s">
        <v>257</v>
      </c>
      <c r="C56" s="16" t="s">
        <v>76</v>
      </c>
      <c r="D56" s="16" t="s">
        <v>461</v>
      </c>
    </row>
    <row r="57" spans="1:4">
      <c r="A57" s="15" t="s">
        <v>258</v>
      </c>
      <c r="B57" s="16" t="s">
        <v>259</v>
      </c>
      <c r="C57" s="16" t="s">
        <v>76</v>
      </c>
      <c r="D57" s="16" t="s">
        <v>464</v>
      </c>
    </row>
    <row r="58" spans="1:4">
      <c r="A58" s="15" t="s">
        <v>260</v>
      </c>
      <c r="B58" s="16" t="s">
        <v>261</v>
      </c>
      <c r="C58" s="16" t="s">
        <v>76</v>
      </c>
      <c r="D58" s="16" t="s">
        <v>452</v>
      </c>
    </row>
    <row r="59" spans="1:4">
      <c r="A59" s="15" t="s">
        <v>263</v>
      </c>
      <c r="B59" s="16" t="s">
        <v>264</v>
      </c>
      <c r="C59" s="16" t="s">
        <v>76</v>
      </c>
      <c r="D59" s="16" t="s">
        <v>454</v>
      </c>
    </row>
    <row r="60" spans="1:4">
      <c r="A60" s="15" t="s">
        <v>266</v>
      </c>
      <c r="B60" s="16" t="s">
        <v>267</v>
      </c>
      <c r="C60" s="16" t="s">
        <v>76</v>
      </c>
      <c r="D60" s="16" t="s">
        <v>465</v>
      </c>
    </row>
    <row r="61" spans="1:4">
      <c r="A61" s="15" t="s">
        <v>268</v>
      </c>
      <c r="B61" s="16" t="s">
        <v>269</v>
      </c>
      <c r="C61" s="16" t="s">
        <v>76</v>
      </c>
      <c r="D61" s="16" t="s">
        <v>457</v>
      </c>
    </row>
    <row r="62" spans="1:4">
      <c r="A62" s="15" t="s">
        <v>270</v>
      </c>
      <c r="B62" s="16" t="s">
        <v>271</v>
      </c>
      <c r="C62" s="16" t="s">
        <v>76</v>
      </c>
      <c r="D62" s="16" t="s">
        <v>457</v>
      </c>
    </row>
    <row r="63" spans="1:4">
      <c r="A63" s="15" t="s">
        <v>272</v>
      </c>
      <c r="B63" s="16" t="s">
        <v>273</v>
      </c>
      <c r="C63" s="16" t="s">
        <v>76</v>
      </c>
      <c r="D63" s="16" t="s">
        <v>461</v>
      </c>
    </row>
    <row r="64" spans="1:4">
      <c r="A64" s="15" t="s">
        <v>274</v>
      </c>
      <c r="B64" s="16" t="s">
        <v>275</v>
      </c>
      <c r="C64" s="16" t="s">
        <v>76</v>
      </c>
      <c r="D64" s="16" t="s">
        <v>461</v>
      </c>
    </row>
    <row r="65" spans="1:4">
      <c r="A65" s="15" t="s">
        <v>276</v>
      </c>
      <c r="B65" s="16" t="s">
        <v>277</v>
      </c>
      <c r="C65" s="16" t="s">
        <v>76</v>
      </c>
      <c r="D65" s="16" t="s">
        <v>460</v>
      </c>
    </row>
    <row r="66" spans="1:4">
      <c r="A66" s="15" t="s">
        <v>278</v>
      </c>
      <c r="B66" s="16" t="s">
        <v>279</v>
      </c>
      <c r="C66" s="16" t="s">
        <v>76</v>
      </c>
      <c r="D66" s="16" t="s">
        <v>451</v>
      </c>
    </row>
    <row r="67" spans="1:4">
      <c r="A67" s="15" t="s">
        <v>281</v>
      </c>
      <c r="B67" s="16" t="s">
        <v>282</v>
      </c>
      <c r="C67" s="16" t="s">
        <v>76</v>
      </c>
      <c r="D67" s="16" t="s">
        <v>457</v>
      </c>
    </row>
    <row r="68" spans="1:4">
      <c r="A68" s="15" t="s">
        <v>284</v>
      </c>
      <c r="B68" s="16" t="s">
        <v>285</v>
      </c>
      <c r="C68" s="16" t="s">
        <v>76</v>
      </c>
      <c r="D68" s="16" t="s">
        <v>452</v>
      </c>
    </row>
    <row r="69" spans="1:4">
      <c r="A69" s="15" t="s">
        <v>287</v>
      </c>
      <c r="B69" s="16" t="s">
        <v>288</v>
      </c>
      <c r="C69" s="16" t="s">
        <v>76</v>
      </c>
      <c r="D69" s="16" t="s">
        <v>459</v>
      </c>
    </row>
    <row r="70" spans="1:4">
      <c r="A70" s="15" t="s">
        <v>289</v>
      </c>
      <c r="B70" s="16" t="s">
        <v>290</v>
      </c>
      <c r="C70" s="16" t="s">
        <v>76</v>
      </c>
      <c r="D70" s="16" t="s">
        <v>466</v>
      </c>
    </row>
    <row r="71" spans="1:4">
      <c r="A71" s="15" t="s">
        <v>291</v>
      </c>
      <c r="B71" s="16" t="s">
        <v>292</v>
      </c>
      <c r="C71" s="16" t="s">
        <v>76</v>
      </c>
      <c r="D71" s="16" t="s">
        <v>467</v>
      </c>
    </row>
    <row r="72" spans="1:4">
      <c r="A72" s="15" t="s">
        <v>293</v>
      </c>
      <c r="B72" s="16" t="s">
        <v>294</v>
      </c>
      <c r="C72" s="16" t="s">
        <v>76</v>
      </c>
      <c r="D72" s="16" t="s">
        <v>465</v>
      </c>
    </row>
    <row r="73" spans="1:4">
      <c r="A73" s="15" t="s">
        <v>296</v>
      </c>
      <c r="B73" s="16" t="s">
        <v>297</v>
      </c>
      <c r="C73" s="16" t="s">
        <v>76</v>
      </c>
      <c r="D73" s="16" t="s">
        <v>457</v>
      </c>
    </row>
    <row r="74" spans="1:4">
      <c r="A74" s="15" t="s">
        <v>298</v>
      </c>
      <c r="B74" s="16" t="s">
        <v>299</v>
      </c>
      <c r="C74" s="16" t="s">
        <v>76</v>
      </c>
      <c r="D74" s="16" t="s">
        <v>457</v>
      </c>
    </row>
    <row r="75" spans="1:4">
      <c r="A75" s="15" t="s">
        <v>300</v>
      </c>
      <c r="B75" s="16" t="s">
        <v>301</v>
      </c>
      <c r="C75" s="16" t="s">
        <v>76</v>
      </c>
      <c r="D75" s="16" t="s">
        <v>452</v>
      </c>
    </row>
    <row r="76" spans="1:4">
      <c r="A76" s="15" t="s">
        <v>302</v>
      </c>
      <c r="B76" s="16" t="s">
        <v>303</v>
      </c>
      <c r="C76" s="16" t="s">
        <v>76</v>
      </c>
      <c r="D76" s="16" t="s">
        <v>435</v>
      </c>
    </row>
    <row r="77" spans="1:4">
      <c r="A77" s="15" t="s">
        <v>304</v>
      </c>
      <c r="B77" s="16" t="s">
        <v>305</v>
      </c>
      <c r="C77" s="16" t="s">
        <v>76</v>
      </c>
      <c r="D77" s="16" t="s">
        <v>461</v>
      </c>
    </row>
    <row r="78" spans="1:4">
      <c r="A78" s="15" t="s">
        <v>306</v>
      </c>
      <c r="B78" s="16" t="s">
        <v>307</v>
      </c>
      <c r="C78" s="16" t="s">
        <v>76</v>
      </c>
      <c r="D78" s="16" t="s">
        <v>457</v>
      </c>
    </row>
    <row r="79" spans="1:4">
      <c r="A79" s="15" t="s">
        <v>309</v>
      </c>
      <c r="B79" s="16" t="s">
        <v>310</v>
      </c>
      <c r="C79" s="16" t="s">
        <v>76</v>
      </c>
      <c r="D79" s="16" t="s">
        <v>461</v>
      </c>
    </row>
    <row r="80" spans="1:4">
      <c r="A80" s="15" t="s">
        <v>311</v>
      </c>
      <c r="B80" s="16" t="s">
        <v>312</v>
      </c>
      <c r="C80" s="16" t="s">
        <v>76</v>
      </c>
      <c r="D80" s="16" t="s">
        <v>454</v>
      </c>
    </row>
    <row r="81" spans="1:4">
      <c r="A81" s="15" t="s">
        <v>314</v>
      </c>
      <c r="B81" s="16" t="s">
        <v>315</v>
      </c>
      <c r="C81" s="16" t="s">
        <v>76</v>
      </c>
      <c r="D81" s="16" t="s">
        <v>454</v>
      </c>
    </row>
    <row r="82" spans="1:4">
      <c r="A82" s="15" t="s">
        <v>317</v>
      </c>
      <c r="B82" s="16" t="s">
        <v>318</v>
      </c>
      <c r="C82" s="16" t="s">
        <v>76</v>
      </c>
      <c r="D82" s="16" t="s">
        <v>465</v>
      </c>
    </row>
    <row r="83" spans="1:4">
      <c r="A83" s="15" t="s">
        <v>319</v>
      </c>
      <c r="B83" s="16" t="s">
        <v>320</v>
      </c>
      <c r="C83" s="16" t="s">
        <v>76</v>
      </c>
      <c r="D83" s="16" t="s">
        <v>465</v>
      </c>
    </row>
    <row r="84" spans="1:4">
      <c r="A84" s="15" t="s">
        <v>322</v>
      </c>
      <c r="B84" s="16" t="s">
        <v>323</v>
      </c>
      <c r="C84" s="16" t="s">
        <v>76</v>
      </c>
      <c r="D84" s="16" t="s">
        <v>461</v>
      </c>
    </row>
    <row r="85" spans="1:4">
      <c r="A85" s="15" t="s">
        <v>324</v>
      </c>
      <c r="B85" s="16" t="s">
        <v>325</v>
      </c>
      <c r="C85" s="16" t="s">
        <v>76</v>
      </c>
      <c r="D85" s="16" t="s">
        <v>465</v>
      </c>
    </row>
    <row r="86" spans="1:4">
      <c r="A86" s="15" t="s">
        <v>326</v>
      </c>
      <c r="B86" s="16" t="s">
        <v>468</v>
      </c>
      <c r="C86" s="16" t="s">
        <v>76</v>
      </c>
      <c r="D86" s="16" t="s">
        <v>457</v>
      </c>
    </row>
    <row r="87" spans="1:4">
      <c r="A87" s="15" t="s">
        <v>329</v>
      </c>
      <c r="B87" s="16" t="s">
        <v>330</v>
      </c>
      <c r="C87" s="16" t="s">
        <v>76</v>
      </c>
      <c r="D87" s="16" t="s">
        <v>461</v>
      </c>
    </row>
    <row r="88" spans="1:4">
      <c r="A88" s="15" t="s">
        <v>331</v>
      </c>
      <c r="B88" s="16" t="s">
        <v>332</v>
      </c>
      <c r="C88" s="16" t="s">
        <v>76</v>
      </c>
      <c r="D88" s="16" t="s">
        <v>469</v>
      </c>
    </row>
    <row r="89" spans="1:4">
      <c r="A89" s="15" t="s">
        <v>333</v>
      </c>
      <c r="B89" s="16" t="s">
        <v>334</v>
      </c>
      <c r="C89" s="16" t="s">
        <v>76</v>
      </c>
      <c r="D89" s="16" t="s">
        <v>460</v>
      </c>
    </row>
    <row r="90" spans="1:4">
      <c r="A90" s="15" t="s">
        <v>336</v>
      </c>
      <c r="B90" s="16" t="s">
        <v>337</v>
      </c>
      <c r="C90" s="16" t="s">
        <v>76</v>
      </c>
      <c r="D90" s="16" t="s">
        <v>461</v>
      </c>
    </row>
    <row r="91" spans="1:4">
      <c r="A91" s="15" t="s">
        <v>338</v>
      </c>
      <c r="B91" s="16" t="s">
        <v>339</v>
      </c>
      <c r="C91" s="16" t="s">
        <v>76</v>
      </c>
      <c r="D91" s="16" t="s">
        <v>452</v>
      </c>
    </row>
    <row r="92" spans="1:4">
      <c r="A92" s="15" t="s">
        <v>340</v>
      </c>
      <c r="B92" s="16" t="s">
        <v>341</v>
      </c>
      <c r="C92" s="16" t="s">
        <v>76</v>
      </c>
      <c r="D92" s="16" t="s">
        <v>452</v>
      </c>
    </row>
    <row r="93" spans="1:4">
      <c r="A93" s="15" t="s">
        <v>343</v>
      </c>
      <c r="B93" s="16" t="s">
        <v>344</v>
      </c>
      <c r="C93" s="16" t="s">
        <v>76</v>
      </c>
      <c r="D93" s="16" t="s">
        <v>461</v>
      </c>
    </row>
    <row r="94" spans="1:4">
      <c r="A94" s="15" t="s">
        <v>345</v>
      </c>
      <c r="B94" s="16" t="s">
        <v>346</v>
      </c>
      <c r="C94" s="16" t="s">
        <v>76</v>
      </c>
      <c r="D94" s="16" t="s">
        <v>457</v>
      </c>
    </row>
    <row r="95" spans="1:4">
      <c r="A95" s="15" t="s">
        <v>348</v>
      </c>
      <c r="B95" s="16" t="s">
        <v>349</v>
      </c>
      <c r="C95" s="16" t="s">
        <v>76</v>
      </c>
      <c r="D95" s="16" t="s">
        <v>457</v>
      </c>
    </row>
    <row r="96" spans="1:4">
      <c r="A96" s="15" t="s">
        <v>351</v>
      </c>
      <c r="B96" s="16" t="s">
        <v>352</v>
      </c>
      <c r="C96" s="16" t="s">
        <v>76</v>
      </c>
      <c r="D96" s="16" t="s">
        <v>452</v>
      </c>
    </row>
    <row r="97" spans="1:4">
      <c r="A97" s="15" t="s">
        <v>353</v>
      </c>
      <c r="B97" s="16" t="s">
        <v>354</v>
      </c>
      <c r="C97" s="16" t="s">
        <v>76</v>
      </c>
      <c r="D97" s="16" t="s">
        <v>460</v>
      </c>
    </row>
    <row r="98" spans="1:4">
      <c r="A98" s="15" t="s">
        <v>356</v>
      </c>
      <c r="B98" s="16" t="s">
        <v>357</v>
      </c>
      <c r="C98" s="16" t="s">
        <v>76</v>
      </c>
      <c r="D98" s="16" t="s">
        <v>457</v>
      </c>
    </row>
    <row r="99" spans="1:4">
      <c r="A99" s="15" t="s">
        <v>359</v>
      </c>
      <c r="B99" s="16" t="s">
        <v>360</v>
      </c>
      <c r="C99" s="16" t="s">
        <v>76</v>
      </c>
      <c r="D99" s="16" t="s">
        <v>461</v>
      </c>
    </row>
    <row r="100" spans="1:4">
      <c r="A100" s="15" t="s">
        <v>361</v>
      </c>
      <c r="B100" s="16" t="s">
        <v>362</v>
      </c>
      <c r="C100" s="16" t="s">
        <v>76</v>
      </c>
      <c r="D100" s="16" t="s">
        <v>457</v>
      </c>
    </row>
    <row r="101" spans="1:4">
      <c r="A101" s="15" t="s">
        <v>364</v>
      </c>
      <c r="B101" s="16" t="s">
        <v>365</v>
      </c>
      <c r="C101" s="16" t="s">
        <v>76</v>
      </c>
      <c r="D101" s="16" t="s">
        <v>470</v>
      </c>
    </row>
    <row r="102" spans="1:4">
      <c r="A102" s="15" t="s">
        <v>366</v>
      </c>
      <c r="B102" s="16" t="s">
        <v>367</v>
      </c>
      <c r="C102" s="16" t="s">
        <v>76</v>
      </c>
      <c r="D102" s="16" t="s">
        <v>465</v>
      </c>
    </row>
    <row r="103" spans="1:4">
      <c r="A103" s="15" t="s">
        <v>369</v>
      </c>
      <c r="B103" s="16" t="s">
        <v>370</v>
      </c>
      <c r="C103" s="16" t="s">
        <v>76</v>
      </c>
      <c r="D103" s="16" t="s">
        <v>465</v>
      </c>
    </row>
    <row r="104" spans="1:4">
      <c r="A104" s="15" t="s">
        <v>372</v>
      </c>
      <c r="B104" s="16" t="s">
        <v>373</v>
      </c>
      <c r="C104" s="16" t="s">
        <v>76</v>
      </c>
      <c r="D104" s="16" t="s">
        <v>465</v>
      </c>
    </row>
    <row r="105" spans="1:4">
      <c r="A105" s="15" t="s">
        <v>375</v>
      </c>
      <c r="B105" s="16" t="s">
        <v>376</v>
      </c>
      <c r="C105" s="16" t="s">
        <v>76</v>
      </c>
      <c r="D105" s="16" t="s">
        <v>465</v>
      </c>
    </row>
    <row r="106" spans="1:4">
      <c r="A106" s="15" t="s">
        <v>377</v>
      </c>
      <c r="B106" s="16" t="s">
        <v>378</v>
      </c>
      <c r="C106" s="16" t="s">
        <v>76</v>
      </c>
      <c r="D106" s="16" t="s">
        <v>452</v>
      </c>
    </row>
    <row r="107" spans="1:4">
      <c r="A107" s="15" t="s">
        <v>380</v>
      </c>
      <c r="B107" s="16" t="s">
        <v>381</v>
      </c>
      <c r="C107" s="16" t="s">
        <v>76</v>
      </c>
      <c r="D107" s="16" t="s">
        <v>457</v>
      </c>
    </row>
    <row r="108" spans="1:4">
      <c r="A108" s="15" t="s">
        <v>383</v>
      </c>
      <c r="B108" s="16" t="s">
        <v>384</v>
      </c>
      <c r="C108" s="16" t="s">
        <v>76</v>
      </c>
      <c r="D108" s="16" t="s">
        <v>461</v>
      </c>
    </row>
    <row r="109" spans="1:4">
      <c r="A109" s="15" t="s">
        <v>385</v>
      </c>
      <c r="B109" s="16" t="s">
        <v>386</v>
      </c>
      <c r="C109" s="16" t="s">
        <v>76</v>
      </c>
      <c r="D109" s="16" t="s">
        <v>471</v>
      </c>
    </row>
    <row r="110" spans="1:4">
      <c r="A110" s="15" t="s">
        <v>387</v>
      </c>
      <c r="B110" s="16" t="s">
        <v>388</v>
      </c>
      <c r="C110" s="16" t="s">
        <v>76</v>
      </c>
      <c r="D110" s="16" t="s">
        <v>460</v>
      </c>
    </row>
    <row r="111" spans="1:4">
      <c r="A111" s="15" t="s">
        <v>390</v>
      </c>
      <c r="B111" s="16" t="s">
        <v>391</v>
      </c>
      <c r="C111" s="16" t="s">
        <v>76</v>
      </c>
      <c r="D111" s="16" t="s">
        <v>472</v>
      </c>
    </row>
    <row r="112" spans="1:4">
      <c r="A112" s="15" t="s">
        <v>392</v>
      </c>
      <c r="B112" s="16" t="s">
        <v>393</v>
      </c>
      <c r="C112" s="16" t="s">
        <v>76</v>
      </c>
      <c r="D112" s="16" t="s">
        <v>465</v>
      </c>
    </row>
    <row r="113" spans="1:4">
      <c r="A113" s="15" t="s">
        <v>395</v>
      </c>
      <c r="B113" s="16" t="s">
        <v>396</v>
      </c>
      <c r="C113" s="16" t="s">
        <v>76</v>
      </c>
      <c r="D113" s="16" t="s">
        <v>457</v>
      </c>
    </row>
    <row r="114" spans="1:4">
      <c r="A114" s="15" t="s">
        <v>397</v>
      </c>
      <c r="B114" s="16" t="s">
        <v>398</v>
      </c>
      <c r="C114" s="16" t="s">
        <v>76</v>
      </c>
      <c r="D114" s="16" t="s">
        <v>473</v>
      </c>
    </row>
    <row r="115" spans="1:4">
      <c r="A115" s="15" t="s">
        <v>399</v>
      </c>
      <c r="B115" s="16" t="s">
        <v>400</v>
      </c>
      <c r="C115" s="16" t="s">
        <v>76</v>
      </c>
      <c r="D115" s="16" t="s">
        <v>461</v>
      </c>
    </row>
    <row r="116" spans="1:4">
      <c r="A116" s="15" t="s">
        <v>402</v>
      </c>
      <c r="B116" s="16" t="s">
        <v>403</v>
      </c>
      <c r="C116" s="16" t="s">
        <v>76</v>
      </c>
      <c r="D116" s="16" t="s">
        <v>461</v>
      </c>
    </row>
    <row r="117" spans="1:4">
      <c r="A117" s="15" t="s">
        <v>404</v>
      </c>
      <c r="B117" s="16" t="s">
        <v>405</v>
      </c>
      <c r="C117" s="16" t="s">
        <v>76</v>
      </c>
      <c r="D117" s="16" t="s">
        <v>465</v>
      </c>
    </row>
    <row r="118" spans="1:4">
      <c r="A118" s="15" t="s">
        <v>406</v>
      </c>
      <c r="B118" s="16" t="s">
        <v>407</v>
      </c>
      <c r="C118" s="16" t="s">
        <v>76</v>
      </c>
      <c r="D118" s="16" t="s">
        <v>465</v>
      </c>
    </row>
    <row r="119" spans="1:4">
      <c r="A119" s="15" t="s">
        <v>409</v>
      </c>
      <c r="B119" s="16" t="s">
        <v>410</v>
      </c>
      <c r="C119" s="16" t="s">
        <v>76</v>
      </c>
      <c r="D119" s="16" t="s">
        <v>474</v>
      </c>
    </row>
    <row r="120" spans="1:4">
      <c r="A120" s="15" t="s">
        <v>411</v>
      </c>
      <c r="B120" s="16" t="s">
        <v>412</v>
      </c>
      <c r="C120" s="16" t="s">
        <v>76</v>
      </c>
      <c r="D120" s="16" t="s">
        <v>475</v>
      </c>
    </row>
    <row r="121" spans="1:4">
      <c r="A121" s="15" t="s">
        <v>413</v>
      </c>
      <c r="B121" s="16" t="s">
        <v>156</v>
      </c>
      <c r="C121" s="16" t="s">
        <v>76</v>
      </c>
      <c r="D121" s="16" t="s">
        <v>436</v>
      </c>
    </row>
    <row r="122" spans="1:4">
      <c r="A122" s="15" t="s">
        <v>414</v>
      </c>
      <c r="B122" s="16" t="s">
        <v>415</v>
      </c>
      <c r="C122" s="16" t="s">
        <v>76</v>
      </c>
      <c r="D122" s="16" t="s">
        <v>457</v>
      </c>
    </row>
    <row r="123" spans="1:4">
      <c r="A123" s="15" t="s">
        <v>416</v>
      </c>
      <c r="B123" s="16" t="s">
        <v>417</v>
      </c>
      <c r="C123" s="16" t="s">
        <v>76</v>
      </c>
      <c r="D123" s="16" t="s">
        <v>457</v>
      </c>
    </row>
    <row r="124" spans="1:4">
      <c r="A124" s="15" t="s">
        <v>419</v>
      </c>
      <c r="B124" s="16" t="s">
        <v>420</v>
      </c>
      <c r="C124" s="16" t="s">
        <v>76</v>
      </c>
      <c r="D124" s="16" t="s">
        <v>476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zoomScaleNormal="100" workbookViewId="0"/>
  </sheetViews>
  <sheetFormatPr baseColWidth="10" defaultColWidth="8.6640625" defaultRowHeight="15"/>
  <cols>
    <col min="1" max="1" width="38" customWidth="1"/>
    <col min="2" max="2" width="12" customWidth="1"/>
    <col min="3" max="3" width="60" customWidth="1"/>
  </cols>
  <sheetData>
    <row r="1" spans="1:3" ht="23">
      <c r="A1" s="2" t="s">
        <v>477</v>
      </c>
    </row>
    <row r="2" spans="1:3">
      <c r="A2" s="3" t="s">
        <v>478</v>
      </c>
    </row>
    <row r="4" spans="1:3" ht="30" customHeight="1">
      <c r="A4" s="8" t="s">
        <v>479</v>
      </c>
      <c r="B4" s="8" t="s">
        <v>480</v>
      </c>
      <c r="C4" s="8" t="s">
        <v>4</v>
      </c>
    </row>
    <row r="5" spans="1:3" ht="27.75" customHeight="1">
      <c r="A5" s="17" t="s">
        <v>481</v>
      </c>
      <c r="B5" s="18">
        <f>COUNTA('Reporting Lines'!A5:A127)</f>
        <v>123</v>
      </c>
      <c r="C5" s="19" t="s">
        <v>482</v>
      </c>
    </row>
    <row r="6" spans="1:3" ht="27.75" customHeight="1">
      <c r="A6" s="17" t="s">
        <v>483</v>
      </c>
      <c r="B6" s="18">
        <f>COUNTBLANK('Reporting Lines'!E5:E127)</f>
        <v>0</v>
      </c>
      <c r="C6" s="19" t="s">
        <v>484</v>
      </c>
    </row>
    <row r="7" spans="1:3" ht="27.75" customHeight="1">
      <c r="A7" s="17" t="s">
        <v>485</v>
      </c>
      <c r="B7" s="18">
        <f>COUNTBLANK('Reporting Lines'!G5:G127)</f>
        <v>0</v>
      </c>
      <c r="C7" s="19" t="s">
        <v>486</v>
      </c>
    </row>
    <row r="8" spans="1:3" ht="27.75" customHeight="1">
      <c r="A8" s="17" t="s">
        <v>487</v>
      </c>
      <c r="B8" s="18">
        <f>COUNTBLANK('Vertical Heads'!C5:C24)</f>
        <v>0</v>
      </c>
      <c r="C8" s="19" t="s">
        <v>488</v>
      </c>
    </row>
    <row r="9" spans="1:3" ht="27.75" customHeight="1">
      <c r="A9" s="17" t="s">
        <v>489</v>
      </c>
      <c r="B9" s="18">
        <f>SUMPRODUCT(('Reporting Lines'!A5:A127='Reporting Lines'!G5:G127)*('Reporting Lines'!G5:G127&lt;&gt;""))</f>
        <v>0</v>
      </c>
      <c r="C9" s="19" t="s">
        <v>490</v>
      </c>
    </row>
    <row r="10" spans="1:3" ht="27.75" customHeight="1">
      <c r="A10" s="17" t="s">
        <v>491</v>
      </c>
      <c r="B10" s="18">
        <f>SUMPRODUCT(('Reporting Lines'!E5:E127&lt;&gt;"")*(ISERROR(MATCH('Reporting Lines'!E5:E127,Verticals!A5:A24,0))))</f>
        <v>0</v>
      </c>
      <c r="C10" s="19" t="s">
        <v>492</v>
      </c>
    </row>
    <row r="11" spans="1:3" ht="27.75" customHeight="1">
      <c r="A11" s="17" t="s">
        <v>493</v>
      </c>
      <c r="B11" s="18">
        <f>SUMPRODUCT(('Reporting Lines'!G5:G127&lt;&gt;"")*(ISERROR(MATCH('Reporting Lines'!G5:G127,Reference!A:A,0))))</f>
        <v>123</v>
      </c>
      <c r="C11" s="19" t="s">
        <v>494</v>
      </c>
    </row>
    <row r="13" spans="1:3">
      <c r="A13" s="7" t="s">
        <v>495</v>
      </c>
    </row>
    <row r="15" spans="1:3">
      <c r="A15" s="5" t="s">
        <v>42</v>
      </c>
      <c r="B15" s="26" t="s">
        <v>496</v>
      </c>
      <c r="C15" s="26"/>
    </row>
    <row r="16" spans="1:3">
      <c r="A16" s="5" t="s">
        <v>45</v>
      </c>
      <c r="B16" s="26" t="s">
        <v>497</v>
      </c>
      <c r="C16" s="26"/>
    </row>
    <row r="17" spans="1:3">
      <c r="A17" s="5" t="s">
        <v>50</v>
      </c>
      <c r="B17" s="26" t="s">
        <v>498</v>
      </c>
      <c r="C17" s="26"/>
    </row>
    <row r="18" spans="1:3">
      <c r="A18" s="5" t="s">
        <v>48</v>
      </c>
      <c r="B18" s="26" t="s">
        <v>499</v>
      </c>
      <c r="C18" s="26"/>
    </row>
    <row r="19" spans="1:3">
      <c r="A19" s="5" t="s">
        <v>500</v>
      </c>
      <c r="B19" s="26" t="s">
        <v>501</v>
      </c>
      <c r="C19" s="26"/>
    </row>
  </sheetData>
  <mergeCells count="5">
    <mergeCell ref="B15:C15"/>
    <mergeCell ref="B16:C16"/>
    <mergeCell ref="B17:C17"/>
    <mergeCell ref="B18:C18"/>
    <mergeCell ref="B19:C19"/>
  </mergeCells>
  <conditionalFormatting sqref="B5">
    <cfRule type="expression" dxfId="23" priority="2">
      <formula>B5=123</formula>
    </cfRule>
    <cfRule type="expression" dxfId="22" priority="3">
      <formula>B5&lt;&gt;123</formula>
    </cfRule>
  </conditionalFormatting>
  <conditionalFormatting sqref="B6:B10">
    <cfRule type="expression" dxfId="21" priority="4">
      <formula>B6=0</formula>
    </cfRule>
    <cfRule type="expression" dxfId="20" priority="5">
      <formula>B6&gt;0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Verticals</vt:lpstr>
      <vt:lpstr>Vertical Heads</vt:lpstr>
      <vt:lpstr>Reporting Lines</vt:lpstr>
      <vt:lpstr>Reference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Sankalp Chopra</cp:lastModifiedBy>
  <cp:revision>0</cp:revision>
  <dcterms:created xsi:type="dcterms:W3CDTF">2026-05-13T10:58:06Z</dcterms:created>
  <dcterms:modified xsi:type="dcterms:W3CDTF">2026-05-21T13:05:49Z</dcterms:modified>
  <dc:language>en-US</dc:language>
</cp:coreProperties>
</file>